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FCC\00. Index\"/>
    </mc:Choice>
  </mc:AlternateContent>
  <xr:revisionPtr revIDLastSave="0" documentId="13_ncr:1_{8D446BA9-C347-44BE-8978-4C1DCADACCC8}" xr6:coauthVersionLast="47" xr6:coauthVersionMax="47" xr10:uidLastSave="{00000000-0000-0000-0000-000000000000}"/>
  <bookViews>
    <workbookView xWindow="-110" yWindow="-110" windowWidth="19420" windowHeight="10300" xr2:uid="{B238E2AE-4106-48CC-B359-7ACCF0CB4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G8" i="1"/>
  <c r="E8" i="1"/>
  <c r="F8" i="1" s="1"/>
  <c r="J8" i="1" s="1"/>
  <c r="F7" i="1"/>
  <c r="F6" i="1"/>
  <c r="F5" i="1"/>
  <c r="G5" i="1" s="1"/>
  <c r="H5" i="1" s="1"/>
  <c r="F10" i="1" l="1"/>
</calcChain>
</file>

<file path=xl/sharedStrings.xml><?xml version="1.0" encoding="utf-8"?>
<sst xmlns="http://schemas.openxmlformats.org/spreadsheetml/2006/main" count="23" uniqueCount="21">
  <si>
    <t>VIAL Laurent (FCE) Port Harcourt Business Visit Expenses</t>
  </si>
  <si>
    <t>Prepared: 23-03-2026</t>
  </si>
  <si>
    <t>SN</t>
  </si>
  <si>
    <t>Discription</t>
  </si>
  <si>
    <t>Unit Price
NGN</t>
  </si>
  <si>
    <t>Total Price
NGN</t>
  </si>
  <si>
    <t>Comments</t>
  </si>
  <si>
    <t>5 Night Hotel Accomodation @
 Novotel Port Harcourt</t>
  </si>
  <si>
    <t>Qty</t>
  </si>
  <si>
    <t>Lot</t>
  </si>
  <si>
    <t>Food and Drinks</t>
  </si>
  <si>
    <t xml:space="preserve">Total </t>
  </si>
  <si>
    <t>Provsion of Armed Mopol &amp; Hilux including
feeding and admin charges</t>
  </si>
  <si>
    <t>Fully Paid</t>
  </si>
  <si>
    <t>Amount Paid
NGN</t>
  </si>
  <si>
    <t>Amount 
Oustanding
NGN</t>
  </si>
  <si>
    <t xml:space="preserve">Payment Structure: Chimezie </t>
  </si>
  <si>
    <t>Mopol is currently
 owed 300K due within 30 days</t>
  </si>
  <si>
    <t>Reimbursable Amount Due Chimezie</t>
  </si>
  <si>
    <t>Attachments</t>
  </si>
  <si>
    <t>Payment Structure: Amount Received from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</si>
</sst>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4" fontId="0" fillId="0" borderId="1" xfId="0" applyNumberFormat="1" applyBorder="1" applyAlignment="1">
      <alignment horizontal="center" textRotation="58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textRotation="45"/>
    </xf>
    <xf numFmtId="4" fontId="0" fillId="0" borderId="1" xfId="0" applyNumberFormat="1" applyBorder="1" applyAlignment="1">
      <alignment horizontal="center" textRotation="60"/>
    </xf>
    <xf numFmtId="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 textRotation="58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6A80-8360-476C-97C7-56E42F17B727}">
  <dimension ref="B2:L13"/>
  <sheetViews>
    <sheetView tabSelected="1" topLeftCell="A10" workbookViewId="0">
      <selection activeCell="A2" sqref="A2"/>
    </sheetView>
  </sheetViews>
  <sheetFormatPr defaultRowHeight="24" customHeight="1" x14ac:dyDescent="0.35"/>
  <cols>
    <col min="2" max="3" width="4.26953125" customWidth="1"/>
    <col min="4" max="4" width="39.7265625" customWidth="1"/>
    <col min="5" max="5" width="11.7265625" bestFit="1" customWidth="1"/>
    <col min="6" max="9" width="15.7265625" customWidth="1"/>
    <col min="10" max="10" width="12.7265625" customWidth="1"/>
    <col min="11" max="11" width="23.453125" customWidth="1"/>
    <col min="12" max="12" width="12.7265625" customWidth="1"/>
  </cols>
  <sheetData>
    <row r="2" spans="2:12" ht="24" customHeight="1" x14ac:dyDescent="0.35">
      <c r="B2" s="14" t="s">
        <v>0</v>
      </c>
      <c r="C2" s="15"/>
      <c r="D2" s="15"/>
      <c r="E2" s="15"/>
      <c r="F2" s="16"/>
    </row>
    <row r="3" spans="2:12" ht="24" customHeight="1" x14ac:dyDescent="0.35">
      <c r="B3" s="2" t="s">
        <v>1</v>
      </c>
      <c r="C3" s="3"/>
      <c r="D3" s="4"/>
    </row>
    <row r="4" spans="2:12" ht="58" x14ac:dyDescent="0.35">
      <c r="B4" s="5" t="s">
        <v>2</v>
      </c>
      <c r="C4" s="5" t="s">
        <v>8</v>
      </c>
      <c r="D4" s="5" t="s">
        <v>3</v>
      </c>
      <c r="E4" s="6" t="s">
        <v>4</v>
      </c>
      <c r="F4" s="6" t="s">
        <v>5</v>
      </c>
      <c r="G4" s="6" t="s">
        <v>14</v>
      </c>
      <c r="H4" s="6" t="s">
        <v>16</v>
      </c>
      <c r="I4" s="6" t="s">
        <v>20</v>
      </c>
      <c r="J4" s="6" t="s">
        <v>15</v>
      </c>
      <c r="K4" s="5" t="s">
        <v>6</v>
      </c>
      <c r="L4" s="5" t="s">
        <v>19</v>
      </c>
    </row>
    <row r="5" spans="2:12" ht="24" customHeight="1" x14ac:dyDescent="0.35">
      <c r="B5" s="5">
        <v>1</v>
      </c>
      <c r="C5" s="5">
        <v>5</v>
      </c>
      <c r="D5" s="6" t="s">
        <v>7</v>
      </c>
      <c r="E5" s="7">
        <v>138690</v>
      </c>
      <c r="F5" s="7">
        <f>E5*C5</f>
        <v>693450</v>
      </c>
      <c r="G5" s="11">
        <f>F7+F6+F5</f>
        <v>949300</v>
      </c>
      <c r="H5" s="13">
        <f>G5</f>
        <v>949300</v>
      </c>
      <c r="I5" s="8"/>
      <c r="J5" s="12">
        <v>0</v>
      </c>
      <c r="K5" s="10" t="s">
        <v>13</v>
      </c>
      <c r="L5" s="5">
        <v>3003</v>
      </c>
    </row>
    <row r="6" spans="2:12" ht="24" customHeight="1" x14ac:dyDescent="0.35">
      <c r="B6" s="5">
        <v>2</v>
      </c>
      <c r="C6" s="5" t="s">
        <v>9</v>
      </c>
      <c r="D6" s="5" t="s">
        <v>10</v>
      </c>
      <c r="E6" s="7">
        <v>200000</v>
      </c>
      <c r="F6" s="7">
        <f>E6</f>
        <v>200000</v>
      </c>
      <c r="G6" s="11"/>
      <c r="H6" s="13"/>
      <c r="I6" s="8"/>
      <c r="J6" s="12"/>
      <c r="K6" s="10"/>
      <c r="L6" s="5"/>
    </row>
    <row r="7" spans="2:12" ht="24" customHeight="1" x14ac:dyDescent="0.35">
      <c r="B7" s="5">
        <v>3</v>
      </c>
      <c r="C7" s="5" t="s">
        <v>9</v>
      </c>
      <c r="D7" s="5" t="s">
        <v>10</v>
      </c>
      <c r="E7" s="7">
        <v>55850</v>
      </c>
      <c r="F7" s="7">
        <f>E7</f>
        <v>55850</v>
      </c>
      <c r="G7" s="11"/>
      <c r="H7" s="13"/>
      <c r="I7" s="8"/>
      <c r="J7" s="12"/>
      <c r="K7" s="10"/>
      <c r="L7" s="5"/>
    </row>
    <row r="8" spans="2:12" ht="44.15" customHeight="1" x14ac:dyDescent="0.35">
      <c r="B8" s="5">
        <v>4</v>
      </c>
      <c r="C8" s="5">
        <v>6</v>
      </c>
      <c r="D8" s="6" t="s">
        <v>12</v>
      </c>
      <c r="E8" s="7">
        <f>1400000/6</f>
        <v>233333.33333333334</v>
      </c>
      <c r="F8" s="7">
        <f>E8*C8</f>
        <v>1400000</v>
      </c>
      <c r="G8" s="7">
        <f>500000+300000+300000</f>
        <v>1100000</v>
      </c>
      <c r="H8" s="7">
        <v>600000</v>
      </c>
      <c r="I8" s="7">
        <v>500000</v>
      </c>
      <c r="J8" s="7">
        <f>F8-G8</f>
        <v>300000</v>
      </c>
      <c r="K8" s="6" t="s">
        <v>17</v>
      </c>
      <c r="L8" s="5"/>
    </row>
    <row r="9" spans="2:12" ht="24" customHeight="1" x14ac:dyDescent="0.35">
      <c r="B9" s="5"/>
      <c r="C9" s="5"/>
      <c r="D9" s="5"/>
      <c r="E9" s="7"/>
      <c r="F9" s="7"/>
      <c r="G9" s="7"/>
      <c r="H9" s="7"/>
      <c r="I9" s="7"/>
      <c r="J9" s="7"/>
      <c r="K9" s="5"/>
      <c r="L9" s="5"/>
    </row>
    <row r="10" spans="2:12" ht="24" customHeight="1" x14ac:dyDescent="0.35">
      <c r="B10" s="5"/>
      <c r="C10" s="5"/>
      <c r="D10" s="9" t="s">
        <v>11</v>
      </c>
      <c r="E10" s="7"/>
      <c r="F10" s="7">
        <f>SUM(F5:F9)</f>
        <v>2349300</v>
      </c>
      <c r="G10" s="7"/>
      <c r="H10" s="7"/>
      <c r="I10" s="7"/>
      <c r="J10" s="7"/>
      <c r="K10" s="5"/>
      <c r="L10" s="5"/>
    </row>
    <row r="12" spans="2:12" ht="24" customHeight="1" x14ac:dyDescent="0.35">
      <c r="D12" t="s">
        <v>18</v>
      </c>
      <c r="E12" s="1">
        <f>H5+H8</f>
        <v>1549300</v>
      </c>
    </row>
    <row r="13" spans="2:12" ht="24" customHeight="1" x14ac:dyDescent="0.35">
      <c r="G13" s="1"/>
    </row>
  </sheetData>
  <mergeCells count="5">
    <mergeCell ref="K5:K7"/>
    <mergeCell ref="G5:G7"/>
    <mergeCell ref="J5:J7"/>
    <mergeCell ref="H5:H7"/>
    <mergeCell ref="B2:F2"/>
  </mergeCells>
  <pageMargins left="0.59055118110236227" right="0.39370078740157483" top="0.98425196850393704" bottom="0.78740157480314965" header="0.39370078740157483" footer="0.39370078740157483"/>
  <pageSetup paperSize="9" scale="75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Chimezie Okoro</dc:creator>
  <cp:lastModifiedBy>Aloy Duru</cp:lastModifiedBy>
  <cp:lastPrinted>2026-05-16T18:16:04Z</cp:lastPrinted>
  <dcterms:created xsi:type="dcterms:W3CDTF">2026-03-23T18:09:34Z</dcterms:created>
  <dcterms:modified xsi:type="dcterms:W3CDTF">2026-05-16T18:18:28Z</dcterms:modified>
</cp:coreProperties>
</file>
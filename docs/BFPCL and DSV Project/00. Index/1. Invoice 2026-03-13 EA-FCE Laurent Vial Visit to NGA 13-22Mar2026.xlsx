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FCC - 20May2026\00. Index\"/>
    </mc:Choice>
  </mc:AlternateContent>
  <xr:revisionPtr revIDLastSave="0" documentId="13_ncr:1_{AA0E0A0E-7343-485D-A8DD-A106EC6F563A}" xr6:coauthVersionLast="47" xr6:coauthVersionMax="47" xr10:uidLastSave="{00000000-0000-0000-0000-000000000000}"/>
  <bookViews>
    <workbookView xWindow="-110" yWindow="-110" windowWidth="19420" windowHeight="10300" tabRatio="875" xr2:uid="{00000000-000D-0000-FFFF-FFFF00000000}"/>
  </bookViews>
  <sheets>
    <sheet name="Inv 2026 Laurent Visit Mar" sheetId="75" r:id="rId1"/>
  </sheets>
  <calcPr calcId="191029"/>
</workbook>
</file>

<file path=xl/calcChain.xml><?xml version="1.0" encoding="utf-8"?>
<calcChain xmlns="http://schemas.openxmlformats.org/spreadsheetml/2006/main">
  <c r="L18" i="75" l="1"/>
  <c r="L19" i="75"/>
  <c r="L20" i="75"/>
  <c r="L21" i="75"/>
  <c r="L22" i="75"/>
  <c r="L23" i="75"/>
  <c r="L24" i="75"/>
  <c r="L25" i="75"/>
  <c r="L26" i="75"/>
  <c r="L27" i="75"/>
  <c r="J30" i="75"/>
  <c r="L17" i="75"/>
  <c r="K29" i="75"/>
  <c r="L29" i="75" l="1"/>
</calcChain>
</file>

<file path=xl/sharedStrings.xml><?xml version="1.0" encoding="utf-8"?>
<sst xmlns="http://schemas.openxmlformats.org/spreadsheetml/2006/main" count="91" uniqueCount="77">
  <si>
    <t>Qty</t>
  </si>
  <si>
    <t>Total</t>
  </si>
  <si>
    <t>Epic Atlantic Limited</t>
  </si>
  <si>
    <t>days</t>
  </si>
  <si>
    <t>Unit</t>
  </si>
  <si>
    <t>Start</t>
  </si>
  <si>
    <t>End</t>
  </si>
  <si>
    <t>Description</t>
  </si>
  <si>
    <t>nights</t>
  </si>
  <si>
    <t>Flight Ticket, Los - Phc</t>
  </si>
  <si>
    <t>INVOICE</t>
  </si>
  <si>
    <t>Invoice Date:</t>
  </si>
  <si>
    <t>Invoice Number:</t>
  </si>
  <si>
    <t>RC. 485843</t>
  </si>
  <si>
    <t>12 Kenneth Agbakuru Street</t>
  </si>
  <si>
    <t>TIN:</t>
  </si>
  <si>
    <t>01796075-0001</t>
  </si>
  <si>
    <t>Lekki Phase - 1, Lagos</t>
  </si>
  <si>
    <t>VAT No.</t>
  </si>
  <si>
    <t>10002485843</t>
  </si>
  <si>
    <t>Invoice to:</t>
  </si>
  <si>
    <t>Remittance To:</t>
  </si>
  <si>
    <t>Total Amount in Words:</t>
  </si>
  <si>
    <t>01</t>
  </si>
  <si>
    <t>Correspondent Bank Details</t>
  </si>
  <si>
    <t>Correspondent Bank:</t>
  </si>
  <si>
    <t>Citibank N.A.</t>
  </si>
  <si>
    <t>CITIGB2L</t>
  </si>
  <si>
    <t>IBAN No.</t>
  </si>
  <si>
    <t>Account No.</t>
  </si>
  <si>
    <t>Messrs. Fluid Control Europe – F.C.E</t>
  </si>
  <si>
    <t>786 rue George Sand</t>
  </si>
  <si>
    <t>42350 La Talaudière, France</t>
  </si>
  <si>
    <t>Tel: +234 803 421 4616</t>
  </si>
  <si>
    <t>Ref:</t>
  </si>
  <si>
    <t>Stanbic IBTC Bank Plc</t>
  </si>
  <si>
    <t>s/n</t>
  </si>
  <si>
    <t>NUBAN:  003 291 2282</t>
  </si>
  <si>
    <t>The Palms Shopping Centre</t>
  </si>
  <si>
    <t>Lekki, Lagos</t>
  </si>
  <si>
    <t xml:space="preserve"> Amt (NGN)</t>
  </si>
  <si>
    <t>EUR Equivalent</t>
  </si>
  <si>
    <t>02</t>
  </si>
  <si>
    <t>03</t>
  </si>
  <si>
    <t>04</t>
  </si>
  <si>
    <t>06</t>
  </si>
  <si>
    <t>07</t>
  </si>
  <si>
    <t>day</t>
  </si>
  <si>
    <t>336 Strand, London</t>
  </si>
  <si>
    <t>Swift Code:</t>
  </si>
  <si>
    <t>0012263262</t>
  </si>
  <si>
    <t>GB26 CITI 1850 0812 2632 62</t>
  </si>
  <si>
    <t>SBICNGLX</t>
  </si>
  <si>
    <t>For Final Credit to:</t>
  </si>
  <si>
    <t>Epic Atlantic Limited 003 291 2282</t>
  </si>
  <si>
    <t>Nigeria</t>
  </si>
  <si>
    <t>Reimbursable Expense on Behalf of FCE in Respect of
Laurent Vial Visit to Nigeria, 13-22 Mar 2023</t>
  </si>
  <si>
    <t>Hotel Accommodation 
Lagos, Ibis Hotel</t>
  </si>
  <si>
    <t>night</t>
  </si>
  <si>
    <t>Flight Ticket, Phc-Los</t>
  </si>
  <si>
    <t>08</t>
  </si>
  <si>
    <t>Hotel Accommodation Port Harcourt, Novotel</t>
  </si>
  <si>
    <t>05a</t>
  </si>
  <si>
    <t>05b</t>
  </si>
  <si>
    <t>05c</t>
  </si>
  <si>
    <t>05d</t>
  </si>
  <si>
    <r>
      <t xml:space="preserve">Provision of Armed Mopol &amp; Hilux,including Feeding &amp; Admin Charges, </t>
    </r>
    <r>
      <rPr>
        <sz val="9"/>
        <color rgb="FF00B0F0"/>
        <rFont val="Futura Std Book"/>
        <family val="2"/>
      </rPr>
      <t>- Paymnt 2 of 4</t>
    </r>
  </si>
  <si>
    <r>
      <t xml:space="preserve">Provision of Armed Mopol &amp; Hilux,including Feeding &amp; Admin Charges, </t>
    </r>
    <r>
      <rPr>
        <sz val="9"/>
        <color rgb="FF00B0F0"/>
        <rFont val="Futura Std Book"/>
        <family val="2"/>
      </rPr>
      <t>- Paymnt 1 of 4</t>
    </r>
  </si>
  <si>
    <r>
      <t xml:space="preserve">Provision of Armed Mopol &amp; Hilux,including Feeding &amp; Admin Charges, </t>
    </r>
    <r>
      <rPr>
        <sz val="9"/>
        <color rgb="FF00B0F0"/>
        <rFont val="Futura Std Book"/>
        <family val="2"/>
      </rPr>
      <t>- Paymnt 3 of 4</t>
    </r>
  </si>
  <si>
    <r>
      <t>Local Logistics, Lagos,</t>
    </r>
    <r>
      <rPr>
        <sz val="9"/>
        <rFont val="Futura Std Book"/>
        <family val="2"/>
      </rPr>
      <t xml:space="preserve"> </t>
    </r>
    <r>
      <rPr>
        <sz val="8"/>
        <color rgb="FFFF0000"/>
        <rFont val="Futura Std Book"/>
        <family val="2"/>
      </rPr>
      <t>Part 2 | 2</t>
    </r>
  </si>
  <si>
    <r>
      <t>Local Logistics, Lagos,</t>
    </r>
    <r>
      <rPr>
        <sz val="10"/>
        <color rgb="FF00B0F0"/>
        <rFont val="Futura Std Book"/>
        <family val="2"/>
      </rPr>
      <t xml:space="preserve"> </t>
    </r>
    <r>
      <rPr>
        <sz val="8"/>
        <color rgb="FFFF0000"/>
        <rFont val="Futura Std Book"/>
        <family val="2"/>
      </rPr>
      <t xml:space="preserve">Part 1 | 2 </t>
    </r>
  </si>
  <si>
    <t>INV EA-FCE / 2026-05-22</t>
  </si>
  <si>
    <t>Email Laurent Vial: 7 Mar2026 - Visit to Nigeria</t>
  </si>
  <si>
    <t>EUR / NGN</t>
  </si>
  <si>
    <t>Two Thousand Four Hundred and Two Euro</t>
  </si>
  <si>
    <r>
      <rPr>
        <b/>
        <sz val="8"/>
        <color rgb="FFFF0000"/>
        <rFont val="Futura Std Book"/>
        <family val="2"/>
      </rPr>
      <t>Yet to be Paid</t>
    </r>
    <r>
      <rPr>
        <sz val="8"/>
        <rFont val="Futura Std Book"/>
        <family val="2"/>
      </rPr>
      <t>: Provision of Armed Mopol &amp; Hilux,including Feeding &amp; Admin Charges,</t>
    </r>
    <r>
      <rPr>
        <sz val="8"/>
        <color rgb="FF00B0F0"/>
        <rFont val="Futura Std Book"/>
        <family val="2"/>
      </rPr>
      <t xml:space="preserve"> - Paymnt 4 of 4</t>
    </r>
  </si>
  <si>
    <r>
      <t xml:space="preserve">Naira to Euro CBN Nigeria Exchange Rate at the time of expense + </t>
    </r>
    <r>
      <rPr>
        <sz val="8.5"/>
        <rFont val="Futura Std Book"/>
        <family val="2"/>
      </rPr>
      <t>5% Adjustment, owing to price variation due exchange rate fluctuation: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</si>
</sst>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.000"/>
    <numFmt numFmtId="166" formatCode="[$-409]d\-mmm\-yy;@"/>
    <numFmt numFmtId="167" formatCode="[$-409]d\-mmm\-yyyy;@"/>
    <numFmt numFmtId="168" formatCode="[$-F800]dddd\,\ mmmm\ dd\,\ yyyy"/>
    <numFmt numFmtId="169" formatCode="0.0000000"/>
  </numFmts>
  <fonts count="46">
    <font>
      <sz val="10"/>
      <name val="Arial"/>
    </font>
    <font>
      <sz val="10"/>
      <name val="Arial"/>
      <family val="2"/>
    </font>
    <font>
      <sz val="10"/>
      <name val="Futura Std Book"/>
      <family val="2"/>
    </font>
    <font>
      <b/>
      <sz val="9"/>
      <name val="Futura Std Book"/>
      <family val="2"/>
    </font>
    <font>
      <sz val="8"/>
      <name val="Futura Std Book"/>
      <family val="2"/>
    </font>
    <font>
      <sz val="9"/>
      <name val="Futura Std Book"/>
      <family val="2"/>
    </font>
    <font>
      <b/>
      <sz val="8"/>
      <name val="Futura Std Book"/>
      <family val="2"/>
    </font>
    <font>
      <sz val="7"/>
      <name val="Futura Std Book"/>
      <family val="2"/>
    </font>
    <font>
      <sz val="11"/>
      <name val="Futura Std Book"/>
      <family val="2"/>
    </font>
    <font>
      <sz val="12"/>
      <name val="Futura Std Book"/>
      <family val="2"/>
    </font>
    <font>
      <b/>
      <sz val="12"/>
      <name val="Futura Std Book"/>
      <family val="2"/>
    </font>
    <font>
      <sz val="14"/>
      <name val="Futura Std Book"/>
      <family val="2"/>
    </font>
    <font>
      <b/>
      <u/>
      <sz val="11"/>
      <name val="Futura Std Book"/>
      <family val="2"/>
    </font>
    <font>
      <sz val="12"/>
      <name val="Futura Md"/>
      <family val="2"/>
    </font>
    <font>
      <sz val="12"/>
      <name val="AvantGarde Bk BT"/>
      <family val="2"/>
    </font>
    <font>
      <b/>
      <sz val="11"/>
      <name val="Futura Std Book"/>
      <family val="2"/>
    </font>
    <font>
      <sz val="11"/>
      <color theme="1"/>
      <name val="Calibri"/>
      <family val="2"/>
      <scheme val="minor"/>
    </font>
    <font>
      <b/>
      <sz val="18"/>
      <color rgb="FF0070C0"/>
      <name val="Futura Std Book"/>
      <family val="2"/>
    </font>
    <font>
      <sz val="9"/>
      <color rgb="FF0000FF"/>
      <name val="Futura Md"/>
      <family val="2"/>
    </font>
    <font>
      <b/>
      <sz val="9"/>
      <color rgb="FF00B050"/>
      <name val="Futura Std Book"/>
      <family val="2"/>
    </font>
    <font>
      <b/>
      <u/>
      <sz val="11"/>
      <color rgb="FF0070C0"/>
      <name val="Futura Std Book"/>
      <family val="2"/>
    </font>
    <font>
      <sz val="11"/>
      <color rgb="FF0070C0"/>
      <name val="Futura Std Book"/>
      <family val="2"/>
    </font>
    <font>
      <sz val="7"/>
      <color rgb="FF0070C0"/>
      <name val="Futura Std Book"/>
      <family val="2"/>
    </font>
    <font>
      <sz val="11"/>
      <color theme="0"/>
      <name val="Futura Std Book"/>
      <family val="2"/>
    </font>
    <font>
      <sz val="11"/>
      <color theme="1"/>
      <name val="Futura Std Book"/>
      <family val="2"/>
    </font>
    <font>
      <sz val="9"/>
      <color theme="1"/>
      <name val="Futura Std Book"/>
      <family val="2"/>
    </font>
    <font>
      <sz val="7"/>
      <color theme="1"/>
      <name val="Futura Std Book"/>
      <family val="2"/>
    </font>
    <font>
      <sz val="10"/>
      <color rgb="FF0000FF"/>
      <name val="Futura Std Book"/>
      <family val="2"/>
    </font>
    <font>
      <b/>
      <sz val="12"/>
      <color theme="0"/>
      <name val="Futura Std Book"/>
      <family val="2"/>
    </font>
    <font>
      <sz val="10"/>
      <color theme="1"/>
      <name val="Futura Std Book"/>
      <family val="2"/>
    </font>
    <font>
      <b/>
      <sz val="9"/>
      <color theme="0" tint="-0.14999847407452621"/>
      <name val="Futura Std Book"/>
      <family val="2"/>
    </font>
    <font>
      <sz val="9"/>
      <color theme="0" tint="-0.14999847407452621"/>
      <name val="Futura Std Book"/>
      <family val="2"/>
    </font>
    <font>
      <sz val="14"/>
      <color theme="0"/>
      <name val="Futura Std Book"/>
      <family val="2"/>
    </font>
    <font>
      <sz val="12"/>
      <color theme="0"/>
      <name val="Futura Std Book"/>
      <family val="2"/>
    </font>
    <font>
      <b/>
      <sz val="14"/>
      <color rgb="FFFF0000"/>
      <name val="Futura Std Book"/>
      <family val="2"/>
    </font>
    <font>
      <b/>
      <u/>
      <sz val="11"/>
      <color rgb="FF0000CC"/>
      <name val="Futura Std Book"/>
      <family val="2"/>
    </font>
    <font>
      <sz val="11"/>
      <color rgb="FF0000CC"/>
      <name val="Futura Std Book"/>
      <family val="2"/>
    </font>
    <font>
      <b/>
      <sz val="11"/>
      <color rgb="FF00B050"/>
      <name val="Futura Std Book"/>
      <family val="2"/>
    </font>
    <font>
      <b/>
      <sz val="16"/>
      <color rgb="FFFF0000"/>
      <name val="Futura Std Book"/>
      <family val="2"/>
    </font>
    <font>
      <sz val="10"/>
      <color rgb="FF00B0F0"/>
      <name val="Futura Std Book"/>
      <family val="2"/>
    </font>
    <font>
      <sz val="9"/>
      <color rgb="FF00B0F0"/>
      <name val="Futura Std Book"/>
      <family val="2"/>
    </font>
    <font>
      <sz val="8"/>
      <color rgb="FFFF0000"/>
      <name val="Futura Std Book"/>
      <family val="2"/>
    </font>
    <font>
      <sz val="8"/>
      <color rgb="FF00B0F0"/>
      <name val="Futura Std Book"/>
      <family val="2"/>
    </font>
    <font>
      <sz val="8"/>
      <color rgb="FF0000FF"/>
      <name val="Futura Std Book"/>
      <family val="2"/>
    </font>
    <font>
      <b/>
      <sz val="8"/>
      <color rgb="FFFF0000"/>
      <name val="Futura Std Book"/>
      <family val="2"/>
    </font>
    <font>
      <sz val="8.5"/>
      <name val="Futura Std Book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6" fillId="0" borderId="0"/>
  </cellStyleXfs>
  <cellXfs count="115">
    <xf numFmtId="0" fontId="0" fillId="0" borderId="0" xfId="0"/>
    <xf numFmtId="0" fontId="2" fillId="0" borderId="0" xfId="1" applyFont="1"/>
    <xf numFmtId="0" fontId="17" fillId="0" borderId="0" xfId="1" applyFont="1" applyAlignment="1">
      <alignment vertical="top"/>
    </xf>
    <xf numFmtId="0" fontId="17" fillId="0" borderId="0" xfId="1" applyFont="1" applyAlignment="1">
      <alignment horizontal="left" vertical="top"/>
    </xf>
    <xf numFmtId="0" fontId="1" fillId="0" borderId="0" xfId="1"/>
    <xf numFmtId="0" fontId="3" fillId="0" borderId="0" xfId="1" applyFont="1" applyAlignment="1">
      <alignment horizontal="left" vertical="top"/>
    </xf>
    <xf numFmtId="167" fontId="18" fillId="0" borderId="0" xfId="1" applyNumberFormat="1" applyFont="1" applyAlignment="1">
      <alignment horizontal="left" vertical="center"/>
    </xf>
    <xf numFmtId="168" fontId="4" fillId="0" borderId="0" xfId="1" applyNumberFormat="1" applyFont="1" applyAlignment="1">
      <alignment vertical="top"/>
    </xf>
    <xf numFmtId="0" fontId="3" fillId="0" borderId="0" xfId="1" applyFont="1"/>
    <xf numFmtId="0" fontId="5" fillId="0" borderId="0" xfId="1" applyFont="1" applyAlignment="1">
      <alignment vertical="top"/>
    </xf>
    <xf numFmtId="0" fontId="4" fillId="0" borderId="0" xfId="1" applyFont="1" applyAlignment="1">
      <alignment vertical="top"/>
    </xf>
    <xf numFmtId="0" fontId="19" fillId="0" borderId="0" xfId="1" applyFont="1" applyAlignment="1">
      <alignment horizontal="center" vertical="center" wrapText="1"/>
    </xf>
    <xf numFmtId="0" fontId="5" fillId="0" borderId="0" xfId="1" applyFont="1"/>
    <xf numFmtId="0" fontId="6" fillId="0" borderId="0" xfId="1" applyFont="1" applyAlignment="1">
      <alignment vertical="top"/>
    </xf>
    <xf numFmtId="0" fontId="4" fillId="0" borderId="0" xfId="1" applyFont="1"/>
    <xf numFmtId="0" fontId="20" fillId="0" borderId="0" xfId="1" applyFont="1"/>
    <xf numFmtId="0" fontId="21" fillId="0" borderId="0" xfId="1" applyFont="1"/>
    <xf numFmtId="0" fontId="22" fillId="0" borderId="0" xfId="1" applyFont="1"/>
    <xf numFmtId="0" fontId="7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9" fillId="0" borderId="0" xfId="1" applyFont="1" applyAlignment="1">
      <alignment horizontal="left"/>
    </xf>
    <xf numFmtId="0" fontId="23" fillId="4" borderId="6" xfId="1" applyFont="1" applyFill="1" applyBorder="1" applyAlignment="1">
      <alignment horizontal="justify" vertical="center"/>
    </xf>
    <xf numFmtId="0" fontId="7" fillId="0" borderId="0" xfId="1" applyFont="1"/>
    <xf numFmtId="0" fontId="11" fillId="0" borderId="0" xfId="1" applyFont="1"/>
    <xf numFmtId="0" fontId="24" fillId="2" borderId="4" xfId="1" applyFont="1" applyFill="1" applyBorder="1" applyAlignment="1">
      <alignment vertical="center"/>
    </xf>
    <xf numFmtId="0" fontId="25" fillId="2" borderId="4" xfId="1" applyFont="1" applyFill="1" applyBorder="1"/>
    <xf numFmtId="0" fontId="26" fillId="2" borderId="5" xfId="1" applyFont="1" applyFill="1" applyBorder="1"/>
    <xf numFmtId="0" fontId="26" fillId="2" borderId="3" xfId="1" applyFont="1" applyFill="1" applyBorder="1"/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27" fillId="0" borderId="0" xfId="1" applyFont="1"/>
    <xf numFmtId="0" fontId="13" fillId="0" borderId="0" xfId="1" applyFont="1" applyAlignment="1">
      <alignment horizontal="left" vertical="center"/>
    </xf>
    <xf numFmtId="0" fontId="14" fillId="0" borderId="0" xfId="1" applyFont="1"/>
    <xf numFmtId="0" fontId="28" fillId="4" borderId="6" xfId="1" applyFont="1" applyFill="1" applyBorder="1" applyAlignment="1">
      <alignment horizontal="center" vertical="center"/>
    </xf>
    <xf numFmtId="0" fontId="7" fillId="0" borderId="4" xfId="1" applyFont="1" applyBorder="1"/>
    <xf numFmtId="0" fontId="11" fillId="0" borderId="5" xfId="1" applyFont="1" applyBorder="1"/>
    <xf numFmtId="0" fontId="9" fillId="0" borderId="5" xfId="1" applyFont="1" applyBorder="1" applyAlignment="1">
      <alignment horizontal="center" vertical="center"/>
    </xf>
    <xf numFmtId="4" fontId="9" fillId="0" borderId="3" xfId="1" applyNumberFormat="1" applyFont="1" applyBorder="1" applyAlignment="1">
      <alignment horizontal="center" vertical="center"/>
    </xf>
    <xf numFmtId="0" fontId="5" fillId="0" borderId="1" xfId="1" quotePrefix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29" fillId="2" borderId="4" xfId="1" applyFont="1" applyFill="1" applyBorder="1" applyAlignment="1">
      <alignment vertical="center"/>
    </xf>
    <xf numFmtId="0" fontId="30" fillId="0" borderId="0" xfId="1" applyFont="1" applyAlignment="1">
      <alignment vertical="top"/>
    </xf>
    <xf numFmtId="0" fontId="31" fillId="0" borderId="0" xfId="1" quotePrefix="1" applyFont="1" applyAlignment="1">
      <alignment vertical="top"/>
    </xf>
    <xf numFmtId="0" fontId="31" fillId="0" borderId="0" xfId="1" quotePrefix="1" applyFont="1" applyAlignment="1">
      <alignment horizontal="left" vertical="center"/>
    </xf>
    <xf numFmtId="0" fontId="15" fillId="0" borderId="0" xfId="1" applyFont="1" applyAlignment="1">
      <alignment vertical="center"/>
    </xf>
    <xf numFmtId="4" fontId="2" fillId="0" borderId="1" xfId="1" applyNumberFormat="1" applyFont="1" applyBorder="1" applyAlignment="1">
      <alignment horizontal="center" vertical="center"/>
    </xf>
    <xf numFmtId="0" fontId="32" fillId="4" borderId="8" xfId="1" applyFont="1" applyFill="1" applyBorder="1" applyAlignment="1">
      <alignment vertical="center"/>
    </xf>
    <xf numFmtId="0" fontId="32" fillId="4" borderId="9" xfId="1" applyFont="1" applyFill="1" applyBorder="1" applyAlignment="1">
      <alignment vertical="center"/>
    </xf>
    <xf numFmtId="0" fontId="33" fillId="4" borderId="2" xfId="1" applyFont="1" applyFill="1" applyBorder="1" applyAlignment="1">
      <alignment vertical="center"/>
    </xf>
    <xf numFmtId="166" fontId="7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justify" vertical="center"/>
    </xf>
    <xf numFmtId="4" fontId="2" fillId="0" borderId="2" xfId="0" applyNumberFormat="1" applyFont="1" applyBorder="1" applyAlignment="1">
      <alignment horizontal="center" vertical="center"/>
    </xf>
    <xf numFmtId="4" fontId="9" fillId="0" borderId="10" xfId="1" applyNumberFormat="1" applyFont="1" applyBorder="1" applyAlignment="1">
      <alignment horizontal="center" vertical="center"/>
    </xf>
    <xf numFmtId="0" fontId="17" fillId="3" borderId="12" xfId="1" applyFont="1" applyFill="1" applyBorder="1" applyAlignment="1">
      <alignment vertical="top"/>
    </xf>
    <xf numFmtId="0" fontId="17" fillId="3" borderId="13" xfId="1" applyFont="1" applyFill="1" applyBorder="1" applyAlignment="1">
      <alignment vertical="top"/>
    </xf>
    <xf numFmtId="3" fontId="34" fillId="3" borderId="14" xfId="1" applyNumberFormat="1" applyFont="1" applyFill="1" applyBorder="1" applyAlignment="1">
      <alignment horizontal="center" vertical="center"/>
    </xf>
    <xf numFmtId="4" fontId="8" fillId="0" borderId="15" xfId="1" applyNumberFormat="1" applyFont="1" applyBorder="1" applyAlignment="1">
      <alignment horizontal="left" vertical="center"/>
    </xf>
    <xf numFmtId="165" fontId="2" fillId="0" borderId="1" xfId="1" applyNumberFormat="1" applyFont="1" applyBorder="1" applyAlignment="1">
      <alignment horizontal="left" vertical="center"/>
    </xf>
    <xf numFmtId="4" fontId="27" fillId="0" borderId="1" xfId="1" applyNumberFormat="1" applyFont="1" applyBorder="1" applyAlignment="1">
      <alignment horizontal="center" vertical="center"/>
    </xf>
    <xf numFmtId="0" fontId="33" fillId="4" borderId="6" xfId="1" applyFont="1" applyFill="1" applyBorder="1" applyAlignment="1">
      <alignment horizontal="center" vertical="center" wrapText="1"/>
    </xf>
    <xf numFmtId="0" fontId="28" fillId="4" borderId="8" xfId="1" applyFont="1" applyFill="1" applyBorder="1" applyAlignment="1">
      <alignment vertical="center"/>
    </xf>
    <xf numFmtId="0" fontId="15" fillId="0" borderId="0" xfId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35" fillId="0" borderId="0" xfId="2" applyFont="1" applyAlignment="1">
      <alignment vertical="center"/>
    </xf>
    <xf numFmtId="0" fontId="8" fillId="0" borderId="0" xfId="1" applyFont="1"/>
    <xf numFmtId="0" fontId="15" fillId="0" borderId="0" xfId="2" applyFont="1" applyAlignment="1">
      <alignment horizontal="left" shrinkToFit="1"/>
    </xf>
    <xf numFmtId="0" fontId="8" fillId="0" borderId="4" xfId="1" applyFont="1" applyBorder="1" applyAlignment="1">
      <alignment horizontal="left"/>
    </xf>
    <xf numFmtId="0" fontId="8" fillId="0" borderId="5" xfId="1" applyFont="1" applyBorder="1"/>
    <xf numFmtId="0" fontId="8" fillId="0" borderId="2" xfId="2" applyFont="1" applyBorder="1" applyAlignment="1">
      <alignment horizontal="right" vertical="center"/>
    </xf>
    <xf numFmtId="0" fontId="36" fillId="0" borderId="4" xfId="2" applyFont="1" applyBorder="1" applyAlignment="1">
      <alignment vertical="center"/>
    </xf>
    <xf numFmtId="0" fontId="36" fillId="0" borderId="2" xfId="2" applyFont="1" applyBorder="1" applyAlignment="1">
      <alignment vertical="center" wrapText="1"/>
    </xf>
    <xf numFmtId="0" fontId="15" fillId="0" borderId="5" xfId="1" applyFont="1" applyBorder="1" applyAlignment="1">
      <alignment horizontal="left" shrinkToFit="1"/>
    </xf>
    <xf numFmtId="0" fontId="8" fillId="0" borderId="3" xfId="1" applyFont="1" applyBorder="1"/>
    <xf numFmtId="0" fontId="8" fillId="0" borderId="3" xfId="2" applyFont="1" applyBorder="1" applyAlignment="1">
      <alignment horizontal="right" vertical="center"/>
    </xf>
    <xf numFmtId="0" fontId="36" fillId="0" borderId="4" xfId="2" quotePrefix="1" applyFont="1" applyBorder="1" applyAlignment="1">
      <alignment horizontal="left" vertical="center"/>
    </xf>
    <xf numFmtId="0" fontId="8" fillId="0" borderId="3" xfId="2" applyFont="1" applyBorder="1" applyAlignment="1">
      <alignment vertical="center"/>
    </xf>
    <xf numFmtId="0" fontId="36" fillId="0" borderId="2" xfId="2" applyFont="1" applyBorder="1" applyAlignment="1">
      <alignment vertical="center"/>
    </xf>
    <xf numFmtId="0" fontId="8" fillId="0" borderId="0" xfId="1" applyFont="1" applyAlignment="1">
      <alignment vertical="center"/>
    </xf>
    <xf numFmtId="0" fontId="37" fillId="0" borderId="0" xfId="1" applyFont="1" applyAlignment="1">
      <alignment horizontal="right" vertical="center"/>
    </xf>
    <xf numFmtId="0" fontId="15" fillId="0" borderId="0" xfId="1" applyFont="1"/>
    <xf numFmtId="0" fontId="38" fillId="3" borderId="11" xfId="1" applyFont="1" applyFill="1" applyBorder="1" applyAlignment="1">
      <alignment vertical="center"/>
    </xf>
    <xf numFmtId="169" fontId="43" fillId="0" borderId="1" xfId="1" applyNumberFormat="1" applyFont="1" applyBorder="1" applyAlignment="1">
      <alignment horizontal="center" vertical="center"/>
    </xf>
    <xf numFmtId="3" fontId="10" fillId="0" borderId="7" xfId="1" applyNumberFormat="1" applyFont="1" applyBorder="1" applyAlignment="1">
      <alignment horizontal="center" vertical="center"/>
    </xf>
    <xf numFmtId="0" fontId="5" fillId="3" borderId="1" xfId="1" quotePrefix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left" vertical="justify"/>
    </xf>
    <xf numFmtId="0" fontId="5" fillId="0" borderId="5" xfId="1" applyFont="1" applyBorder="1" applyAlignment="1">
      <alignment horizontal="left" vertical="justify"/>
    </xf>
    <xf numFmtId="0" fontId="5" fillId="0" borderId="3" xfId="1" applyFont="1" applyBorder="1" applyAlignment="1">
      <alignment horizontal="left" vertical="justify"/>
    </xf>
    <xf numFmtId="0" fontId="8" fillId="0" borderId="4" xfId="2" applyFont="1" applyBorder="1" applyAlignment="1">
      <alignment horizontal="right" vertical="center"/>
    </xf>
    <xf numFmtId="0" fontId="8" fillId="0" borderId="5" xfId="2" applyFont="1" applyBorder="1" applyAlignment="1">
      <alignment horizontal="right" vertical="center"/>
    </xf>
    <xf numFmtId="0" fontId="8" fillId="0" borderId="3" xfId="2" applyFont="1" applyBorder="1" applyAlignment="1">
      <alignment horizontal="right" vertical="center"/>
    </xf>
    <xf numFmtId="0" fontId="5" fillId="0" borderId="4" xfId="0" applyFont="1" applyBorder="1" applyAlignment="1">
      <alignment horizontal="justify" vertical="center"/>
    </xf>
    <xf numFmtId="0" fontId="5" fillId="0" borderId="5" xfId="0" applyFont="1" applyBorder="1" applyAlignment="1">
      <alignment horizontal="justify" vertical="center"/>
    </xf>
    <xf numFmtId="0" fontId="5" fillId="0" borderId="3" xfId="0" applyFont="1" applyBorder="1" applyAlignment="1">
      <alignment horizontal="justify" vertical="center"/>
    </xf>
    <xf numFmtId="0" fontId="4" fillId="3" borderId="4" xfId="0" applyFont="1" applyFill="1" applyBorder="1" applyAlignment="1">
      <alignment horizontal="justify" vertical="center"/>
    </xf>
    <xf numFmtId="0" fontId="4" fillId="3" borderId="5" xfId="0" applyFont="1" applyFill="1" applyBorder="1" applyAlignment="1">
      <alignment horizontal="justify" vertical="center"/>
    </xf>
    <xf numFmtId="0" fontId="4" fillId="3" borderId="3" xfId="0" applyFont="1" applyFill="1" applyBorder="1" applyAlignment="1">
      <alignment horizontal="justify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0" fillId="0" borderId="4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</cellXfs>
  <cellStyles count="3">
    <cellStyle name="Normal" xfId="0" builtinId="0"/>
    <cellStyle name="Normal 2 2" xfId="1" xr:uid="{00000000-0005-0000-0000-000001000000}"/>
    <cellStyle name="Normal 2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1123950</xdr:colOff>
      <xdr:row>0</xdr:row>
      <xdr:rowOff>139700</xdr:rowOff>
    </xdr:from>
    <xdr:to>
      <xdr:col>11</xdr:col>
      <xdr:colOff>774700</xdr:colOff>
      <xdr:row>2</xdr:row>
      <xdr:rowOff>25009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81AF42C-BBC0-4CCF-95EA-77AC4F46B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0050" y="139700"/>
          <a:ext cx="812800" cy="431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E5AD-1E9F-4977-9D61-7C793DED1774}">
  <dimension ref="A1:M47"/>
  <sheetViews>
    <sheetView tabSelected="1" zoomScaleNormal="100" workbookViewId="0">
      <selection activeCell="O29" sqref="O29"/>
    </sheetView>
  </sheetViews>
  <sheetFormatPr defaultColWidth="9.1796875" defaultRowHeight="12.5"/>
  <cols>
    <col min="1" max="1" width="1.6328125" style="4" customWidth="1"/>
    <col min="2" max="3" width="4.6328125" style="4" customWidth="1"/>
    <col min="4" max="4" width="7.6328125" style="4" customWidth="1"/>
    <col min="5" max="5" width="12.6328125" style="4" customWidth="1"/>
    <col min="6" max="7" width="7.6328125" style="4" customWidth="1"/>
    <col min="8" max="9" width="4.6328125" style="4" customWidth="1"/>
    <col min="10" max="10" width="10.6328125" style="4" customWidth="1"/>
    <col min="11" max="11" width="16.6328125" style="4" customWidth="1"/>
    <col min="12" max="12" width="20.6328125" style="4" customWidth="1"/>
    <col min="13" max="13" width="1.6328125" style="4" customWidth="1"/>
    <col min="14" max="16384" width="9.1796875" style="4"/>
  </cols>
  <sheetData>
    <row r="1" spans="1:13" ht="13" thickBot="1"/>
    <row r="2" spans="1:13" ht="30" customHeight="1" thickBot="1">
      <c r="A2" s="1"/>
      <c r="B2" s="86" t="s">
        <v>10</v>
      </c>
      <c r="C2" s="58"/>
      <c r="D2" s="59"/>
      <c r="E2" s="2"/>
      <c r="F2" s="3"/>
      <c r="G2" s="1"/>
      <c r="H2" s="1"/>
      <c r="I2" s="1"/>
      <c r="J2" s="1"/>
      <c r="K2" s="1"/>
      <c r="L2" s="1"/>
      <c r="M2" s="1"/>
    </row>
    <row r="3" spans="1:13" ht="14.15" customHeight="1">
      <c r="A3" s="1"/>
      <c r="B3" s="5" t="s">
        <v>11</v>
      </c>
      <c r="C3" s="5"/>
      <c r="D3" s="5"/>
      <c r="E3" s="6">
        <v>46164</v>
      </c>
      <c r="F3" s="7"/>
      <c r="G3" s="7"/>
      <c r="H3" s="7"/>
      <c r="I3" s="1"/>
      <c r="J3" s="1"/>
      <c r="L3" s="8" t="s">
        <v>2</v>
      </c>
      <c r="M3" s="1"/>
    </row>
    <row r="4" spans="1:13" ht="14.15" customHeight="1">
      <c r="A4" s="1"/>
      <c r="B4" s="5" t="s">
        <v>12</v>
      </c>
      <c r="C4" s="5"/>
      <c r="D4" s="5"/>
      <c r="E4" s="9" t="s">
        <v>71</v>
      </c>
      <c r="F4" s="10"/>
      <c r="G4" s="10"/>
      <c r="H4" s="10"/>
      <c r="I4" s="1"/>
      <c r="J4" s="1"/>
      <c r="L4" s="11" t="s">
        <v>13</v>
      </c>
      <c r="M4" s="1"/>
    </row>
    <row r="5" spans="1:13" ht="14.15" customHeight="1">
      <c r="A5" s="1"/>
      <c r="B5" s="13" t="s">
        <v>34</v>
      </c>
      <c r="E5" s="9" t="s">
        <v>72</v>
      </c>
      <c r="F5" s="10"/>
      <c r="G5" s="10"/>
      <c r="H5" s="10"/>
      <c r="I5" s="1"/>
      <c r="J5" s="1"/>
      <c r="L5" s="12" t="s">
        <v>14</v>
      </c>
      <c r="M5" s="1"/>
    </row>
    <row r="6" spans="1:13" ht="14.15" customHeight="1">
      <c r="A6" s="1"/>
      <c r="B6" s="44" t="s">
        <v>15</v>
      </c>
      <c r="C6" s="44"/>
      <c r="D6" s="44"/>
      <c r="E6" s="45" t="s">
        <v>16</v>
      </c>
      <c r="F6" s="10"/>
      <c r="G6" s="10"/>
      <c r="H6" s="10"/>
      <c r="I6" s="1"/>
      <c r="J6" s="1"/>
      <c r="L6" s="12" t="s">
        <v>17</v>
      </c>
      <c r="M6" s="1"/>
    </row>
    <row r="7" spans="1:13" ht="14.15" customHeight="1">
      <c r="A7" s="1"/>
      <c r="B7" s="44" t="s">
        <v>18</v>
      </c>
      <c r="C7" s="44"/>
      <c r="D7" s="44"/>
      <c r="E7" s="46" t="s">
        <v>19</v>
      </c>
      <c r="F7" s="10"/>
      <c r="G7" s="10"/>
      <c r="H7" s="10"/>
      <c r="I7" s="1"/>
      <c r="J7" s="1"/>
      <c r="L7" s="12" t="s">
        <v>33</v>
      </c>
      <c r="M7" s="1"/>
    </row>
    <row r="8" spans="1:13" ht="10" customHeight="1">
      <c r="A8" s="1"/>
      <c r="B8" s="13"/>
      <c r="C8" s="13"/>
      <c r="D8" s="13"/>
      <c r="E8" s="13"/>
      <c r="F8" s="10"/>
      <c r="G8" s="10"/>
      <c r="H8" s="10"/>
      <c r="I8" s="1"/>
      <c r="J8" s="1"/>
      <c r="L8" s="14"/>
      <c r="M8" s="1"/>
    </row>
    <row r="9" spans="1:13" ht="16" customHeight="1">
      <c r="A9" s="1"/>
      <c r="B9" s="15" t="s">
        <v>20</v>
      </c>
      <c r="C9" s="16"/>
      <c r="D9" s="16"/>
      <c r="E9" s="17"/>
      <c r="F9" s="1"/>
      <c r="G9" s="1"/>
      <c r="H9" s="1"/>
      <c r="I9" s="1"/>
      <c r="J9" s="18"/>
      <c r="L9" s="15" t="s">
        <v>21</v>
      </c>
    </row>
    <row r="10" spans="1:13" ht="16" customHeight="1">
      <c r="A10" s="1"/>
      <c r="B10" s="19" t="s">
        <v>30</v>
      </c>
      <c r="C10" s="19"/>
      <c r="D10" s="19"/>
      <c r="E10" s="20"/>
      <c r="F10" s="20"/>
      <c r="G10" s="18"/>
      <c r="H10" s="18"/>
      <c r="I10" s="1"/>
      <c r="J10" s="18"/>
      <c r="L10" s="19" t="s">
        <v>2</v>
      </c>
    </row>
    <row r="11" spans="1:13" ht="16" customHeight="1">
      <c r="A11" s="1"/>
      <c r="B11" s="19" t="s">
        <v>31</v>
      </c>
      <c r="C11" s="19"/>
      <c r="D11" s="19"/>
      <c r="E11" s="20"/>
      <c r="F11" s="20"/>
      <c r="G11" s="18"/>
      <c r="H11" s="18"/>
      <c r="I11" s="1"/>
      <c r="J11" s="18"/>
      <c r="L11" s="21" t="s">
        <v>37</v>
      </c>
    </row>
    <row r="12" spans="1:13" ht="16" customHeight="1">
      <c r="A12" s="1"/>
      <c r="B12" s="19" t="s">
        <v>32</v>
      </c>
      <c r="C12" s="19"/>
      <c r="D12" s="19"/>
      <c r="E12" s="20"/>
      <c r="F12" s="20"/>
      <c r="G12" s="18"/>
      <c r="H12" s="18"/>
      <c r="I12" s="1"/>
      <c r="J12" s="18"/>
      <c r="L12" s="21" t="s">
        <v>35</v>
      </c>
    </row>
    <row r="13" spans="1:13" ht="10" customHeight="1">
      <c r="A13" s="1"/>
      <c r="B13" s="19"/>
      <c r="C13" s="19"/>
      <c r="D13" s="19"/>
      <c r="E13" s="20"/>
      <c r="F13" s="20"/>
      <c r="G13" s="18"/>
      <c r="H13" s="18"/>
      <c r="I13" s="1"/>
      <c r="J13" s="22"/>
      <c r="K13" s="21"/>
      <c r="L13" s="23"/>
    </row>
    <row r="14" spans="1:13" ht="36" customHeight="1">
      <c r="A14" s="1"/>
      <c r="B14" s="111" t="s">
        <v>56</v>
      </c>
      <c r="C14" s="112"/>
      <c r="D14" s="113"/>
      <c r="E14" s="113"/>
      <c r="F14" s="113"/>
      <c r="G14" s="113"/>
      <c r="H14" s="113"/>
      <c r="I14" s="113"/>
      <c r="J14" s="113"/>
      <c r="K14" s="113"/>
      <c r="L14" s="114"/>
      <c r="M14" s="1"/>
    </row>
    <row r="15" spans="1:13" ht="24" customHeight="1">
      <c r="A15" s="1"/>
      <c r="B15" s="24" t="s">
        <v>36</v>
      </c>
      <c r="C15" s="65" t="s">
        <v>7</v>
      </c>
      <c r="D15" s="49"/>
      <c r="E15" s="50"/>
      <c r="F15" s="51" t="s">
        <v>5</v>
      </c>
      <c r="G15" s="51" t="s">
        <v>6</v>
      </c>
      <c r="H15" s="51" t="s">
        <v>0</v>
      </c>
      <c r="I15" s="51" t="s">
        <v>4</v>
      </c>
      <c r="J15" s="64"/>
      <c r="K15" s="36" t="s">
        <v>40</v>
      </c>
      <c r="L15" s="36" t="s">
        <v>41</v>
      </c>
      <c r="M15" s="1"/>
    </row>
    <row r="16" spans="1:13" ht="10" customHeight="1">
      <c r="B16" s="37"/>
      <c r="C16" s="38"/>
      <c r="D16" s="38"/>
      <c r="E16" s="38"/>
      <c r="F16" s="38"/>
      <c r="G16" s="38"/>
      <c r="H16" s="38"/>
      <c r="I16" s="38"/>
      <c r="J16" s="38"/>
      <c r="K16" s="39"/>
      <c r="L16" s="40"/>
    </row>
    <row r="17" spans="1:13" ht="24" customHeight="1">
      <c r="A17" s="1"/>
      <c r="B17" s="41" t="s">
        <v>23</v>
      </c>
      <c r="C17" s="108" t="s">
        <v>70</v>
      </c>
      <c r="D17" s="109"/>
      <c r="E17" s="110"/>
      <c r="F17" s="52">
        <v>46094</v>
      </c>
      <c r="G17" s="52">
        <v>46095</v>
      </c>
      <c r="H17" s="53">
        <v>2</v>
      </c>
      <c r="I17" s="54" t="s">
        <v>3</v>
      </c>
      <c r="K17" s="48">
        <v>130000</v>
      </c>
      <c r="L17" s="63">
        <f>K17*$J$30</f>
        <v>87.771547500000011</v>
      </c>
      <c r="M17" s="1"/>
    </row>
    <row r="18" spans="1:13" ht="25" customHeight="1">
      <c r="A18" s="1"/>
      <c r="B18" s="41" t="s">
        <v>42</v>
      </c>
      <c r="C18" s="105" t="s">
        <v>57</v>
      </c>
      <c r="D18" s="106"/>
      <c r="E18" s="107"/>
      <c r="F18" s="52">
        <v>46094</v>
      </c>
      <c r="G18" s="52">
        <v>46095</v>
      </c>
      <c r="H18" s="53">
        <v>1</v>
      </c>
      <c r="I18" s="54" t="s">
        <v>58</v>
      </c>
      <c r="J18" s="55"/>
      <c r="K18" s="48">
        <v>128279.98</v>
      </c>
      <c r="L18" s="63">
        <f t="shared" ref="L18:L27" si="0">K18*$J$30</f>
        <v>86.610248906685001</v>
      </c>
      <c r="M18" s="1"/>
    </row>
    <row r="19" spans="1:13" ht="24" customHeight="1">
      <c r="A19" s="1"/>
      <c r="B19" s="41" t="s">
        <v>43</v>
      </c>
      <c r="C19" s="102" t="s">
        <v>9</v>
      </c>
      <c r="D19" s="103"/>
      <c r="E19" s="104"/>
      <c r="F19" s="52">
        <v>46095</v>
      </c>
      <c r="G19" s="52">
        <v>46095</v>
      </c>
      <c r="H19" s="53">
        <v>1</v>
      </c>
      <c r="I19" s="54" t="s">
        <v>47</v>
      </c>
      <c r="J19" s="55"/>
      <c r="K19" s="56">
        <v>140000</v>
      </c>
      <c r="L19" s="63">
        <f t="shared" si="0"/>
        <v>94.523205000000004</v>
      </c>
      <c r="M19" s="1"/>
    </row>
    <row r="20" spans="1:13" ht="25" customHeight="1">
      <c r="A20" s="1"/>
      <c r="B20" s="41" t="s">
        <v>44</v>
      </c>
      <c r="C20" s="105" t="s">
        <v>61</v>
      </c>
      <c r="D20" s="106"/>
      <c r="E20" s="107"/>
      <c r="F20" s="52">
        <v>46095</v>
      </c>
      <c r="G20" s="52">
        <v>46100</v>
      </c>
      <c r="H20" s="53">
        <v>5</v>
      </c>
      <c r="I20" s="54" t="s">
        <v>8</v>
      </c>
      <c r="J20" s="55"/>
      <c r="K20" s="48">
        <v>949300</v>
      </c>
      <c r="L20" s="63">
        <f t="shared" si="0"/>
        <v>640.93484647500009</v>
      </c>
      <c r="M20" s="1"/>
    </row>
    <row r="21" spans="1:13" ht="40" customHeight="1">
      <c r="A21" s="1"/>
      <c r="B21" s="41" t="s">
        <v>62</v>
      </c>
      <c r="C21" s="96" t="s">
        <v>67</v>
      </c>
      <c r="D21" s="97"/>
      <c r="E21" s="98"/>
      <c r="F21" s="52">
        <v>46095</v>
      </c>
      <c r="G21" s="52">
        <v>46100</v>
      </c>
      <c r="H21" s="53">
        <v>6</v>
      </c>
      <c r="I21" s="54" t="s">
        <v>3</v>
      </c>
      <c r="J21" s="55"/>
      <c r="K21" s="56">
        <v>300000</v>
      </c>
      <c r="L21" s="63">
        <f t="shared" si="0"/>
        <v>202.54972500000002</v>
      </c>
      <c r="M21" s="1"/>
    </row>
    <row r="22" spans="1:13" ht="40" customHeight="1">
      <c r="A22" s="1"/>
      <c r="B22" s="41" t="s">
        <v>63</v>
      </c>
      <c r="C22" s="96" t="s">
        <v>66</v>
      </c>
      <c r="D22" s="97"/>
      <c r="E22" s="98"/>
      <c r="F22" s="52">
        <v>46095</v>
      </c>
      <c r="G22" s="52">
        <v>46100</v>
      </c>
      <c r="H22" s="53">
        <v>6</v>
      </c>
      <c r="I22" s="54" t="s">
        <v>3</v>
      </c>
      <c r="J22" s="55"/>
      <c r="K22" s="56">
        <v>500000</v>
      </c>
      <c r="L22" s="63">
        <f t="shared" si="0"/>
        <v>337.58287500000006</v>
      </c>
      <c r="M22" s="1"/>
    </row>
    <row r="23" spans="1:13" ht="40" customHeight="1">
      <c r="A23" s="1"/>
      <c r="B23" s="41" t="s">
        <v>64</v>
      </c>
      <c r="C23" s="96" t="s">
        <v>68</v>
      </c>
      <c r="D23" s="97"/>
      <c r="E23" s="98"/>
      <c r="F23" s="52">
        <v>46095</v>
      </c>
      <c r="G23" s="52">
        <v>46100</v>
      </c>
      <c r="H23" s="53">
        <v>6</v>
      </c>
      <c r="I23" s="54" t="s">
        <v>3</v>
      </c>
      <c r="J23" s="55"/>
      <c r="K23" s="56">
        <v>300000</v>
      </c>
      <c r="L23" s="63">
        <f t="shared" si="0"/>
        <v>202.54972500000002</v>
      </c>
      <c r="M23" s="1"/>
    </row>
    <row r="24" spans="1:13" ht="40" customHeight="1">
      <c r="A24" s="1"/>
      <c r="B24" s="89" t="s">
        <v>65</v>
      </c>
      <c r="C24" s="99" t="s">
        <v>75</v>
      </c>
      <c r="D24" s="100"/>
      <c r="E24" s="101"/>
      <c r="F24" s="52">
        <v>46095</v>
      </c>
      <c r="G24" s="52">
        <v>46100</v>
      </c>
      <c r="H24" s="53">
        <v>6</v>
      </c>
      <c r="I24" s="54" t="s">
        <v>3</v>
      </c>
      <c r="J24" s="55"/>
      <c r="K24" s="56">
        <v>300000</v>
      </c>
      <c r="L24" s="63">
        <f t="shared" si="0"/>
        <v>202.54972500000002</v>
      </c>
      <c r="M24" s="1"/>
    </row>
    <row r="25" spans="1:13" ht="24" customHeight="1">
      <c r="A25" s="1"/>
      <c r="B25" s="41" t="s">
        <v>45</v>
      </c>
      <c r="C25" s="102" t="s">
        <v>59</v>
      </c>
      <c r="D25" s="103"/>
      <c r="E25" s="104"/>
      <c r="F25" s="52">
        <v>46100</v>
      </c>
      <c r="G25" s="52">
        <v>46100</v>
      </c>
      <c r="H25" s="53">
        <v>1</v>
      </c>
      <c r="I25" s="54" t="s">
        <v>47</v>
      </c>
      <c r="J25" s="55"/>
      <c r="K25" s="56">
        <v>95000</v>
      </c>
      <c r="L25" s="63">
        <f t="shared" si="0"/>
        <v>64.140746250000007</v>
      </c>
      <c r="M25" s="1"/>
    </row>
    <row r="26" spans="1:13" ht="25" customHeight="1">
      <c r="A26" s="1"/>
      <c r="B26" s="41" t="s">
        <v>46</v>
      </c>
      <c r="C26" s="105" t="s">
        <v>57</v>
      </c>
      <c r="D26" s="106"/>
      <c r="E26" s="107"/>
      <c r="F26" s="52">
        <v>46100</v>
      </c>
      <c r="G26" s="52">
        <v>46103</v>
      </c>
      <c r="H26" s="53">
        <v>3</v>
      </c>
      <c r="I26" s="54" t="s">
        <v>8</v>
      </c>
      <c r="J26" s="55"/>
      <c r="K26" s="48">
        <v>415077.42</v>
      </c>
      <c r="L26" s="63">
        <f t="shared" si="0"/>
        <v>280.24605758236504</v>
      </c>
      <c r="M26" s="1"/>
    </row>
    <row r="27" spans="1:13" ht="24" customHeight="1">
      <c r="A27" s="1"/>
      <c r="B27" s="41" t="s">
        <v>60</v>
      </c>
      <c r="C27" s="108" t="s">
        <v>69</v>
      </c>
      <c r="D27" s="109"/>
      <c r="E27" s="110"/>
      <c r="F27" s="52">
        <v>46100</v>
      </c>
      <c r="G27" s="52">
        <v>46103</v>
      </c>
      <c r="H27" s="53">
        <v>4</v>
      </c>
      <c r="I27" s="54" t="s">
        <v>3</v>
      </c>
      <c r="J27" s="55"/>
      <c r="K27" s="48">
        <v>300000</v>
      </c>
      <c r="L27" s="63">
        <f t="shared" si="0"/>
        <v>202.54972500000002</v>
      </c>
      <c r="M27" s="1"/>
    </row>
    <row r="28" spans="1:13" ht="10" customHeight="1" thickBot="1">
      <c r="B28" s="37"/>
      <c r="C28" s="38"/>
      <c r="D28" s="38"/>
      <c r="E28" s="38"/>
      <c r="F28" s="38"/>
      <c r="G28" s="38"/>
      <c r="H28" s="38"/>
      <c r="I28" s="38"/>
      <c r="J28" s="38"/>
      <c r="K28" s="39"/>
      <c r="L28" s="57"/>
    </row>
    <row r="29" spans="1:13" ht="24" customHeight="1" thickBot="1">
      <c r="B29" s="25"/>
      <c r="C29" s="26"/>
      <c r="D29" s="26"/>
      <c r="E29" s="26"/>
      <c r="F29" s="26"/>
      <c r="G29" s="26"/>
      <c r="H29" s="26"/>
      <c r="I29" s="26"/>
      <c r="J29" s="42" t="s">
        <v>1</v>
      </c>
      <c r="K29" s="88">
        <f>SUM(K17:K27)</f>
        <v>3557657.4</v>
      </c>
      <c r="L29" s="60">
        <f>SUM(L17:L27)</f>
        <v>2402.0084267140505</v>
      </c>
    </row>
    <row r="30" spans="1:13" ht="24" customHeight="1">
      <c r="B30" s="25"/>
      <c r="C30" s="90" t="s">
        <v>76</v>
      </c>
      <c r="D30" s="91"/>
      <c r="E30" s="91"/>
      <c r="F30" s="91"/>
      <c r="G30" s="91"/>
      <c r="H30" s="91"/>
      <c r="I30" s="92"/>
      <c r="J30" s="87">
        <f>0.000643015*1.05</f>
        <v>6.7516575000000007E-4</v>
      </c>
      <c r="K30" s="62" t="s">
        <v>73</v>
      </c>
      <c r="L30" s="61"/>
    </row>
    <row r="31" spans="1:13" ht="12.5" customHeight="1"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</row>
    <row r="32" spans="1:13" ht="24" customHeight="1">
      <c r="B32" s="43" t="s">
        <v>22</v>
      </c>
      <c r="C32" s="28"/>
      <c r="D32" s="28"/>
      <c r="E32" s="28"/>
      <c r="F32" s="27" t="s">
        <v>74</v>
      </c>
      <c r="G32" s="29"/>
      <c r="H32" s="29"/>
      <c r="I32" s="29"/>
      <c r="J32" s="29"/>
      <c r="K32" s="29"/>
      <c r="L32" s="30"/>
    </row>
    <row r="33" spans="2:13" ht="12.5" customHeight="1"/>
    <row r="34" spans="2:13" ht="20" customHeight="1">
      <c r="B34" s="31" t="s">
        <v>21</v>
      </c>
      <c r="C34" s="83"/>
      <c r="D34" s="83"/>
      <c r="E34" s="47"/>
      <c r="F34" s="32"/>
      <c r="K34" s="33"/>
    </row>
    <row r="35" spans="2:13" ht="18" customHeight="1">
      <c r="B35" s="47" t="s">
        <v>2</v>
      </c>
      <c r="C35" s="84"/>
      <c r="D35" s="84"/>
      <c r="E35" s="66"/>
      <c r="F35" s="34"/>
      <c r="G35" s="70"/>
      <c r="H35" s="70"/>
      <c r="I35" s="70"/>
      <c r="J35" s="69" t="s">
        <v>24</v>
      </c>
      <c r="K35" s="71"/>
      <c r="L35" s="71"/>
    </row>
    <row r="36" spans="2:13" ht="18" customHeight="1">
      <c r="B36" s="66" t="s">
        <v>37</v>
      </c>
      <c r="C36" s="70"/>
      <c r="D36" s="70"/>
      <c r="E36" s="67"/>
      <c r="F36" s="34"/>
      <c r="G36" s="72"/>
      <c r="H36" s="72"/>
      <c r="I36" s="73"/>
      <c r="J36" s="74" t="s">
        <v>25</v>
      </c>
      <c r="K36" s="75" t="s">
        <v>26</v>
      </c>
      <c r="L36" s="76" t="s">
        <v>48</v>
      </c>
      <c r="M36" s="35"/>
    </row>
    <row r="37" spans="2:13" ht="18" customHeight="1">
      <c r="B37" s="66" t="s">
        <v>35</v>
      </c>
      <c r="C37" s="85"/>
      <c r="D37" s="85"/>
      <c r="E37" s="66"/>
      <c r="F37" s="34"/>
      <c r="G37" s="72"/>
      <c r="H37" s="72"/>
      <c r="I37" s="77"/>
      <c r="J37" s="74" t="s">
        <v>49</v>
      </c>
      <c r="K37" s="75" t="s">
        <v>27</v>
      </c>
      <c r="L37" s="78"/>
      <c r="M37" s="35"/>
    </row>
    <row r="38" spans="2:13" ht="18" customHeight="1">
      <c r="B38" s="68" t="s">
        <v>38</v>
      </c>
      <c r="C38" s="1"/>
      <c r="D38" s="1"/>
      <c r="E38" s="68"/>
      <c r="F38" s="34"/>
      <c r="G38" s="72"/>
      <c r="H38" s="72"/>
      <c r="I38" s="77"/>
      <c r="J38" s="79" t="s">
        <v>29</v>
      </c>
      <c r="K38" s="80" t="s">
        <v>50</v>
      </c>
      <c r="L38" s="78"/>
      <c r="M38" s="35"/>
    </row>
    <row r="39" spans="2:13" ht="18" customHeight="1">
      <c r="B39" s="68" t="s">
        <v>39</v>
      </c>
      <c r="C39" s="1"/>
      <c r="D39" s="1"/>
      <c r="E39" s="1"/>
      <c r="G39" s="72"/>
      <c r="H39" s="72"/>
      <c r="I39" s="77"/>
      <c r="J39" s="74" t="s">
        <v>28</v>
      </c>
      <c r="K39" s="75" t="s">
        <v>51</v>
      </c>
      <c r="L39" s="81"/>
    </row>
    <row r="40" spans="2:13" ht="18" customHeight="1">
      <c r="B40" s="68" t="s">
        <v>55</v>
      </c>
      <c r="C40" s="1"/>
      <c r="D40" s="1"/>
      <c r="E40" s="1"/>
      <c r="G40" s="72"/>
      <c r="H40" s="72"/>
      <c r="I40" s="77"/>
      <c r="J40" s="74" t="s">
        <v>49</v>
      </c>
      <c r="K40" s="75" t="s">
        <v>52</v>
      </c>
      <c r="L40" s="82"/>
    </row>
    <row r="41" spans="2:13" ht="18" customHeight="1">
      <c r="G41" s="93" t="s">
        <v>53</v>
      </c>
      <c r="H41" s="94"/>
      <c r="I41" s="94"/>
      <c r="J41" s="95"/>
      <c r="K41" s="80" t="s">
        <v>54</v>
      </c>
      <c r="L41" s="78"/>
    </row>
    <row r="42" spans="2:13" ht="12.5" customHeight="1"/>
    <row r="43" spans="2:13" ht="12.5" customHeight="1"/>
    <row r="44" spans="2:13" ht="12.5" customHeight="1"/>
    <row r="45" spans="2:13" ht="12" customHeight="1"/>
    <row r="46" spans="2:13" ht="12" customHeight="1"/>
    <row r="47" spans="2:13" ht="9" customHeight="1"/>
  </sheetData>
  <mergeCells count="14">
    <mergeCell ref="C21:E21"/>
    <mergeCell ref="B14:L14"/>
    <mergeCell ref="C17:E17"/>
    <mergeCell ref="C18:E18"/>
    <mergeCell ref="C19:E19"/>
    <mergeCell ref="C20:E20"/>
    <mergeCell ref="C30:I30"/>
    <mergeCell ref="G41:J41"/>
    <mergeCell ref="C22:E22"/>
    <mergeCell ref="C23:E23"/>
    <mergeCell ref="C24:E24"/>
    <mergeCell ref="C25:E25"/>
    <mergeCell ref="C26:E26"/>
    <mergeCell ref="C27:E27"/>
  </mergeCells>
  <pageMargins left="0.78740157480314965" right="0.19685039370078741" top="0.59055118110236227" bottom="0.39370078740157483" header="0.31496062992125984" footer="0.31496062992125984"/>
  <pageSetup paperSize="9" scale="90" orientation="portrait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 2026 Laurent Visit Mar</vt:lpstr>
    </vt:vector>
  </TitlesOfParts>
  <Company>SPDC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Yomi</dc:creator>
  <cp:lastModifiedBy>Aloy Duru</cp:lastModifiedBy>
  <cp:lastPrinted>2026-05-22T11:59:22Z</cp:lastPrinted>
  <dcterms:created xsi:type="dcterms:W3CDTF">2003-12-01T23:09:47Z</dcterms:created>
  <dcterms:modified xsi:type="dcterms:W3CDTF">2026-05-22T22:50:20Z</dcterms:modified>
</cp:coreProperties>
</file>
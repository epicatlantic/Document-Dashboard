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BFPCL+DSV Project\OKNU+BBOU+ELEP Gas Gathering Project\04. Poduced Water Handling\"/>
    </mc:Choice>
  </mc:AlternateContent>
  <xr:revisionPtr revIDLastSave="0" documentId="13_ncr:1_{7775EB6B-EADD-4CC6-AC38-5EDD76764472}" xr6:coauthVersionLast="47" xr6:coauthVersionMax="47" xr10:uidLastSave="{00000000-0000-0000-0000-000000000000}"/>
  <bookViews>
    <workbookView xWindow="-110" yWindow="-110" windowWidth="19420" windowHeight="10300" tabRatio="853" xr2:uid="{00000000-000D-0000-FFFF-FFFF00000000}"/>
  </bookViews>
  <sheets>
    <sheet name="Produced Water Treatment Option" sheetId="90" r:id="rId1"/>
    <sheet name="Development Costs" sheetId="88" r:id="rId2"/>
    <sheet name="Options for The 1 BSCFD" sheetId="89" r:id="rId3"/>
  </sheets>
  <definedNames>
    <definedName name="_ZA100">#REF!+"aD10"+16897+1.6+0.16</definedName>
    <definedName name="_ZA101">#REF!+"aE10"+16897+1.5+0.15</definedName>
    <definedName name="_ZA102">#REF!+"aF10"+16897+1.39999999999999+0.139999999999999</definedName>
    <definedName name="_ZA103">#REF!+"aG10"+16897+1.19999999999999+0.12</definedName>
    <definedName name="_ZA104">#REF!+"aH10"+16897+1.1+0.11</definedName>
    <definedName name="_ZA105">#REF!+"aI10"+16897+0.9+0.09</definedName>
    <definedName name="_ZA106">#REF!+"aJ10"+16897+0.8+0.08</definedName>
    <definedName name="_ZA107">#REF!+"aK10"+16897+0.699999999999999+0.0699999999999999</definedName>
    <definedName name="_ZA108">#REF!+"aL10"+16897+0.599999999999999+0.0599999999999999</definedName>
    <definedName name="_ZA109">#REF!+"aM10"+16897+0.5+0.05</definedName>
    <definedName name="_ZA110">#REF!+"aN10"+16897+0.4+0.04</definedName>
    <definedName name="_ZA111">#REF!+"aO10"+16897+0.4+0.04</definedName>
    <definedName name="_ZA112">#REF!+"aP10"+16897+0.299999999999999+0.0299999999999999</definedName>
    <definedName name="_ZA113">#REF!+"aQ10"+16897+0.299999999999999+0.0299999999999999</definedName>
    <definedName name="_ZA114">#REF!+"aR10"+16897+0.2+0.02</definedName>
    <definedName name="_ZA115">#REF!+"aS10"+16897+0.2+0.02</definedName>
    <definedName name="_ZA116">#REF!+"aT10"+16897+0.2+0.02</definedName>
    <definedName name="_ZA117">#REF!+"aU10"+16897+0.2+0.02</definedName>
    <definedName name="_ZA118">#REF!+"aV10"+16897+0.1+0.01</definedName>
    <definedName name="_ZA119">#REF!+"aW10"+16897+0.1+0.01</definedName>
    <definedName name="_ZA120">#REF!+"aX10"+16897+0.1+0.01</definedName>
    <definedName name="_ZA121">#REF!+"aY10"+16897+0.1+0.01</definedName>
    <definedName name="_ZA122">#REF!+"aZ10"+16897+0.1+0.01</definedName>
    <definedName name="_ZA123">#REF!+"aAA10"+16897+0.1+0.01</definedName>
    <definedName name="_ZA124">#REF!+"aAB10"+16897+0.1+0.01</definedName>
    <definedName name="_ZA125">#REF!+"aAC10"+16897+0.1+0.01</definedName>
    <definedName name="_ZA126">#REF!+"eAD30"+16897+1.69999999999999+0.17</definedName>
    <definedName name="_ZA127">#REF!+"eAD34"+16897+0.1+0.01</definedName>
    <definedName name="_ZA128">#REF!+"fDirect Variable Cost"+553+0.25+"?"+0.35</definedName>
    <definedName name="_ZA129">#REF!+"fDirect Fixed Cost"+261+0.015+"?"+0.025</definedName>
    <definedName name="_ZF100">#REF!+"8% NPV"+"$MM"+257+257+377+0+0+0+0+4+3+"-"+"+"+2.6+50+2</definedName>
    <definedName name="_ZF101">#REF!+"VIR"+""+513+513+377+0+0+0+0+4+3+"-"+"+"+2.6+50+2</definedName>
    <definedName name="_ZF102">#REF!+"15% NPV"+"$MM"+257+257+377+0+0+0+0+4+3+"-"+"+"+2.6+50+2</definedName>
    <definedName name="_zz112">#REF!+"aP10"+16897+0.299999999999999+0.0299999999999999</definedName>
    <definedName name="_zz114">#REF!+"aQ10"+16897+0.299999999999999+0.0299999999999999</definedName>
    <definedName name="_zz118">#REF!+"aV10"+16897+0.1+0.01</definedName>
    <definedName name="_zz120">#REF!+"aX10"+16897+0.1+0.01</definedName>
    <definedName name="_zz121">#REF!+"aY10"+16897+0.1+0.01</definedName>
    <definedName name="_zz122">#REF!+"aZ10"+16897+0.1+0.01</definedName>
    <definedName name="_zz124">#REF!+"aAA10"+16897+0.1+0.01</definedName>
    <definedName name="_zz125">#REF!+"aAB10"+16897+0.1+0.01</definedName>
    <definedName name="ZA0">"Crystal Ball Data - Ver. 3.0.2"</definedName>
    <definedName name="ZA0A">30+129</definedName>
    <definedName name="ZA0F">3+102</definedName>
    <definedName name="ZA0T">32586178+0</definedName>
  </definedNames>
  <calcPr calcId="191029"/>
</workbook>
</file>

<file path=xl/calcChain.xml><?xml version="1.0" encoding="utf-8"?>
<calcChain xmlns="http://schemas.openxmlformats.org/spreadsheetml/2006/main">
  <c r="C35" i="89" l="1"/>
  <c r="C38" i="89" s="1"/>
  <c r="K54" i="89"/>
  <c r="V54" i="89"/>
  <c r="K53" i="89"/>
  <c r="V53" i="89"/>
  <c r="S44" i="89"/>
  <c r="S43" i="89"/>
  <c r="AB748" i="89"/>
  <c r="AA748" i="89"/>
  <c r="Z748" i="89"/>
  <c r="Y748" i="89"/>
  <c r="X748" i="89"/>
  <c r="V746" i="89"/>
  <c r="U746" i="89"/>
  <c r="V745" i="89"/>
  <c r="U745" i="89"/>
  <c r="V744" i="89"/>
  <c r="U744" i="89"/>
  <c r="V743" i="89"/>
  <c r="U743" i="89"/>
  <c r="T743" i="89"/>
  <c r="R743" i="89"/>
  <c r="V742" i="89"/>
  <c r="U742" i="89"/>
  <c r="T742" i="89"/>
  <c r="R742" i="89"/>
  <c r="R739" i="89"/>
  <c r="S739" i="89" s="1"/>
  <c r="T739" i="89" s="1"/>
  <c r="U739" i="89" s="1"/>
  <c r="V739" i="89" s="1"/>
  <c r="X739" i="89" s="1"/>
  <c r="Y739" i="89" s="1"/>
  <c r="Z739" i="89" s="1"/>
  <c r="AA739" i="89" s="1"/>
  <c r="AB739" i="89" s="1"/>
  <c r="AB734" i="89"/>
  <c r="AA734" i="89"/>
  <c r="Z734" i="89"/>
  <c r="Y734" i="89"/>
  <c r="X734" i="89"/>
  <c r="V734" i="89"/>
  <c r="U734" i="89"/>
  <c r="K731" i="89"/>
  <c r="N731" i="89" s="1"/>
  <c r="T731" i="89" s="1"/>
  <c r="N730" i="89"/>
  <c r="T730" i="89" s="1"/>
  <c r="K728" i="89"/>
  <c r="N728" i="89" s="1"/>
  <c r="N727" i="89"/>
  <c r="R727" i="89" s="1"/>
  <c r="N725" i="89"/>
  <c r="S725" i="89" s="1"/>
  <c r="K724" i="89"/>
  <c r="I724" i="89"/>
  <c r="N723" i="89"/>
  <c r="S723" i="89" s="1"/>
  <c r="N722" i="89"/>
  <c r="N721" i="89"/>
  <c r="N742" i="89" s="1"/>
  <c r="R719" i="89"/>
  <c r="S719" i="89" s="1"/>
  <c r="T719" i="89" s="1"/>
  <c r="U719" i="89" s="1"/>
  <c r="V719" i="89" s="1"/>
  <c r="X719" i="89" s="1"/>
  <c r="Y719" i="89" s="1"/>
  <c r="Z719" i="89" s="1"/>
  <c r="AA719" i="89" s="1"/>
  <c r="AB719" i="89" s="1"/>
  <c r="K716" i="89"/>
  <c r="G716" i="89"/>
  <c r="T716" i="89" s="1"/>
  <c r="K715" i="89"/>
  <c r="G715" i="89"/>
  <c r="T715" i="89" s="1"/>
  <c r="K714" i="89"/>
  <c r="G714" i="89"/>
  <c r="T714" i="89" s="1"/>
  <c r="K713" i="89"/>
  <c r="G713" i="89"/>
  <c r="T713" i="89" s="1"/>
  <c r="R711" i="89"/>
  <c r="S711" i="89" s="1"/>
  <c r="T711" i="89" s="1"/>
  <c r="U711" i="89" s="1"/>
  <c r="V711" i="89" s="1"/>
  <c r="X711" i="89" s="1"/>
  <c r="Y711" i="89" s="1"/>
  <c r="Z711" i="89" s="1"/>
  <c r="AA711" i="89" s="1"/>
  <c r="AB711" i="89" s="1"/>
  <c r="V708" i="89"/>
  <c r="U708" i="89"/>
  <c r="T708" i="89"/>
  <c r="R708" i="89"/>
  <c r="K708" i="89"/>
  <c r="S707" i="89"/>
  <c r="S706" i="89"/>
  <c r="S705" i="89"/>
  <c r="S704" i="89"/>
  <c r="R702" i="89"/>
  <c r="S702" i="89" s="1"/>
  <c r="T702" i="89" s="1"/>
  <c r="U702" i="89" s="1"/>
  <c r="V702" i="89" s="1"/>
  <c r="X702" i="89" s="1"/>
  <c r="Y702" i="89" s="1"/>
  <c r="Z702" i="89" s="1"/>
  <c r="AA702" i="89" s="1"/>
  <c r="AB702" i="89" s="1"/>
  <c r="R697" i="89"/>
  <c r="S697" i="89" s="1"/>
  <c r="T697" i="89" s="1"/>
  <c r="U697" i="89" s="1"/>
  <c r="V697" i="89" s="1"/>
  <c r="X697" i="89" s="1"/>
  <c r="Y697" i="89" s="1"/>
  <c r="Z697" i="89" s="1"/>
  <c r="AA697" i="89" s="1"/>
  <c r="AB697" i="89" s="1"/>
  <c r="AB689" i="89"/>
  <c r="AA689" i="89"/>
  <c r="Z689" i="89"/>
  <c r="Y689" i="89"/>
  <c r="X689" i="89"/>
  <c r="V687" i="89"/>
  <c r="U687" i="89"/>
  <c r="V686" i="89"/>
  <c r="U686" i="89"/>
  <c r="V685" i="89"/>
  <c r="U685" i="89"/>
  <c r="V684" i="89"/>
  <c r="U684" i="89"/>
  <c r="T684" i="89"/>
  <c r="S684" i="89"/>
  <c r="V683" i="89"/>
  <c r="U683" i="89"/>
  <c r="T683" i="89"/>
  <c r="V682" i="89"/>
  <c r="U682" i="89"/>
  <c r="T682" i="89"/>
  <c r="R682" i="89"/>
  <c r="R679" i="89"/>
  <c r="S679" i="89" s="1"/>
  <c r="T679" i="89" s="1"/>
  <c r="U679" i="89" s="1"/>
  <c r="V679" i="89" s="1"/>
  <c r="X679" i="89" s="1"/>
  <c r="Y679" i="89" s="1"/>
  <c r="Z679" i="89" s="1"/>
  <c r="AA679" i="89" s="1"/>
  <c r="AB679" i="89" s="1"/>
  <c r="AB675" i="89"/>
  <c r="AA675" i="89"/>
  <c r="Z675" i="89"/>
  <c r="Y675" i="89"/>
  <c r="X675" i="89"/>
  <c r="V675" i="89"/>
  <c r="U675" i="89"/>
  <c r="N672" i="89"/>
  <c r="K672" i="89"/>
  <c r="N671" i="89"/>
  <c r="T671" i="89" s="1"/>
  <c r="N669" i="89"/>
  <c r="T669" i="89" s="1"/>
  <c r="N668" i="89"/>
  <c r="T668" i="89" s="1"/>
  <c r="N666" i="89"/>
  <c r="R666" i="89" s="1"/>
  <c r="N665" i="89"/>
  <c r="R665" i="89" s="1"/>
  <c r="N664" i="89"/>
  <c r="R664" i="89" s="1"/>
  <c r="N663" i="89"/>
  <c r="R663" i="89" s="1"/>
  <c r="N662" i="89"/>
  <c r="N660" i="89"/>
  <c r="S660" i="89" s="1"/>
  <c r="K659" i="89"/>
  <c r="I659" i="89"/>
  <c r="N658" i="89"/>
  <c r="R658" i="89" s="1"/>
  <c r="N657" i="89"/>
  <c r="R657" i="89" s="1"/>
  <c r="N656" i="89"/>
  <c r="S656" i="89" s="1"/>
  <c r="S682" i="89" s="1"/>
  <c r="R654" i="89"/>
  <c r="S654" i="89" s="1"/>
  <c r="T654" i="89" s="1"/>
  <c r="U654" i="89" s="1"/>
  <c r="V654" i="89" s="1"/>
  <c r="X654" i="89" s="1"/>
  <c r="Y654" i="89" s="1"/>
  <c r="Z654" i="89" s="1"/>
  <c r="AA654" i="89" s="1"/>
  <c r="AB654" i="89" s="1"/>
  <c r="K651" i="89"/>
  <c r="G651" i="89"/>
  <c r="U651" i="89" s="1"/>
  <c r="K650" i="89"/>
  <c r="G650" i="89"/>
  <c r="U650" i="89" s="1"/>
  <c r="K649" i="89"/>
  <c r="G649" i="89"/>
  <c r="U649" i="89" s="1"/>
  <c r="K648" i="89"/>
  <c r="G648" i="89"/>
  <c r="U648" i="89" s="1"/>
  <c r="R646" i="89"/>
  <c r="S646" i="89" s="1"/>
  <c r="T646" i="89" s="1"/>
  <c r="U646" i="89" s="1"/>
  <c r="V646" i="89" s="1"/>
  <c r="X646" i="89" s="1"/>
  <c r="Y646" i="89" s="1"/>
  <c r="Z646" i="89" s="1"/>
  <c r="AA646" i="89" s="1"/>
  <c r="AB646" i="89" s="1"/>
  <c r="V643" i="89"/>
  <c r="U643" i="89"/>
  <c r="T643" i="89"/>
  <c r="K643" i="89"/>
  <c r="S642" i="89"/>
  <c r="S641" i="89"/>
  <c r="S640" i="89"/>
  <c r="R639" i="89"/>
  <c r="R643" i="89" s="1"/>
  <c r="R637" i="89"/>
  <c r="S637" i="89" s="1"/>
  <c r="T637" i="89" s="1"/>
  <c r="U637" i="89" s="1"/>
  <c r="V637" i="89" s="1"/>
  <c r="X637" i="89" s="1"/>
  <c r="Y637" i="89" s="1"/>
  <c r="Z637" i="89" s="1"/>
  <c r="AA637" i="89" s="1"/>
  <c r="AB637" i="89" s="1"/>
  <c r="R632" i="89"/>
  <c r="S632" i="89" s="1"/>
  <c r="T632" i="89" s="1"/>
  <c r="U632" i="89" s="1"/>
  <c r="V632" i="89" s="1"/>
  <c r="X632" i="89" s="1"/>
  <c r="Y632" i="89" s="1"/>
  <c r="Z632" i="89" s="1"/>
  <c r="AA632" i="89" s="1"/>
  <c r="AB632" i="89" s="1"/>
  <c r="AB621" i="89"/>
  <c r="AA621" i="89"/>
  <c r="Z621" i="89"/>
  <c r="Y621" i="89"/>
  <c r="X621" i="89"/>
  <c r="V619" i="89"/>
  <c r="U619" i="89"/>
  <c r="V618" i="89"/>
  <c r="U618" i="89"/>
  <c r="V617" i="89"/>
  <c r="U617" i="89"/>
  <c r="N617" i="89"/>
  <c r="V616" i="89"/>
  <c r="U616" i="89"/>
  <c r="W615" i="89"/>
  <c r="V615" i="89"/>
  <c r="U615" i="89"/>
  <c r="V614" i="89"/>
  <c r="U614" i="89"/>
  <c r="V613" i="89"/>
  <c r="U613" i="89"/>
  <c r="V612" i="89"/>
  <c r="U612" i="89"/>
  <c r="T612" i="89"/>
  <c r="R612" i="89"/>
  <c r="R608" i="89"/>
  <c r="S608" i="89" s="1"/>
  <c r="T608" i="89" s="1"/>
  <c r="U608" i="89" s="1"/>
  <c r="V608" i="89" s="1"/>
  <c r="X608" i="89" s="1"/>
  <c r="Y608" i="89" s="1"/>
  <c r="Z608" i="89" s="1"/>
  <c r="AA608" i="89" s="1"/>
  <c r="AB608" i="89" s="1"/>
  <c r="AB604" i="89"/>
  <c r="AA604" i="89"/>
  <c r="Z604" i="89"/>
  <c r="Y604" i="89"/>
  <c r="X604" i="89"/>
  <c r="V604" i="89"/>
  <c r="U604" i="89"/>
  <c r="N601" i="89"/>
  <c r="T600" i="89"/>
  <c r="T617" i="89" s="1"/>
  <c r="S600" i="89"/>
  <c r="S617" i="89" s="1"/>
  <c r="R600" i="89"/>
  <c r="R617" i="89" s="1"/>
  <c r="K599" i="89"/>
  <c r="N599" i="89" s="1"/>
  <c r="N598" i="89"/>
  <c r="T598" i="89" s="1"/>
  <c r="T615" i="89" s="1"/>
  <c r="K596" i="89"/>
  <c r="N596" i="89" s="1"/>
  <c r="N595" i="89"/>
  <c r="N613" i="89" s="1"/>
  <c r="N593" i="89"/>
  <c r="S593" i="89" s="1"/>
  <c r="K592" i="89"/>
  <c r="I592" i="89"/>
  <c r="N591" i="89"/>
  <c r="S591" i="89" s="1"/>
  <c r="N590" i="89"/>
  <c r="S590" i="89" s="1"/>
  <c r="N589" i="89"/>
  <c r="N611" i="89" s="1"/>
  <c r="R587" i="89"/>
  <c r="S587" i="89" s="1"/>
  <c r="T587" i="89" s="1"/>
  <c r="U587" i="89" s="1"/>
  <c r="V587" i="89" s="1"/>
  <c r="X587" i="89" s="1"/>
  <c r="Y587" i="89" s="1"/>
  <c r="Z587" i="89" s="1"/>
  <c r="AA587" i="89" s="1"/>
  <c r="AB587" i="89" s="1"/>
  <c r="K584" i="89"/>
  <c r="G584" i="89"/>
  <c r="V584" i="89" s="1"/>
  <c r="K583" i="89"/>
  <c r="G583" i="89"/>
  <c r="V583" i="89" s="1"/>
  <c r="K582" i="89"/>
  <c r="G582" i="89"/>
  <c r="V582" i="89" s="1"/>
  <c r="K581" i="89"/>
  <c r="G581" i="89"/>
  <c r="V581" i="89" s="1"/>
  <c r="R579" i="89"/>
  <c r="S579" i="89" s="1"/>
  <c r="T579" i="89" s="1"/>
  <c r="U579" i="89" s="1"/>
  <c r="V579" i="89" s="1"/>
  <c r="X579" i="89" s="1"/>
  <c r="Y579" i="89" s="1"/>
  <c r="Z579" i="89" s="1"/>
  <c r="AA579" i="89" s="1"/>
  <c r="AB579" i="89" s="1"/>
  <c r="V576" i="89"/>
  <c r="U576" i="89"/>
  <c r="T576" i="89"/>
  <c r="R576" i="89"/>
  <c r="K576" i="89"/>
  <c r="S575" i="89"/>
  <c r="S574" i="89"/>
  <c r="S573" i="89"/>
  <c r="S572" i="89"/>
  <c r="R570" i="89"/>
  <c r="S570" i="89" s="1"/>
  <c r="T570" i="89" s="1"/>
  <c r="U570" i="89" s="1"/>
  <c r="V570" i="89" s="1"/>
  <c r="X570" i="89" s="1"/>
  <c r="Y570" i="89" s="1"/>
  <c r="Z570" i="89" s="1"/>
  <c r="AA570" i="89" s="1"/>
  <c r="AB570" i="89" s="1"/>
  <c r="R565" i="89"/>
  <c r="S565" i="89" s="1"/>
  <c r="T565" i="89" s="1"/>
  <c r="U565" i="89" s="1"/>
  <c r="V565" i="89" s="1"/>
  <c r="X565" i="89" s="1"/>
  <c r="Y565" i="89" s="1"/>
  <c r="Z565" i="89" s="1"/>
  <c r="AA565" i="89" s="1"/>
  <c r="AB565" i="89" s="1"/>
  <c r="AB552" i="89"/>
  <c r="AA552" i="89"/>
  <c r="Z552" i="89"/>
  <c r="Y552" i="89"/>
  <c r="X552" i="89"/>
  <c r="V550" i="89"/>
  <c r="U550" i="89"/>
  <c r="V549" i="89"/>
  <c r="U549" i="89"/>
  <c r="V548" i="89"/>
  <c r="U548" i="89"/>
  <c r="V547" i="89"/>
  <c r="U547" i="89"/>
  <c r="V546" i="89"/>
  <c r="U546" i="89"/>
  <c r="V545" i="89"/>
  <c r="U545" i="89"/>
  <c r="T545" i="89"/>
  <c r="R545" i="89"/>
  <c r="R541" i="89"/>
  <c r="S541" i="89" s="1"/>
  <c r="T541" i="89" s="1"/>
  <c r="U541" i="89" s="1"/>
  <c r="V541" i="89" s="1"/>
  <c r="X541" i="89" s="1"/>
  <c r="Y541" i="89" s="1"/>
  <c r="Z541" i="89" s="1"/>
  <c r="AA541" i="89" s="1"/>
  <c r="AB541" i="89" s="1"/>
  <c r="AB537" i="89"/>
  <c r="AA537" i="89"/>
  <c r="Z537" i="89"/>
  <c r="Y537" i="89"/>
  <c r="X537" i="89"/>
  <c r="V537" i="89"/>
  <c r="U537" i="89"/>
  <c r="K534" i="89"/>
  <c r="N534" i="89" s="1"/>
  <c r="T534" i="89" s="1"/>
  <c r="T549" i="89" s="1"/>
  <c r="K533" i="89"/>
  <c r="N533" i="89" s="1"/>
  <c r="N532" i="89"/>
  <c r="R532" i="89" s="1"/>
  <c r="K530" i="89"/>
  <c r="N530" i="89" s="1"/>
  <c r="N547" i="89" s="1"/>
  <c r="N529" i="89"/>
  <c r="N526" i="89"/>
  <c r="S526" i="89" s="1"/>
  <c r="K525" i="89"/>
  <c r="I525" i="89"/>
  <c r="N525" i="89" s="1"/>
  <c r="N524" i="89"/>
  <c r="S524" i="89" s="1"/>
  <c r="N523" i="89"/>
  <c r="S523" i="89" s="1"/>
  <c r="N522" i="89"/>
  <c r="R520" i="89"/>
  <c r="S520" i="89" s="1"/>
  <c r="T520" i="89" s="1"/>
  <c r="U520" i="89" s="1"/>
  <c r="V520" i="89" s="1"/>
  <c r="X520" i="89" s="1"/>
  <c r="Y520" i="89" s="1"/>
  <c r="Z520" i="89" s="1"/>
  <c r="AA520" i="89" s="1"/>
  <c r="AB520" i="89" s="1"/>
  <c r="K517" i="89"/>
  <c r="G517" i="89"/>
  <c r="K516" i="89"/>
  <c r="G516" i="89"/>
  <c r="K515" i="89"/>
  <c r="G515" i="89"/>
  <c r="K514" i="89"/>
  <c r="G514" i="89"/>
  <c r="R512" i="89"/>
  <c r="S512" i="89" s="1"/>
  <c r="T512" i="89" s="1"/>
  <c r="U512" i="89" s="1"/>
  <c r="V512" i="89" s="1"/>
  <c r="X512" i="89" s="1"/>
  <c r="Y512" i="89" s="1"/>
  <c r="Z512" i="89" s="1"/>
  <c r="AA512" i="89" s="1"/>
  <c r="AB512" i="89" s="1"/>
  <c r="V509" i="89"/>
  <c r="U509" i="89"/>
  <c r="T509" i="89"/>
  <c r="R509" i="89"/>
  <c r="K509" i="89"/>
  <c r="S508" i="89"/>
  <c r="S507" i="89"/>
  <c r="S506" i="89"/>
  <c r="S505" i="89"/>
  <c r="R503" i="89"/>
  <c r="S503" i="89" s="1"/>
  <c r="T503" i="89" s="1"/>
  <c r="U503" i="89" s="1"/>
  <c r="V503" i="89" s="1"/>
  <c r="X503" i="89" s="1"/>
  <c r="Y503" i="89" s="1"/>
  <c r="Z503" i="89" s="1"/>
  <c r="AA503" i="89" s="1"/>
  <c r="AB503" i="89" s="1"/>
  <c r="R498" i="89"/>
  <c r="S498" i="89" s="1"/>
  <c r="T498" i="89" s="1"/>
  <c r="U498" i="89" s="1"/>
  <c r="V498" i="89" s="1"/>
  <c r="X498" i="89" s="1"/>
  <c r="Y498" i="89" s="1"/>
  <c r="Z498" i="89" s="1"/>
  <c r="AA498" i="89" s="1"/>
  <c r="AB498" i="89" s="1"/>
  <c r="AB484" i="89"/>
  <c r="AA484" i="89"/>
  <c r="Z484" i="89"/>
  <c r="Y484" i="89"/>
  <c r="X484" i="89"/>
  <c r="V482" i="89"/>
  <c r="U482" i="89"/>
  <c r="V481" i="89"/>
  <c r="U481" i="89"/>
  <c r="V480" i="89"/>
  <c r="U480" i="89"/>
  <c r="V479" i="89"/>
  <c r="U479" i="89"/>
  <c r="V478" i="89"/>
  <c r="U478" i="89"/>
  <c r="N478" i="89"/>
  <c r="V477" i="89"/>
  <c r="U477" i="89"/>
  <c r="T477" i="89"/>
  <c r="R477" i="89"/>
  <c r="R473" i="89"/>
  <c r="S473" i="89" s="1"/>
  <c r="T473" i="89" s="1"/>
  <c r="U473" i="89" s="1"/>
  <c r="V473" i="89" s="1"/>
  <c r="X473" i="89" s="1"/>
  <c r="Y473" i="89" s="1"/>
  <c r="Z473" i="89" s="1"/>
  <c r="AA473" i="89" s="1"/>
  <c r="AB473" i="89" s="1"/>
  <c r="AB469" i="89"/>
  <c r="AA469" i="89"/>
  <c r="Z469" i="89"/>
  <c r="Y469" i="89"/>
  <c r="X469" i="89"/>
  <c r="V469" i="89"/>
  <c r="U469" i="89"/>
  <c r="K466" i="89"/>
  <c r="N466" i="89" s="1"/>
  <c r="N465" i="89"/>
  <c r="T465" i="89" s="1"/>
  <c r="T479" i="89" s="1"/>
  <c r="N463" i="89"/>
  <c r="N479" i="89" s="1"/>
  <c r="T462" i="89"/>
  <c r="S462" i="89"/>
  <c r="R462" i="89"/>
  <c r="T461" i="89"/>
  <c r="S461" i="89"/>
  <c r="R461" i="89"/>
  <c r="N459" i="89"/>
  <c r="S459" i="89" s="1"/>
  <c r="K458" i="89"/>
  <c r="I458" i="89"/>
  <c r="N457" i="89"/>
  <c r="N456" i="89"/>
  <c r="N455" i="89"/>
  <c r="S455" i="89" s="1"/>
  <c r="R453" i="89"/>
  <c r="S453" i="89" s="1"/>
  <c r="T453" i="89" s="1"/>
  <c r="U453" i="89" s="1"/>
  <c r="V453" i="89" s="1"/>
  <c r="X453" i="89" s="1"/>
  <c r="Y453" i="89" s="1"/>
  <c r="Z453" i="89" s="1"/>
  <c r="AA453" i="89" s="1"/>
  <c r="AB453" i="89" s="1"/>
  <c r="K450" i="89"/>
  <c r="G450" i="89"/>
  <c r="U450" i="89" s="1"/>
  <c r="K449" i="89"/>
  <c r="G449" i="89"/>
  <c r="U449" i="89" s="1"/>
  <c r="K448" i="89"/>
  <c r="G448" i="89"/>
  <c r="U448" i="89" s="1"/>
  <c r="K447" i="89"/>
  <c r="G447" i="89"/>
  <c r="U447" i="89" s="1"/>
  <c r="R445" i="89"/>
  <c r="S445" i="89" s="1"/>
  <c r="T445" i="89" s="1"/>
  <c r="U445" i="89" s="1"/>
  <c r="V445" i="89" s="1"/>
  <c r="X445" i="89" s="1"/>
  <c r="Y445" i="89" s="1"/>
  <c r="Z445" i="89" s="1"/>
  <c r="AA445" i="89" s="1"/>
  <c r="AB445" i="89" s="1"/>
  <c r="V442" i="89"/>
  <c r="U442" i="89"/>
  <c r="T442" i="89"/>
  <c r="R442" i="89"/>
  <c r="K442" i="89"/>
  <c r="S441" i="89"/>
  <c r="S440" i="89"/>
  <c r="S439" i="89"/>
  <c r="S438" i="89"/>
  <c r="S447" i="89" s="1"/>
  <c r="R436" i="89"/>
  <c r="S436" i="89" s="1"/>
  <c r="T436" i="89" s="1"/>
  <c r="U436" i="89" s="1"/>
  <c r="V436" i="89" s="1"/>
  <c r="X436" i="89" s="1"/>
  <c r="Y436" i="89" s="1"/>
  <c r="Z436" i="89" s="1"/>
  <c r="AA436" i="89" s="1"/>
  <c r="AB436" i="89" s="1"/>
  <c r="R431" i="89"/>
  <c r="S431" i="89" s="1"/>
  <c r="T431" i="89" s="1"/>
  <c r="U431" i="89" s="1"/>
  <c r="V431" i="89" s="1"/>
  <c r="X431" i="89" s="1"/>
  <c r="Y431" i="89" s="1"/>
  <c r="Z431" i="89" s="1"/>
  <c r="AA431" i="89" s="1"/>
  <c r="AB431" i="89" s="1"/>
  <c r="AB417" i="89"/>
  <c r="AA417" i="89"/>
  <c r="Z417" i="89"/>
  <c r="Y417" i="89"/>
  <c r="X417" i="89"/>
  <c r="V415" i="89"/>
  <c r="U415" i="89"/>
  <c r="V414" i="89"/>
  <c r="U414" i="89"/>
  <c r="V413" i="89"/>
  <c r="U413" i="89"/>
  <c r="V412" i="89"/>
  <c r="U412" i="89"/>
  <c r="V411" i="89"/>
  <c r="U411" i="89"/>
  <c r="N411" i="89"/>
  <c r="V410" i="89"/>
  <c r="U410" i="89"/>
  <c r="T410" i="89"/>
  <c r="R410" i="89"/>
  <c r="R406" i="89"/>
  <c r="S406" i="89" s="1"/>
  <c r="T406" i="89" s="1"/>
  <c r="U406" i="89" s="1"/>
  <c r="V406" i="89" s="1"/>
  <c r="X406" i="89" s="1"/>
  <c r="Y406" i="89" s="1"/>
  <c r="Z406" i="89" s="1"/>
  <c r="AA406" i="89" s="1"/>
  <c r="AB406" i="89" s="1"/>
  <c r="AB402" i="89"/>
  <c r="AA402" i="89"/>
  <c r="Z402" i="89"/>
  <c r="Y402" i="89"/>
  <c r="X402" i="89"/>
  <c r="V402" i="89"/>
  <c r="U402" i="89"/>
  <c r="K399" i="89"/>
  <c r="N399" i="89" s="1"/>
  <c r="T399" i="89" s="1"/>
  <c r="T413" i="89" s="1"/>
  <c r="N398" i="89"/>
  <c r="K396" i="89"/>
  <c r="N396" i="89" s="1"/>
  <c r="T395" i="89"/>
  <c r="S395" i="89"/>
  <c r="R395" i="89"/>
  <c r="T394" i="89"/>
  <c r="S394" i="89"/>
  <c r="R394" i="89"/>
  <c r="N392" i="89"/>
  <c r="S392" i="89" s="1"/>
  <c r="K391" i="89"/>
  <c r="I391" i="89"/>
  <c r="N390" i="89"/>
  <c r="S390" i="89" s="1"/>
  <c r="N389" i="89"/>
  <c r="S389" i="89" s="1"/>
  <c r="N388" i="89"/>
  <c r="N409" i="89" s="1"/>
  <c r="R386" i="89"/>
  <c r="S386" i="89" s="1"/>
  <c r="T386" i="89" s="1"/>
  <c r="U386" i="89" s="1"/>
  <c r="V386" i="89" s="1"/>
  <c r="X386" i="89" s="1"/>
  <c r="Y386" i="89" s="1"/>
  <c r="Z386" i="89" s="1"/>
  <c r="AA386" i="89" s="1"/>
  <c r="AB386" i="89" s="1"/>
  <c r="K383" i="89"/>
  <c r="G383" i="89"/>
  <c r="T383" i="89" s="1"/>
  <c r="K382" i="89"/>
  <c r="G382" i="89"/>
  <c r="T382" i="89" s="1"/>
  <c r="K381" i="89"/>
  <c r="G381" i="89"/>
  <c r="T381" i="89" s="1"/>
  <c r="K380" i="89"/>
  <c r="G380" i="89"/>
  <c r="T380" i="89" s="1"/>
  <c r="R378" i="89"/>
  <c r="S378" i="89" s="1"/>
  <c r="T378" i="89" s="1"/>
  <c r="U378" i="89" s="1"/>
  <c r="V378" i="89" s="1"/>
  <c r="X378" i="89" s="1"/>
  <c r="Y378" i="89" s="1"/>
  <c r="Z378" i="89" s="1"/>
  <c r="AA378" i="89" s="1"/>
  <c r="AB378" i="89" s="1"/>
  <c r="V375" i="89"/>
  <c r="U375" i="89"/>
  <c r="T375" i="89"/>
  <c r="R375" i="89"/>
  <c r="K375" i="89"/>
  <c r="S374" i="89"/>
  <c r="S373" i="89"/>
  <c r="S372" i="89"/>
  <c r="S371" i="89"/>
  <c r="R369" i="89"/>
  <c r="S369" i="89" s="1"/>
  <c r="T369" i="89" s="1"/>
  <c r="U369" i="89" s="1"/>
  <c r="V369" i="89" s="1"/>
  <c r="X369" i="89" s="1"/>
  <c r="Y369" i="89" s="1"/>
  <c r="Z369" i="89" s="1"/>
  <c r="AA369" i="89" s="1"/>
  <c r="AB369" i="89" s="1"/>
  <c r="R364" i="89"/>
  <c r="S364" i="89" s="1"/>
  <c r="T364" i="89" s="1"/>
  <c r="U364" i="89" s="1"/>
  <c r="V364" i="89" s="1"/>
  <c r="X364" i="89" s="1"/>
  <c r="Y364" i="89" s="1"/>
  <c r="Z364" i="89" s="1"/>
  <c r="AA364" i="89" s="1"/>
  <c r="AB364" i="89" s="1"/>
  <c r="AB352" i="89"/>
  <c r="AA352" i="89"/>
  <c r="Z352" i="89"/>
  <c r="Y352" i="89"/>
  <c r="X352" i="89"/>
  <c r="V350" i="89"/>
  <c r="U350" i="89"/>
  <c r="V349" i="89"/>
  <c r="U349" i="89"/>
  <c r="V348" i="89"/>
  <c r="U348" i="89"/>
  <c r="V347" i="89"/>
  <c r="U347" i="89"/>
  <c r="V346" i="89"/>
  <c r="U346" i="89"/>
  <c r="N346" i="89"/>
  <c r="V345" i="89"/>
  <c r="U345" i="89"/>
  <c r="T345" i="89"/>
  <c r="R345" i="89"/>
  <c r="R341" i="89"/>
  <c r="S341" i="89" s="1"/>
  <c r="T341" i="89" s="1"/>
  <c r="U341" i="89" s="1"/>
  <c r="V341" i="89" s="1"/>
  <c r="X341" i="89" s="1"/>
  <c r="Y341" i="89" s="1"/>
  <c r="Z341" i="89" s="1"/>
  <c r="AA341" i="89" s="1"/>
  <c r="AB341" i="89" s="1"/>
  <c r="AB337" i="89"/>
  <c r="AA337" i="89"/>
  <c r="Z337" i="89"/>
  <c r="Y337" i="89"/>
  <c r="X337" i="89"/>
  <c r="V337" i="89"/>
  <c r="U337" i="89"/>
  <c r="N334" i="89"/>
  <c r="S334" i="89" s="1"/>
  <c r="T333" i="89"/>
  <c r="S333" i="89"/>
  <c r="R333" i="89"/>
  <c r="K332" i="89"/>
  <c r="N332" i="89" s="1"/>
  <c r="N331" i="89"/>
  <c r="R331" i="89" s="1"/>
  <c r="N329" i="89"/>
  <c r="N347" i="89" s="1"/>
  <c r="T328" i="89"/>
  <c r="S328" i="89"/>
  <c r="R328" i="89"/>
  <c r="T327" i="89"/>
  <c r="S327" i="89"/>
  <c r="R327" i="89"/>
  <c r="N325" i="89"/>
  <c r="S325" i="89" s="1"/>
  <c r="K324" i="89"/>
  <c r="I324" i="89"/>
  <c r="N324" i="89" s="1"/>
  <c r="S324" i="89" s="1"/>
  <c r="N323" i="89"/>
  <c r="S323" i="89" s="1"/>
  <c r="N322" i="89"/>
  <c r="N321" i="89"/>
  <c r="N344" i="89" s="1"/>
  <c r="R319" i="89"/>
  <c r="S319" i="89" s="1"/>
  <c r="T319" i="89" s="1"/>
  <c r="U319" i="89" s="1"/>
  <c r="V319" i="89" s="1"/>
  <c r="X319" i="89" s="1"/>
  <c r="Y319" i="89" s="1"/>
  <c r="Z319" i="89" s="1"/>
  <c r="AA319" i="89" s="1"/>
  <c r="AB319" i="89" s="1"/>
  <c r="K316" i="89"/>
  <c r="G316" i="89"/>
  <c r="K315" i="89"/>
  <c r="G315" i="89"/>
  <c r="T315" i="89" s="1"/>
  <c r="K314" i="89"/>
  <c r="G314" i="89"/>
  <c r="T314" i="89" s="1"/>
  <c r="K313" i="89"/>
  <c r="G313" i="89"/>
  <c r="R311" i="89"/>
  <c r="S311" i="89" s="1"/>
  <c r="T311" i="89" s="1"/>
  <c r="U311" i="89" s="1"/>
  <c r="V311" i="89" s="1"/>
  <c r="X311" i="89" s="1"/>
  <c r="Y311" i="89" s="1"/>
  <c r="Z311" i="89" s="1"/>
  <c r="AA311" i="89" s="1"/>
  <c r="AB311" i="89" s="1"/>
  <c r="V308" i="89"/>
  <c r="U308" i="89"/>
  <c r="T308" i="89"/>
  <c r="R308" i="89"/>
  <c r="K308" i="89"/>
  <c r="S307" i="89"/>
  <c r="S306" i="89"/>
  <c r="S305" i="89"/>
  <c r="S304" i="89"/>
  <c r="R302" i="89"/>
  <c r="S302" i="89" s="1"/>
  <c r="T302" i="89" s="1"/>
  <c r="U302" i="89" s="1"/>
  <c r="V302" i="89" s="1"/>
  <c r="X302" i="89" s="1"/>
  <c r="Y302" i="89" s="1"/>
  <c r="Z302" i="89" s="1"/>
  <c r="AA302" i="89" s="1"/>
  <c r="AB302" i="89" s="1"/>
  <c r="R297" i="89"/>
  <c r="S297" i="89" s="1"/>
  <c r="T297" i="89" s="1"/>
  <c r="U297" i="89" s="1"/>
  <c r="V297" i="89" s="1"/>
  <c r="X297" i="89" s="1"/>
  <c r="Y297" i="89" s="1"/>
  <c r="Z297" i="89" s="1"/>
  <c r="AA297" i="89" s="1"/>
  <c r="AB297" i="89" s="1"/>
  <c r="AB285" i="89"/>
  <c r="AA285" i="89"/>
  <c r="Z285" i="89"/>
  <c r="Y285" i="89"/>
  <c r="X285" i="89"/>
  <c r="V283" i="89"/>
  <c r="U283" i="89"/>
  <c r="V282" i="89"/>
  <c r="U282" i="89"/>
  <c r="V281" i="89"/>
  <c r="U281" i="89"/>
  <c r="V280" i="89"/>
  <c r="U280" i="89"/>
  <c r="V279" i="89"/>
  <c r="U279" i="89"/>
  <c r="T279" i="89"/>
  <c r="R279" i="89"/>
  <c r="R275" i="89"/>
  <c r="S275" i="89" s="1"/>
  <c r="T275" i="89" s="1"/>
  <c r="U275" i="89" s="1"/>
  <c r="V275" i="89" s="1"/>
  <c r="X275" i="89" s="1"/>
  <c r="Y275" i="89" s="1"/>
  <c r="Z275" i="89" s="1"/>
  <c r="AA275" i="89" s="1"/>
  <c r="AB275" i="89" s="1"/>
  <c r="AB271" i="89"/>
  <c r="AA271" i="89"/>
  <c r="Z271" i="89"/>
  <c r="Y271" i="89"/>
  <c r="X271" i="89"/>
  <c r="V271" i="89"/>
  <c r="U271" i="89"/>
  <c r="K268" i="89"/>
  <c r="N268" i="89" s="1"/>
  <c r="R268" i="89" s="1"/>
  <c r="R282" i="89" s="1"/>
  <c r="K267" i="89"/>
  <c r="N267" i="89" s="1"/>
  <c r="N266" i="89"/>
  <c r="T266" i="89" s="1"/>
  <c r="K264" i="89"/>
  <c r="N264" i="89" s="1"/>
  <c r="R264" i="89" s="1"/>
  <c r="N263" i="89"/>
  <c r="S263" i="89" s="1"/>
  <c r="N261" i="89"/>
  <c r="S261" i="89" s="1"/>
  <c r="K260" i="89"/>
  <c r="I260" i="89"/>
  <c r="N259" i="89"/>
  <c r="S259" i="89" s="1"/>
  <c r="N258" i="89"/>
  <c r="N257" i="89"/>
  <c r="S257" i="89" s="1"/>
  <c r="R255" i="89"/>
  <c r="S255" i="89" s="1"/>
  <c r="T255" i="89" s="1"/>
  <c r="U255" i="89" s="1"/>
  <c r="V255" i="89" s="1"/>
  <c r="X255" i="89" s="1"/>
  <c r="Y255" i="89" s="1"/>
  <c r="Z255" i="89" s="1"/>
  <c r="AA255" i="89" s="1"/>
  <c r="AB255" i="89" s="1"/>
  <c r="K252" i="89"/>
  <c r="G252" i="89"/>
  <c r="T252" i="89" s="1"/>
  <c r="K251" i="89"/>
  <c r="G251" i="89"/>
  <c r="V251" i="89" s="1"/>
  <c r="K250" i="89"/>
  <c r="G250" i="89"/>
  <c r="K249" i="89"/>
  <c r="G249" i="89"/>
  <c r="R249" i="89" s="1"/>
  <c r="R247" i="89"/>
  <c r="S247" i="89" s="1"/>
  <c r="T247" i="89" s="1"/>
  <c r="U247" i="89" s="1"/>
  <c r="V247" i="89" s="1"/>
  <c r="X247" i="89" s="1"/>
  <c r="Y247" i="89" s="1"/>
  <c r="Z247" i="89" s="1"/>
  <c r="AA247" i="89" s="1"/>
  <c r="AB247" i="89" s="1"/>
  <c r="V244" i="89"/>
  <c r="U244" i="89"/>
  <c r="T244" i="89"/>
  <c r="R244" i="89"/>
  <c r="K244" i="89"/>
  <c r="S243" i="89"/>
  <c r="S242" i="89"/>
  <c r="S241" i="89"/>
  <c r="S240" i="89"/>
  <c r="R238" i="89"/>
  <c r="S238" i="89" s="1"/>
  <c r="T238" i="89" s="1"/>
  <c r="U238" i="89" s="1"/>
  <c r="V238" i="89" s="1"/>
  <c r="X238" i="89" s="1"/>
  <c r="Y238" i="89" s="1"/>
  <c r="Z238" i="89" s="1"/>
  <c r="AA238" i="89" s="1"/>
  <c r="AB238" i="89" s="1"/>
  <c r="R233" i="89"/>
  <c r="S233" i="89" s="1"/>
  <c r="T233" i="89" s="1"/>
  <c r="U233" i="89" s="1"/>
  <c r="V233" i="89" s="1"/>
  <c r="X233" i="89" s="1"/>
  <c r="Y233" i="89" s="1"/>
  <c r="Z233" i="89" s="1"/>
  <c r="AA233" i="89" s="1"/>
  <c r="AB233" i="89" s="1"/>
  <c r="AB220" i="89"/>
  <c r="AA220" i="89"/>
  <c r="Z220" i="89"/>
  <c r="Y220" i="89"/>
  <c r="X220" i="89"/>
  <c r="V218" i="89"/>
  <c r="U218" i="89"/>
  <c r="V217" i="89"/>
  <c r="U217" i="89"/>
  <c r="V216" i="89"/>
  <c r="U216" i="89"/>
  <c r="V215" i="89"/>
  <c r="U215" i="89"/>
  <c r="V214" i="89"/>
  <c r="U214" i="89"/>
  <c r="T214" i="89"/>
  <c r="R214" i="89"/>
  <c r="R210" i="89"/>
  <c r="S210" i="89" s="1"/>
  <c r="T210" i="89" s="1"/>
  <c r="U210" i="89" s="1"/>
  <c r="V210" i="89" s="1"/>
  <c r="X210" i="89" s="1"/>
  <c r="Y210" i="89" s="1"/>
  <c r="Z210" i="89" s="1"/>
  <c r="AA210" i="89" s="1"/>
  <c r="AB210" i="89" s="1"/>
  <c r="AB206" i="89"/>
  <c r="AA206" i="89"/>
  <c r="Z206" i="89"/>
  <c r="Y206" i="89"/>
  <c r="X206" i="89"/>
  <c r="V206" i="89"/>
  <c r="U206" i="89"/>
  <c r="K203" i="89"/>
  <c r="N203" i="89" s="1"/>
  <c r="T203" i="89" s="1"/>
  <c r="T217" i="89" s="1"/>
  <c r="K202" i="89"/>
  <c r="N202" i="89" s="1"/>
  <c r="N201" i="89"/>
  <c r="R201" i="89" s="1"/>
  <c r="K199" i="89"/>
  <c r="N199" i="89" s="1"/>
  <c r="T199" i="89" s="1"/>
  <c r="N198" i="89"/>
  <c r="T198" i="89" s="1"/>
  <c r="N196" i="89"/>
  <c r="S196" i="89" s="1"/>
  <c r="K195" i="89"/>
  <c r="I195" i="89"/>
  <c r="N195" i="89" s="1"/>
  <c r="S195" i="89" s="1"/>
  <c r="N194" i="89"/>
  <c r="S194" i="89" s="1"/>
  <c r="N193" i="89"/>
  <c r="N192" i="89"/>
  <c r="S192" i="89" s="1"/>
  <c r="R190" i="89"/>
  <c r="S190" i="89" s="1"/>
  <c r="T190" i="89" s="1"/>
  <c r="U190" i="89" s="1"/>
  <c r="V190" i="89" s="1"/>
  <c r="X190" i="89" s="1"/>
  <c r="Y190" i="89" s="1"/>
  <c r="Z190" i="89" s="1"/>
  <c r="AA190" i="89" s="1"/>
  <c r="AB190" i="89" s="1"/>
  <c r="K187" i="89"/>
  <c r="G187" i="89"/>
  <c r="U187" i="89" s="1"/>
  <c r="K186" i="89"/>
  <c r="G186" i="89"/>
  <c r="U186" i="89" s="1"/>
  <c r="K185" i="89"/>
  <c r="G185" i="89"/>
  <c r="U185" i="89" s="1"/>
  <c r="K184" i="89"/>
  <c r="G184" i="89"/>
  <c r="R182" i="89"/>
  <c r="S182" i="89" s="1"/>
  <c r="T182" i="89" s="1"/>
  <c r="U182" i="89" s="1"/>
  <c r="V182" i="89" s="1"/>
  <c r="X182" i="89" s="1"/>
  <c r="Y182" i="89" s="1"/>
  <c r="Z182" i="89" s="1"/>
  <c r="AA182" i="89" s="1"/>
  <c r="AB182" i="89" s="1"/>
  <c r="V179" i="89"/>
  <c r="U179" i="89"/>
  <c r="T179" i="89"/>
  <c r="R179" i="89"/>
  <c r="K179" i="89"/>
  <c r="S178" i="89"/>
  <c r="S177" i="89"/>
  <c r="S176" i="89"/>
  <c r="S175" i="89"/>
  <c r="R173" i="89"/>
  <c r="S173" i="89" s="1"/>
  <c r="T173" i="89" s="1"/>
  <c r="U173" i="89" s="1"/>
  <c r="V173" i="89" s="1"/>
  <c r="X173" i="89" s="1"/>
  <c r="Y173" i="89" s="1"/>
  <c r="Z173" i="89" s="1"/>
  <c r="AA173" i="89" s="1"/>
  <c r="AB173" i="89" s="1"/>
  <c r="R168" i="89"/>
  <c r="S168" i="89" s="1"/>
  <c r="T168" i="89" s="1"/>
  <c r="U168" i="89" s="1"/>
  <c r="V168" i="89" s="1"/>
  <c r="X168" i="89" s="1"/>
  <c r="Y168" i="89" s="1"/>
  <c r="Z168" i="89" s="1"/>
  <c r="AA168" i="89" s="1"/>
  <c r="AB168" i="89" s="1"/>
  <c r="AB160" i="89"/>
  <c r="AA160" i="89"/>
  <c r="Z160" i="89"/>
  <c r="Y160" i="89"/>
  <c r="X160" i="89"/>
  <c r="V158" i="89"/>
  <c r="U158" i="89"/>
  <c r="V157" i="89"/>
  <c r="U157" i="89"/>
  <c r="V156" i="89"/>
  <c r="U156" i="89"/>
  <c r="V155" i="89"/>
  <c r="U155" i="89"/>
  <c r="V154" i="89"/>
  <c r="U154" i="89"/>
  <c r="T154" i="89"/>
  <c r="S154" i="89"/>
  <c r="V153" i="89"/>
  <c r="U153" i="89"/>
  <c r="T153" i="89"/>
  <c r="R153" i="89"/>
  <c r="V152" i="89"/>
  <c r="U152" i="89"/>
  <c r="T152" i="89"/>
  <c r="R152" i="89"/>
  <c r="R149" i="89"/>
  <c r="S149" i="89" s="1"/>
  <c r="T149" i="89" s="1"/>
  <c r="U149" i="89" s="1"/>
  <c r="V149" i="89" s="1"/>
  <c r="X149" i="89" s="1"/>
  <c r="Y149" i="89" s="1"/>
  <c r="Z149" i="89" s="1"/>
  <c r="AA149" i="89" s="1"/>
  <c r="AB149" i="89" s="1"/>
  <c r="AB145" i="89"/>
  <c r="AA145" i="89"/>
  <c r="Z145" i="89"/>
  <c r="Y145" i="89"/>
  <c r="X145" i="89"/>
  <c r="V145" i="89"/>
  <c r="U145" i="89"/>
  <c r="K142" i="89"/>
  <c r="N142" i="89" s="1"/>
  <c r="K141" i="89"/>
  <c r="N141" i="89" s="1"/>
  <c r="N140" i="89"/>
  <c r="K139" i="89"/>
  <c r="N139" i="89" s="1"/>
  <c r="N138" i="89"/>
  <c r="T138" i="89" s="1"/>
  <c r="N136" i="89"/>
  <c r="R136" i="89" s="1"/>
  <c r="N135" i="89"/>
  <c r="R135" i="89" s="1"/>
  <c r="N134" i="89"/>
  <c r="R134" i="89" s="1"/>
  <c r="N133" i="89"/>
  <c r="R133" i="89" s="1"/>
  <c r="N132" i="89"/>
  <c r="R132" i="89" s="1"/>
  <c r="N130" i="89"/>
  <c r="S130" i="89" s="1"/>
  <c r="K129" i="89"/>
  <c r="I129" i="89"/>
  <c r="N128" i="89"/>
  <c r="S128" i="89" s="1"/>
  <c r="N127" i="89"/>
  <c r="S127" i="89" s="1"/>
  <c r="N126" i="89"/>
  <c r="R124" i="89"/>
  <c r="S124" i="89" s="1"/>
  <c r="T124" i="89" s="1"/>
  <c r="U124" i="89" s="1"/>
  <c r="V124" i="89" s="1"/>
  <c r="X124" i="89" s="1"/>
  <c r="Y124" i="89" s="1"/>
  <c r="Z124" i="89" s="1"/>
  <c r="AA124" i="89" s="1"/>
  <c r="AB124" i="89" s="1"/>
  <c r="K121" i="89"/>
  <c r="G121" i="89"/>
  <c r="T121" i="89" s="1"/>
  <c r="K120" i="89"/>
  <c r="G120" i="89"/>
  <c r="T120" i="89" s="1"/>
  <c r="K119" i="89"/>
  <c r="G119" i="89"/>
  <c r="T119" i="89" s="1"/>
  <c r="K118" i="89"/>
  <c r="G118" i="89"/>
  <c r="T118" i="89" s="1"/>
  <c r="R116" i="89"/>
  <c r="S116" i="89" s="1"/>
  <c r="T116" i="89" s="1"/>
  <c r="U116" i="89" s="1"/>
  <c r="V116" i="89" s="1"/>
  <c r="X116" i="89" s="1"/>
  <c r="Y116" i="89" s="1"/>
  <c r="Z116" i="89" s="1"/>
  <c r="AA116" i="89" s="1"/>
  <c r="AB116" i="89" s="1"/>
  <c r="V113" i="89"/>
  <c r="U113" i="89"/>
  <c r="T113" i="89"/>
  <c r="R113" i="89"/>
  <c r="K113" i="89"/>
  <c r="S112" i="89"/>
  <c r="S111" i="89"/>
  <c r="S110" i="89"/>
  <c r="S109" i="89"/>
  <c r="R107" i="89"/>
  <c r="S107" i="89" s="1"/>
  <c r="T107" i="89" s="1"/>
  <c r="U107" i="89" s="1"/>
  <c r="V107" i="89" s="1"/>
  <c r="X107" i="89" s="1"/>
  <c r="Y107" i="89" s="1"/>
  <c r="Z107" i="89" s="1"/>
  <c r="AA107" i="89" s="1"/>
  <c r="AB107" i="89" s="1"/>
  <c r="R102" i="89"/>
  <c r="S102" i="89" s="1"/>
  <c r="T102" i="89" s="1"/>
  <c r="U102" i="89" s="1"/>
  <c r="V102" i="89" s="1"/>
  <c r="X102" i="89" s="1"/>
  <c r="Y102" i="89" s="1"/>
  <c r="Z102" i="89" s="1"/>
  <c r="AA102" i="89" s="1"/>
  <c r="AB102" i="89" s="1"/>
  <c r="AB94" i="89"/>
  <c r="AA94" i="89"/>
  <c r="Z94" i="89"/>
  <c r="Y94" i="89"/>
  <c r="X94" i="89"/>
  <c r="V92" i="89"/>
  <c r="U92" i="89"/>
  <c r="V91" i="89"/>
  <c r="U91" i="89"/>
  <c r="V90" i="89"/>
  <c r="U90" i="89"/>
  <c r="V89" i="89"/>
  <c r="U89" i="89"/>
  <c r="V88" i="89"/>
  <c r="U88" i="89"/>
  <c r="T88" i="89"/>
  <c r="S88" i="89"/>
  <c r="V87" i="89"/>
  <c r="U87" i="89"/>
  <c r="T87" i="89"/>
  <c r="V86" i="89"/>
  <c r="U86" i="89"/>
  <c r="T86" i="89"/>
  <c r="R86" i="89"/>
  <c r="R83" i="89"/>
  <c r="S83" i="89" s="1"/>
  <c r="T83" i="89" s="1"/>
  <c r="U83" i="89" s="1"/>
  <c r="V83" i="89" s="1"/>
  <c r="X83" i="89" s="1"/>
  <c r="Y83" i="89" s="1"/>
  <c r="Z83" i="89" s="1"/>
  <c r="AA83" i="89" s="1"/>
  <c r="AB83" i="89" s="1"/>
  <c r="AB79" i="89"/>
  <c r="AA79" i="89"/>
  <c r="Z79" i="89"/>
  <c r="Y79" i="89"/>
  <c r="X79" i="89"/>
  <c r="V79" i="89"/>
  <c r="U79" i="89"/>
  <c r="K76" i="89"/>
  <c r="N76" i="89" s="1"/>
  <c r="K75" i="89"/>
  <c r="N75" i="89" s="1"/>
  <c r="N74" i="89"/>
  <c r="N73" i="89"/>
  <c r="T73" i="89" s="1"/>
  <c r="N72" i="89"/>
  <c r="N70" i="89"/>
  <c r="R70" i="89" s="1"/>
  <c r="N69" i="89"/>
  <c r="N68" i="89"/>
  <c r="R68" i="89" s="1"/>
  <c r="N66" i="89"/>
  <c r="S66" i="89" s="1"/>
  <c r="K65" i="89"/>
  <c r="I65" i="89"/>
  <c r="N64" i="89"/>
  <c r="R64" i="89" s="1"/>
  <c r="N63" i="89"/>
  <c r="R63" i="89" s="1"/>
  <c r="N62" i="89"/>
  <c r="R60" i="89"/>
  <c r="S60" i="89" s="1"/>
  <c r="T60" i="89" s="1"/>
  <c r="U60" i="89" s="1"/>
  <c r="V60" i="89" s="1"/>
  <c r="X60" i="89" s="1"/>
  <c r="Y60" i="89" s="1"/>
  <c r="Z60" i="89" s="1"/>
  <c r="AA60" i="89" s="1"/>
  <c r="AB60" i="89" s="1"/>
  <c r="K57" i="89"/>
  <c r="T57" i="89"/>
  <c r="K56" i="89"/>
  <c r="T56" i="89"/>
  <c r="K55" i="89"/>
  <c r="T55" i="89"/>
  <c r="K52" i="89"/>
  <c r="T52" i="89"/>
  <c r="R50" i="89"/>
  <c r="S50" i="89" s="1"/>
  <c r="T50" i="89" s="1"/>
  <c r="U50" i="89" s="1"/>
  <c r="V50" i="89" s="1"/>
  <c r="X50" i="89" s="1"/>
  <c r="Y50" i="89" s="1"/>
  <c r="Z50" i="89" s="1"/>
  <c r="AA50" i="89" s="1"/>
  <c r="AB50" i="89" s="1"/>
  <c r="V47" i="89"/>
  <c r="U47" i="89"/>
  <c r="T47" i="89"/>
  <c r="K47" i="89"/>
  <c r="S46" i="89"/>
  <c r="S45" i="89"/>
  <c r="S42" i="89"/>
  <c r="R41" i="89"/>
  <c r="R47" i="89" s="1"/>
  <c r="R39" i="89"/>
  <c r="S39" i="89" s="1"/>
  <c r="T39" i="89" s="1"/>
  <c r="U39" i="89" s="1"/>
  <c r="V39" i="89" s="1"/>
  <c r="X39" i="89" s="1"/>
  <c r="Y39" i="89" s="1"/>
  <c r="Z39" i="89" s="1"/>
  <c r="AA39" i="89" s="1"/>
  <c r="AB39" i="89" s="1"/>
  <c r="R33" i="89"/>
  <c r="S33" i="89" s="1"/>
  <c r="T33" i="89" s="1"/>
  <c r="U33" i="89" s="1"/>
  <c r="V33" i="89" s="1"/>
  <c r="X33" i="89" s="1"/>
  <c r="Y33" i="89" s="1"/>
  <c r="Z33" i="89" s="1"/>
  <c r="AA33" i="89" s="1"/>
  <c r="AB33" i="89" s="1"/>
  <c r="N590" i="88"/>
  <c r="S590" i="88" s="1"/>
  <c r="K589" i="88"/>
  <c r="I589" i="88"/>
  <c r="N588" i="88"/>
  <c r="S588" i="88" s="1"/>
  <c r="N587" i="88"/>
  <c r="S587" i="88" s="1"/>
  <c r="N586" i="88"/>
  <c r="S586" i="88" s="1"/>
  <c r="N523" i="88"/>
  <c r="S523" i="88" s="1"/>
  <c r="K522" i="88"/>
  <c r="I522" i="88"/>
  <c r="N521" i="88"/>
  <c r="S521" i="88" s="1"/>
  <c r="N520" i="88"/>
  <c r="S520" i="88" s="1"/>
  <c r="N519" i="88"/>
  <c r="S519" i="88" s="1"/>
  <c r="N456" i="88"/>
  <c r="S456" i="88" s="1"/>
  <c r="K455" i="88"/>
  <c r="I455" i="88"/>
  <c r="N454" i="88"/>
  <c r="S454" i="88" s="1"/>
  <c r="N453" i="88"/>
  <c r="S453" i="88" s="1"/>
  <c r="N452" i="88"/>
  <c r="S452" i="88" s="1"/>
  <c r="N389" i="88"/>
  <c r="S389" i="88" s="1"/>
  <c r="K388" i="88"/>
  <c r="I388" i="88"/>
  <c r="N387" i="88"/>
  <c r="S387" i="88" s="1"/>
  <c r="N386" i="88"/>
  <c r="S386" i="88" s="1"/>
  <c r="N385" i="88"/>
  <c r="S385" i="88" s="1"/>
  <c r="N322" i="88"/>
  <c r="S322" i="88" s="1"/>
  <c r="K321" i="88"/>
  <c r="I321" i="88"/>
  <c r="N320" i="88"/>
  <c r="S320" i="88" s="1"/>
  <c r="N319" i="88"/>
  <c r="S319" i="88" s="1"/>
  <c r="N318" i="88"/>
  <c r="S318" i="88" s="1"/>
  <c r="N258" i="88"/>
  <c r="S258" i="88" s="1"/>
  <c r="K257" i="88"/>
  <c r="I257" i="88"/>
  <c r="N256" i="88"/>
  <c r="S256" i="88" s="1"/>
  <c r="N255" i="88"/>
  <c r="S255" i="88" s="1"/>
  <c r="N254" i="88"/>
  <c r="S254" i="88" s="1"/>
  <c r="N193" i="88"/>
  <c r="S193" i="88" s="1"/>
  <c r="K192" i="88"/>
  <c r="I192" i="88"/>
  <c r="N191" i="88"/>
  <c r="S191" i="88" s="1"/>
  <c r="N190" i="88"/>
  <c r="S190" i="88" s="1"/>
  <c r="N189" i="88"/>
  <c r="S189" i="88" s="1"/>
  <c r="K581" i="88"/>
  <c r="G581" i="88"/>
  <c r="T581" i="88" s="1"/>
  <c r="K580" i="88"/>
  <c r="G580" i="88"/>
  <c r="K579" i="88"/>
  <c r="G579" i="88"/>
  <c r="K578" i="88"/>
  <c r="G578" i="88"/>
  <c r="T578" i="88" s="1"/>
  <c r="K514" i="88"/>
  <c r="G514" i="88"/>
  <c r="K513" i="88"/>
  <c r="G513" i="88"/>
  <c r="K512" i="88"/>
  <c r="G512" i="88"/>
  <c r="K511" i="88"/>
  <c r="G511" i="88"/>
  <c r="K447" i="88"/>
  <c r="G447" i="88"/>
  <c r="T447" i="88" s="1"/>
  <c r="K446" i="88"/>
  <c r="G446" i="88"/>
  <c r="K445" i="88"/>
  <c r="G445" i="88"/>
  <c r="K444" i="88"/>
  <c r="G444" i="88"/>
  <c r="K380" i="88"/>
  <c r="G380" i="88"/>
  <c r="K379" i="88"/>
  <c r="G379" i="88"/>
  <c r="K378" i="88"/>
  <c r="G378" i="88"/>
  <c r="K377" i="88"/>
  <c r="G377" i="88"/>
  <c r="K313" i="88"/>
  <c r="G313" i="88"/>
  <c r="K312" i="88"/>
  <c r="G312" i="88"/>
  <c r="K311" i="88"/>
  <c r="G311" i="88"/>
  <c r="K310" i="88"/>
  <c r="G310" i="88"/>
  <c r="K249" i="88"/>
  <c r="G249" i="88"/>
  <c r="K248" i="88"/>
  <c r="G248" i="88"/>
  <c r="K247" i="88"/>
  <c r="G247" i="88"/>
  <c r="K246" i="88"/>
  <c r="G246" i="88"/>
  <c r="T246" i="88" s="1"/>
  <c r="K184" i="88"/>
  <c r="G184" i="88"/>
  <c r="V184" i="88" s="1"/>
  <c r="K183" i="88"/>
  <c r="G183" i="88"/>
  <c r="V183" i="88" s="1"/>
  <c r="K182" i="88"/>
  <c r="G182" i="88"/>
  <c r="V182" i="88" s="1"/>
  <c r="K181" i="88"/>
  <c r="G181" i="88"/>
  <c r="V181" i="88" s="1"/>
  <c r="S572" i="88"/>
  <c r="S571" i="88"/>
  <c r="S570" i="88"/>
  <c r="S569" i="88"/>
  <c r="S505" i="88"/>
  <c r="S504" i="88"/>
  <c r="S503" i="88"/>
  <c r="S502" i="88"/>
  <c r="S438" i="88"/>
  <c r="S437" i="88"/>
  <c r="S436" i="88"/>
  <c r="S435" i="88"/>
  <c r="S371" i="88"/>
  <c r="S370" i="88"/>
  <c r="S369" i="88"/>
  <c r="S368" i="88"/>
  <c r="S304" i="88"/>
  <c r="S303" i="88"/>
  <c r="S302" i="88"/>
  <c r="S301" i="88"/>
  <c r="S240" i="88"/>
  <c r="S239" i="88"/>
  <c r="S238" i="88"/>
  <c r="S237" i="88"/>
  <c r="S175" i="88"/>
  <c r="S174" i="88"/>
  <c r="S173" i="88"/>
  <c r="S172" i="88"/>
  <c r="K646" i="88"/>
  <c r="G646" i="88"/>
  <c r="V646" i="88" s="1"/>
  <c r="K711" i="88"/>
  <c r="G711" i="88"/>
  <c r="K116" i="88"/>
  <c r="G116" i="88"/>
  <c r="T116" i="88" s="1"/>
  <c r="S702" i="88"/>
  <c r="S637" i="88"/>
  <c r="S107" i="88"/>
  <c r="G50" i="88"/>
  <c r="N722" i="88"/>
  <c r="S722" i="88" s="1"/>
  <c r="K721" i="88"/>
  <c r="I721" i="88"/>
  <c r="N720" i="88"/>
  <c r="S720" i="88" s="1"/>
  <c r="N719" i="88"/>
  <c r="S719" i="88" s="1"/>
  <c r="N718" i="88"/>
  <c r="S718" i="88" s="1"/>
  <c r="K713" i="88"/>
  <c r="G713" i="88"/>
  <c r="K712" i="88"/>
  <c r="G712" i="88"/>
  <c r="K710" i="88"/>
  <c r="G710" i="88"/>
  <c r="S704" i="88"/>
  <c r="S703" i="88"/>
  <c r="S701" i="88"/>
  <c r="N133" i="88"/>
  <c r="R133" i="88" s="1"/>
  <c r="N132" i="88"/>
  <c r="R132" i="88" s="1"/>
  <c r="N131" i="88"/>
  <c r="R131" i="88" s="1"/>
  <c r="N130" i="88"/>
  <c r="R130" i="88" s="1"/>
  <c r="N129" i="88"/>
  <c r="R129" i="88" s="1"/>
  <c r="N127" i="88"/>
  <c r="S127" i="88" s="1"/>
  <c r="K126" i="88"/>
  <c r="I126" i="88"/>
  <c r="N125" i="88"/>
  <c r="S125" i="88" s="1"/>
  <c r="N124" i="88"/>
  <c r="S124" i="88" s="1"/>
  <c r="N123" i="88"/>
  <c r="S123" i="88" s="1"/>
  <c r="S106" i="88"/>
  <c r="K118" i="88"/>
  <c r="G118" i="88"/>
  <c r="K117" i="88"/>
  <c r="G117" i="88"/>
  <c r="V117" i="88" s="1"/>
  <c r="K115" i="88"/>
  <c r="G115" i="88"/>
  <c r="V115" i="88" s="1"/>
  <c r="S109" i="88"/>
  <c r="S108" i="88"/>
  <c r="N663" i="88"/>
  <c r="R663" i="88" s="1"/>
  <c r="N662" i="88"/>
  <c r="R662" i="88" s="1"/>
  <c r="N661" i="88"/>
  <c r="R661" i="88" s="1"/>
  <c r="N660" i="88"/>
  <c r="R660" i="88" s="1"/>
  <c r="N659" i="88"/>
  <c r="R659" i="88" s="1"/>
  <c r="N657" i="88"/>
  <c r="S657" i="88" s="1"/>
  <c r="K656" i="88"/>
  <c r="I656" i="88"/>
  <c r="N655" i="88"/>
  <c r="R655" i="88" s="1"/>
  <c r="N654" i="88"/>
  <c r="R654" i="88" s="1"/>
  <c r="N653" i="88"/>
  <c r="S653" i="88" s="1"/>
  <c r="K648" i="88"/>
  <c r="G648" i="88"/>
  <c r="K647" i="88"/>
  <c r="G647" i="88"/>
  <c r="K645" i="88"/>
  <c r="G645" i="88"/>
  <c r="S645" i="88" s="1"/>
  <c r="S639" i="88"/>
  <c r="S638" i="88"/>
  <c r="R636" i="88"/>
  <c r="I60" i="88"/>
  <c r="K60" i="88"/>
  <c r="G52" i="88"/>
  <c r="G51" i="88"/>
  <c r="G49" i="88"/>
  <c r="S43" i="88"/>
  <c r="R40" i="88"/>
  <c r="S42" i="88"/>
  <c r="S41" i="88"/>
  <c r="K52" i="88"/>
  <c r="K51" i="88"/>
  <c r="K50" i="88"/>
  <c r="K49" i="88"/>
  <c r="R595" i="89" l="1"/>
  <c r="R613" i="89" s="1"/>
  <c r="V447" i="89"/>
  <c r="S514" i="89"/>
  <c r="V649" i="89"/>
  <c r="R187" i="89"/>
  <c r="S187" i="89"/>
  <c r="N53" i="89"/>
  <c r="N54" i="89"/>
  <c r="R53" i="89"/>
  <c r="R54" i="89"/>
  <c r="S53" i="89"/>
  <c r="S54" i="89"/>
  <c r="T53" i="89"/>
  <c r="T54" i="89"/>
  <c r="U53" i="89"/>
  <c r="U54" i="89"/>
  <c r="N52" i="89"/>
  <c r="N249" i="89"/>
  <c r="V52" i="89"/>
  <c r="U249" i="89"/>
  <c r="S478" i="89"/>
  <c r="S185" i="89"/>
  <c r="N391" i="89"/>
  <c r="S391" i="89" s="1"/>
  <c r="S410" i="89" s="1"/>
  <c r="N592" i="89"/>
  <c r="S592" i="89" s="1"/>
  <c r="S612" i="89" s="1"/>
  <c r="N260" i="89"/>
  <c r="S260" i="89" s="1"/>
  <c r="N56" i="89"/>
  <c r="N129" i="89"/>
  <c r="S129" i="89" s="1"/>
  <c r="T582" i="89"/>
  <c r="N659" i="89"/>
  <c r="S659" i="89" s="1"/>
  <c r="T263" i="89"/>
  <c r="T583" i="89"/>
  <c r="R668" i="89"/>
  <c r="T411" i="89"/>
  <c r="R651" i="89"/>
  <c r="N251" i="89"/>
  <c r="N684" i="89"/>
  <c r="N252" i="89"/>
  <c r="R186" i="89"/>
  <c r="S201" i="89"/>
  <c r="S250" i="89"/>
  <c r="T334" i="89"/>
  <c r="T348" i="89" s="1"/>
  <c r="U381" i="89"/>
  <c r="N448" i="89"/>
  <c r="R669" i="89"/>
  <c r="N55" i="89"/>
  <c r="U57" i="89"/>
  <c r="N118" i="89"/>
  <c r="U121" i="89"/>
  <c r="V186" i="89"/>
  <c r="T201" i="89"/>
  <c r="R448" i="89"/>
  <c r="S532" i="89"/>
  <c r="S727" i="89"/>
  <c r="U55" i="89"/>
  <c r="N278" i="89"/>
  <c r="S448" i="89"/>
  <c r="V448" i="89"/>
  <c r="V650" i="89"/>
  <c r="R671" i="89"/>
  <c r="R463" i="89"/>
  <c r="V55" i="89"/>
  <c r="S249" i="89"/>
  <c r="R263" i="89"/>
  <c r="R280" i="89" s="1"/>
  <c r="N282" i="89"/>
  <c r="R346" i="89"/>
  <c r="R478" i="89"/>
  <c r="S643" i="89"/>
  <c r="N648" i="89"/>
  <c r="N724" i="89"/>
  <c r="S724" i="89" s="1"/>
  <c r="U119" i="89"/>
  <c r="R185" i="89"/>
  <c r="N187" i="89"/>
  <c r="N447" i="89"/>
  <c r="V648" i="89"/>
  <c r="S113" i="89"/>
  <c r="T215" i="89"/>
  <c r="S252" i="89"/>
  <c r="R380" i="89"/>
  <c r="U383" i="89"/>
  <c r="R447" i="89"/>
  <c r="R449" i="89"/>
  <c r="S589" i="89"/>
  <c r="N651" i="89"/>
  <c r="S525" i="89"/>
  <c r="S545" i="89" s="1"/>
  <c r="N545" i="89"/>
  <c r="R141" i="89"/>
  <c r="T141" i="89"/>
  <c r="S141" i="89"/>
  <c r="U52" i="89"/>
  <c r="V57" i="89"/>
  <c r="V119" i="89"/>
  <c r="N121" i="89"/>
  <c r="N185" i="89"/>
  <c r="S186" i="89"/>
  <c r="V249" i="89"/>
  <c r="R252" i="89"/>
  <c r="R266" i="89"/>
  <c r="T329" i="89"/>
  <c r="V381" i="89"/>
  <c r="R383" i="89"/>
  <c r="N449" i="89"/>
  <c r="V450" i="89"/>
  <c r="S509" i="89"/>
  <c r="R650" i="89"/>
  <c r="U713" i="89"/>
  <c r="U715" i="89"/>
  <c r="R730" i="89"/>
  <c r="U56" i="89"/>
  <c r="U118" i="89"/>
  <c r="V121" i="89"/>
  <c r="S179" i="89"/>
  <c r="N214" i="89"/>
  <c r="S244" i="89"/>
  <c r="N250" i="89"/>
  <c r="R251" i="89"/>
  <c r="U252" i="89"/>
  <c r="S331" i="89"/>
  <c r="U380" i="89"/>
  <c r="V383" i="89"/>
  <c r="S449" i="89"/>
  <c r="R534" i="89"/>
  <c r="R549" i="89" s="1"/>
  <c r="S649" i="89"/>
  <c r="N649" i="89"/>
  <c r="N683" i="89"/>
  <c r="V56" i="89"/>
  <c r="V118" i="89"/>
  <c r="N120" i="89"/>
  <c r="V185" i="89"/>
  <c r="N213" i="89"/>
  <c r="R250" i="89"/>
  <c r="T251" i="89"/>
  <c r="V252" i="89"/>
  <c r="S268" i="89"/>
  <c r="S282" i="89" s="1"/>
  <c r="S308" i="89"/>
  <c r="T346" i="89"/>
  <c r="T331" i="89"/>
  <c r="V380" i="89"/>
  <c r="R382" i="89"/>
  <c r="S450" i="89"/>
  <c r="V449" i="89"/>
  <c r="R465" i="89"/>
  <c r="R479" i="89" s="1"/>
  <c r="S650" i="89"/>
  <c r="R649" i="89"/>
  <c r="N714" i="89"/>
  <c r="N716" i="89"/>
  <c r="U120" i="89"/>
  <c r="T250" i="89"/>
  <c r="U251" i="89"/>
  <c r="U382" i="89"/>
  <c r="V585" i="89"/>
  <c r="V610" i="89" s="1"/>
  <c r="S708" i="89"/>
  <c r="U714" i="89"/>
  <c r="U716" i="89"/>
  <c r="N65" i="89"/>
  <c r="S65" i="89" s="1"/>
  <c r="S87" i="89" s="1"/>
  <c r="V120" i="89"/>
  <c r="U250" i="89"/>
  <c r="N348" i="89"/>
  <c r="S375" i="89"/>
  <c r="V382" i="89"/>
  <c r="T717" i="89"/>
  <c r="T741" i="89" s="1"/>
  <c r="N156" i="89"/>
  <c r="N345" i="89"/>
  <c r="S47" i="89"/>
  <c r="N57" i="89"/>
  <c r="N119" i="89"/>
  <c r="N186" i="89"/>
  <c r="V187" i="89"/>
  <c r="T249" i="89"/>
  <c r="V250" i="89"/>
  <c r="R381" i="89"/>
  <c r="S411" i="89"/>
  <c r="N450" i="89"/>
  <c r="N458" i="89"/>
  <c r="S458" i="89" s="1"/>
  <c r="T532" i="89"/>
  <c r="T581" i="89"/>
  <c r="R648" i="89"/>
  <c r="V651" i="89"/>
  <c r="N549" i="89"/>
  <c r="N215" i="89"/>
  <c r="T384" i="89"/>
  <c r="T408" i="89" s="1"/>
  <c r="R450" i="89"/>
  <c r="S576" i="89"/>
  <c r="T584" i="89"/>
  <c r="N650" i="89"/>
  <c r="N713" i="89"/>
  <c r="N715" i="89"/>
  <c r="T745" i="89"/>
  <c r="R87" i="89"/>
  <c r="T267" i="89"/>
  <c r="T281" i="89" s="1"/>
  <c r="S267" i="89"/>
  <c r="R267" i="89"/>
  <c r="R154" i="89"/>
  <c r="N89" i="89"/>
  <c r="T72" i="89"/>
  <c r="S72" i="89"/>
  <c r="R72" i="89"/>
  <c r="N143" i="89"/>
  <c r="T76" i="89"/>
  <c r="T91" i="89" s="1"/>
  <c r="S76" i="89"/>
  <c r="S91" i="89" s="1"/>
  <c r="N91" i="89"/>
  <c r="R76" i="89"/>
  <c r="R91" i="89" s="1"/>
  <c r="S139" i="89"/>
  <c r="R139" i="89"/>
  <c r="T139" i="89"/>
  <c r="T155" i="89" s="1"/>
  <c r="N90" i="89"/>
  <c r="T74" i="89"/>
  <c r="S74" i="89"/>
  <c r="R74" i="89"/>
  <c r="S153" i="89"/>
  <c r="S75" i="89"/>
  <c r="R75" i="89"/>
  <c r="T142" i="89"/>
  <c r="T157" i="89" s="1"/>
  <c r="S142" i="89"/>
  <c r="S157" i="89" s="1"/>
  <c r="N157" i="89"/>
  <c r="R142" i="89"/>
  <c r="R157" i="89" s="1"/>
  <c r="N88" i="89"/>
  <c r="R69" i="89"/>
  <c r="T75" i="89"/>
  <c r="T122" i="89"/>
  <c r="T151" i="89" s="1"/>
  <c r="N155" i="89"/>
  <c r="R138" i="89"/>
  <c r="U184" i="89"/>
  <c r="U188" i="89" s="1"/>
  <c r="U212" i="89" s="1"/>
  <c r="T184" i="89"/>
  <c r="N269" i="89"/>
  <c r="S258" i="89"/>
  <c r="V313" i="89"/>
  <c r="U313" i="89"/>
  <c r="S313" i="89"/>
  <c r="R313" i="89"/>
  <c r="N313" i="89"/>
  <c r="T332" i="89"/>
  <c r="R332" i="89"/>
  <c r="R347" i="89" s="1"/>
  <c r="S396" i="89"/>
  <c r="R396" i="89"/>
  <c r="N412" i="89"/>
  <c r="T599" i="89"/>
  <c r="T616" i="89" s="1"/>
  <c r="S599" i="89"/>
  <c r="S616" i="89" s="1"/>
  <c r="N616" i="89"/>
  <c r="R599" i="89"/>
  <c r="R616" i="89" s="1"/>
  <c r="R683" i="89"/>
  <c r="S138" i="89"/>
  <c r="R140" i="89"/>
  <c r="R156" i="89" s="1"/>
  <c r="N154" i="89"/>
  <c r="S193" i="89"/>
  <c r="T202" i="89"/>
  <c r="N216" i="89"/>
  <c r="S202" i="89"/>
  <c r="S251" i="89"/>
  <c r="V316" i="89"/>
  <c r="U316" i="89"/>
  <c r="S316" i="89"/>
  <c r="R316" i="89"/>
  <c r="N316" i="89"/>
  <c r="S332" i="89"/>
  <c r="T396" i="89"/>
  <c r="T533" i="89"/>
  <c r="R533" i="89"/>
  <c r="R548" i="89" s="1"/>
  <c r="S62" i="89"/>
  <c r="S86" i="89" s="1"/>
  <c r="S126" i="89"/>
  <c r="S152" i="89" s="1"/>
  <c r="S140" i="89"/>
  <c r="S156" i="89" s="1"/>
  <c r="N145" i="89"/>
  <c r="F8" i="89" s="1"/>
  <c r="N184" i="89"/>
  <c r="R199" i="89"/>
  <c r="R202" i="89"/>
  <c r="R216" i="89" s="1"/>
  <c r="T313" i="89"/>
  <c r="N410" i="89"/>
  <c r="T398" i="89"/>
  <c r="T412" i="89" s="1"/>
  <c r="S398" i="89"/>
  <c r="S412" i="89" s="1"/>
  <c r="R398" i="89"/>
  <c r="R412" i="89" s="1"/>
  <c r="S533" i="89"/>
  <c r="T140" i="89"/>
  <c r="R184" i="89"/>
  <c r="S199" i="89"/>
  <c r="V314" i="89"/>
  <c r="U314" i="89"/>
  <c r="S314" i="89"/>
  <c r="R314" i="89"/>
  <c r="N314" i="89"/>
  <c r="T316" i="89"/>
  <c r="N335" i="89"/>
  <c r="N337" i="89" s="1"/>
  <c r="F14" i="89" s="1"/>
  <c r="S348" i="89"/>
  <c r="N414" i="89"/>
  <c r="R399" i="89"/>
  <c r="R413" i="89" s="1"/>
  <c r="N535" i="89"/>
  <c r="N544" i="89"/>
  <c r="S522" i="89"/>
  <c r="R52" i="89"/>
  <c r="R55" i="89"/>
  <c r="R56" i="89"/>
  <c r="R57" i="89"/>
  <c r="R73" i="89"/>
  <c r="N86" i="89"/>
  <c r="R118" i="89"/>
  <c r="R119" i="89"/>
  <c r="R120" i="89"/>
  <c r="R121" i="89"/>
  <c r="S184" i="89"/>
  <c r="S203" i="89"/>
  <c r="S217" i="89" s="1"/>
  <c r="R203" i="89"/>
  <c r="R217" i="89" s="1"/>
  <c r="N217" i="89"/>
  <c r="T264" i="89"/>
  <c r="S264" i="89"/>
  <c r="S280" i="89" s="1"/>
  <c r="T268" i="89"/>
  <c r="T282" i="89" s="1"/>
  <c r="N280" i="89"/>
  <c r="S321" i="89"/>
  <c r="S399" i="89"/>
  <c r="S413" i="89" s="1"/>
  <c r="N413" i="89"/>
  <c r="S457" i="89"/>
  <c r="T466" i="89"/>
  <c r="T480" i="89" s="1"/>
  <c r="S466" i="89"/>
  <c r="S480" i="89" s="1"/>
  <c r="N481" i="89"/>
  <c r="R466" i="89"/>
  <c r="R480" i="89" s="1"/>
  <c r="S52" i="89"/>
  <c r="S55" i="89"/>
  <c r="S56" i="89"/>
  <c r="S57" i="89"/>
  <c r="S73" i="89"/>
  <c r="S118" i="89"/>
  <c r="S119" i="89"/>
  <c r="S120" i="89"/>
  <c r="S121" i="89"/>
  <c r="N152" i="89"/>
  <c r="V184" i="89"/>
  <c r="S442" i="89"/>
  <c r="V517" i="89"/>
  <c r="U517" i="89"/>
  <c r="T517" i="89"/>
  <c r="R517" i="89"/>
  <c r="N517" i="89"/>
  <c r="S517" i="89"/>
  <c r="N204" i="89"/>
  <c r="N271" i="89"/>
  <c r="F12" i="89" s="1"/>
  <c r="V315" i="89"/>
  <c r="U315" i="89"/>
  <c r="S315" i="89"/>
  <c r="R315" i="89"/>
  <c r="N315" i="89"/>
  <c r="S346" i="89"/>
  <c r="U451" i="89"/>
  <c r="U475" i="89" s="1"/>
  <c r="N400" i="89"/>
  <c r="N402" i="89" s="1"/>
  <c r="F16" i="89" s="1"/>
  <c r="V515" i="89"/>
  <c r="U515" i="89"/>
  <c r="T515" i="89"/>
  <c r="R515" i="89"/>
  <c r="N515" i="89"/>
  <c r="T529" i="89"/>
  <c r="N546" i="89"/>
  <c r="S529" i="89"/>
  <c r="R529" i="89"/>
  <c r="T185" i="89"/>
  <c r="T186" i="89"/>
  <c r="T187" i="89"/>
  <c r="R198" i="89"/>
  <c r="N281" i="89"/>
  <c r="S322" i="89"/>
  <c r="R329" i="89"/>
  <c r="R334" i="89"/>
  <c r="N349" i="89"/>
  <c r="S388" i="89"/>
  <c r="T447" i="89"/>
  <c r="T448" i="89"/>
  <c r="T449" i="89"/>
  <c r="T450" i="89"/>
  <c r="S530" i="89"/>
  <c r="S547" i="89" s="1"/>
  <c r="R530" i="89"/>
  <c r="R547" i="89" s="1"/>
  <c r="S198" i="89"/>
  <c r="S329" i="89"/>
  <c r="N380" i="89"/>
  <c r="N381" i="89"/>
  <c r="N382" i="89"/>
  <c r="N383" i="89"/>
  <c r="S515" i="89"/>
  <c r="T530" i="89"/>
  <c r="T547" i="89" s="1"/>
  <c r="T728" i="89"/>
  <c r="S728" i="89"/>
  <c r="R728" i="89"/>
  <c r="V516" i="89"/>
  <c r="U516" i="89"/>
  <c r="T516" i="89"/>
  <c r="R516" i="89"/>
  <c r="N516" i="89"/>
  <c r="N618" i="89"/>
  <c r="T601" i="89"/>
  <c r="S601" i="89"/>
  <c r="R601" i="89"/>
  <c r="T672" i="89"/>
  <c r="S672" i="89"/>
  <c r="R672" i="89"/>
  <c r="R686" i="89" s="1"/>
  <c r="S266" i="89"/>
  <c r="S380" i="89"/>
  <c r="S381" i="89"/>
  <c r="S382" i="89"/>
  <c r="S383" i="89"/>
  <c r="R411" i="89"/>
  <c r="T685" i="89"/>
  <c r="S456" i="89"/>
  <c r="V514" i="89"/>
  <c r="U514" i="89"/>
  <c r="T514" i="89"/>
  <c r="R514" i="89"/>
  <c r="N514" i="89"/>
  <c r="S516" i="89"/>
  <c r="N614" i="89"/>
  <c r="T596" i="89"/>
  <c r="T614" i="89" s="1"/>
  <c r="S596" i="89"/>
  <c r="S614" i="89" s="1"/>
  <c r="R596" i="89"/>
  <c r="R614" i="89" s="1"/>
  <c r="U652" i="89"/>
  <c r="U681" i="89" s="1"/>
  <c r="U689" i="89" s="1"/>
  <c r="S463" i="89"/>
  <c r="S534" i="89"/>
  <c r="S549" i="89" s="1"/>
  <c r="N581" i="89"/>
  <c r="N582" i="89"/>
  <c r="N583" i="89"/>
  <c r="N584" i="89"/>
  <c r="S648" i="89"/>
  <c r="S651" i="89"/>
  <c r="S669" i="89"/>
  <c r="V713" i="89"/>
  <c r="V714" i="89"/>
  <c r="V715" i="89"/>
  <c r="V716" i="89"/>
  <c r="T727" i="89"/>
  <c r="S730" i="89"/>
  <c r="N745" i="89"/>
  <c r="T463" i="89"/>
  <c r="T478" i="89"/>
  <c r="N548" i="89"/>
  <c r="R581" i="89"/>
  <c r="R582" i="89"/>
  <c r="R583" i="89"/>
  <c r="R584" i="89"/>
  <c r="T648" i="89"/>
  <c r="T649" i="89"/>
  <c r="T650" i="89"/>
  <c r="T651" i="89"/>
  <c r="R662" i="89"/>
  <c r="R684" i="89" s="1"/>
  <c r="N476" i="89"/>
  <c r="N480" i="89"/>
  <c r="S581" i="89"/>
  <c r="S582" i="89"/>
  <c r="S583" i="89"/>
  <c r="S584" i="89"/>
  <c r="N615" i="89"/>
  <c r="N682" i="89"/>
  <c r="N686" i="89"/>
  <c r="S721" i="89"/>
  <c r="S742" i="89" s="1"/>
  <c r="N744" i="89"/>
  <c r="S465" i="89"/>
  <c r="S479" i="89" s="1"/>
  <c r="U581" i="89"/>
  <c r="U582" i="89"/>
  <c r="U583" i="89"/>
  <c r="U584" i="89"/>
  <c r="S595" i="89"/>
  <c r="S613" i="89" s="1"/>
  <c r="R598" i="89"/>
  <c r="R615" i="89" s="1"/>
  <c r="S668" i="89"/>
  <c r="S671" i="89"/>
  <c r="N685" i="89"/>
  <c r="R713" i="89"/>
  <c r="R714" i="89"/>
  <c r="R715" i="89"/>
  <c r="R716" i="89"/>
  <c r="S722" i="89"/>
  <c r="R731" i="89"/>
  <c r="R745" i="89" s="1"/>
  <c r="T595" i="89"/>
  <c r="S598" i="89"/>
  <c r="S615" i="89" s="1"/>
  <c r="S713" i="89"/>
  <c r="S714" i="89"/>
  <c r="S715" i="89"/>
  <c r="S716" i="89"/>
  <c r="S731" i="89"/>
  <c r="N710" i="88"/>
  <c r="N247" i="88"/>
  <c r="N311" i="88"/>
  <c r="N380" i="88"/>
  <c r="N445" i="88"/>
  <c r="N579" i="88"/>
  <c r="N711" i="88"/>
  <c r="N310" i="88"/>
  <c r="N192" i="88"/>
  <c r="S192" i="88" s="1"/>
  <c r="N321" i="88"/>
  <c r="S321" i="88" s="1"/>
  <c r="N455" i="88"/>
  <c r="S455" i="88" s="1"/>
  <c r="T310" i="88"/>
  <c r="N181" i="88"/>
  <c r="N116" i="88"/>
  <c r="R181" i="88"/>
  <c r="N246" i="88"/>
  <c r="N444" i="88"/>
  <c r="N511" i="88"/>
  <c r="N647" i="88"/>
  <c r="N377" i="88"/>
  <c r="N378" i="88"/>
  <c r="N512" i="88"/>
  <c r="N514" i="88"/>
  <c r="N257" i="88"/>
  <c r="S257" i="88" s="1"/>
  <c r="N388" i="88"/>
  <c r="S388" i="88" s="1"/>
  <c r="T645" i="88"/>
  <c r="N656" i="88"/>
  <c r="S656" i="88" s="1"/>
  <c r="N126" i="88"/>
  <c r="S126" i="88" s="1"/>
  <c r="N183" i="88"/>
  <c r="T511" i="88"/>
  <c r="N313" i="88"/>
  <c r="T377" i="88"/>
  <c r="U514" i="88"/>
  <c r="N645" i="88"/>
  <c r="T115" i="88"/>
  <c r="S713" i="88"/>
  <c r="N446" i="88"/>
  <c r="N589" i="88"/>
  <c r="S589" i="88" s="1"/>
  <c r="N115" i="88"/>
  <c r="N117" i="88"/>
  <c r="T444" i="88"/>
  <c r="N721" i="88"/>
  <c r="S721" i="88" s="1"/>
  <c r="R183" i="88"/>
  <c r="N249" i="88"/>
  <c r="N578" i="88"/>
  <c r="U249" i="88"/>
  <c r="U313" i="88"/>
  <c r="U380" i="88"/>
  <c r="U447" i="88"/>
  <c r="S648" i="88"/>
  <c r="U648" i="88"/>
  <c r="S118" i="88"/>
  <c r="U118" i="88"/>
  <c r="S712" i="88"/>
  <c r="U712" i="88"/>
  <c r="T713" i="88"/>
  <c r="S646" i="88"/>
  <c r="U646" i="88"/>
  <c r="S182" i="88"/>
  <c r="U182" i="88"/>
  <c r="S184" i="88"/>
  <c r="U184" i="88"/>
  <c r="S248" i="88"/>
  <c r="U248" i="88"/>
  <c r="T249" i="88"/>
  <c r="S312" i="88"/>
  <c r="U312" i="88"/>
  <c r="T313" i="88"/>
  <c r="S379" i="88"/>
  <c r="U379" i="88"/>
  <c r="T380" i="88"/>
  <c r="S446" i="88"/>
  <c r="U446" i="88"/>
  <c r="S513" i="88"/>
  <c r="U513" i="88"/>
  <c r="T514" i="88"/>
  <c r="S580" i="88"/>
  <c r="U580" i="88"/>
  <c r="S447" i="88"/>
  <c r="S581" i="88"/>
  <c r="S647" i="88"/>
  <c r="U647" i="88"/>
  <c r="T648" i="88"/>
  <c r="U117" i="88"/>
  <c r="T118" i="88"/>
  <c r="S710" i="88"/>
  <c r="U710" i="88"/>
  <c r="T712" i="88"/>
  <c r="N713" i="88"/>
  <c r="S711" i="88"/>
  <c r="U711" i="88"/>
  <c r="R646" i="88"/>
  <c r="R182" i="88"/>
  <c r="R184" i="88"/>
  <c r="S247" i="88"/>
  <c r="U247" i="88"/>
  <c r="T248" i="88"/>
  <c r="S311" i="88"/>
  <c r="U311" i="88"/>
  <c r="T312" i="88"/>
  <c r="S378" i="88"/>
  <c r="U378" i="88"/>
  <c r="T379" i="88"/>
  <c r="S445" i="88"/>
  <c r="U445" i="88"/>
  <c r="T446" i="88"/>
  <c r="N447" i="88"/>
  <c r="S512" i="88"/>
  <c r="U512" i="88"/>
  <c r="T513" i="88"/>
  <c r="S579" i="88"/>
  <c r="U579" i="88"/>
  <c r="T580" i="88"/>
  <c r="N581" i="88"/>
  <c r="N522" i="88"/>
  <c r="S522" i="88" s="1"/>
  <c r="U713" i="88"/>
  <c r="S249" i="88"/>
  <c r="S313" i="88"/>
  <c r="S380" i="88"/>
  <c r="S514" i="88"/>
  <c r="U581" i="88"/>
  <c r="U645" i="88"/>
  <c r="T647" i="88"/>
  <c r="N648" i="88"/>
  <c r="U115" i="88"/>
  <c r="T117" i="88"/>
  <c r="N118" i="88"/>
  <c r="T710" i="88"/>
  <c r="N712" i="88"/>
  <c r="S116" i="88"/>
  <c r="U116" i="88"/>
  <c r="T711" i="88"/>
  <c r="N646" i="88"/>
  <c r="S181" i="88"/>
  <c r="U181" i="88"/>
  <c r="N182" i="88"/>
  <c r="S183" i="88"/>
  <c r="U183" i="88"/>
  <c r="N184" i="88"/>
  <c r="S246" i="88"/>
  <c r="U246" i="88"/>
  <c r="T247" i="88"/>
  <c r="N248" i="88"/>
  <c r="S310" i="88"/>
  <c r="U310" i="88"/>
  <c r="T311" i="88"/>
  <c r="N312" i="88"/>
  <c r="S377" i="88"/>
  <c r="U377" i="88"/>
  <c r="T378" i="88"/>
  <c r="N379" i="88"/>
  <c r="S444" i="88"/>
  <c r="U444" i="88"/>
  <c r="T445" i="88"/>
  <c r="S511" i="88"/>
  <c r="U511" i="88"/>
  <c r="T512" i="88"/>
  <c r="N513" i="88"/>
  <c r="S578" i="88"/>
  <c r="U578" i="88"/>
  <c r="T579" i="88"/>
  <c r="N580" i="88"/>
  <c r="R578" i="88"/>
  <c r="V578" i="88"/>
  <c r="R579" i="88"/>
  <c r="V579" i="88"/>
  <c r="R580" i="88"/>
  <c r="V580" i="88"/>
  <c r="R581" i="88"/>
  <c r="V581" i="88"/>
  <c r="R511" i="88"/>
  <c r="V511" i="88"/>
  <c r="R512" i="88"/>
  <c r="V512" i="88"/>
  <c r="R513" i="88"/>
  <c r="V513" i="88"/>
  <c r="R514" i="88"/>
  <c r="V514" i="88"/>
  <c r="R444" i="88"/>
  <c r="V444" i="88"/>
  <c r="R445" i="88"/>
  <c r="V445" i="88"/>
  <c r="R446" i="88"/>
  <c r="V446" i="88"/>
  <c r="R447" i="88"/>
  <c r="V447" i="88"/>
  <c r="R377" i="88"/>
  <c r="V377" i="88"/>
  <c r="R378" i="88"/>
  <c r="V378" i="88"/>
  <c r="R379" i="88"/>
  <c r="V379" i="88"/>
  <c r="R380" i="88"/>
  <c r="V380" i="88"/>
  <c r="R310" i="88"/>
  <c r="V310" i="88"/>
  <c r="R311" i="88"/>
  <c r="V311" i="88"/>
  <c r="R312" i="88"/>
  <c r="V312" i="88"/>
  <c r="R313" i="88"/>
  <c r="V313" i="88"/>
  <c r="R246" i="88"/>
  <c r="V246" i="88"/>
  <c r="R247" i="88"/>
  <c r="V247" i="88"/>
  <c r="R248" i="88"/>
  <c r="V248" i="88"/>
  <c r="R249" i="88"/>
  <c r="V249" i="88"/>
  <c r="T181" i="88"/>
  <c r="T182" i="88"/>
  <c r="T183" i="88"/>
  <c r="T184" i="88"/>
  <c r="T646" i="88"/>
  <c r="R711" i="88"/>
  <c r="V711" i="88"/>
  <c r="R116" i="88"/>
  <c r="V116" i="88"/>
  <c r="R710" i="88"/>
  <c r="V710" i="88"/>
  <c r="R712" i="88"/>
  <c r="V712" i="88"/>
  <c r="R713" i="88"/>
  <c r="V713" i="88"/>
  <c r="S115" i="88"/>
  <c r="S117" i="88"/>
  <c r="R115" i="88"/>
  <c r="R117" i="88"/>
  <c r="R118" i="88"/>
  <c r="V118" i="88"/>
  <c r="R645" i="88"/>
  <c r="V645" i="88"/>
  <c r="R647" i="88"/>
  <c r="V647" i="88"/>
  <c r="R648" i="88"/>
  <c r="V648" i="88"/>
  <c r="U740" i="88"/>
  <c r="V740" i="88"/>
  <c r="R740" i="88"/>
  <c r="U739" i="88"/>
  <c r="V739" i="88"/>
  <c r="R739" i="88"/>
  <c r="T680" i="88"/>
  <c r="U680" i="88"/>
  <c r="V680" i="88"/>
  <c r="U679" i="88"/>
  <c r="V679" i="88"/>
  <c r="R679" i="88"/>
  <c r="X91" i="88"/>
  <c r="U83" i="88"/>
  <c r="V83" i="88"/>
  <c r="R83" i="88"/>
  <c r="U149" i="88"/>
  <c r="V149" i="88"/>
  <c r="T58" i="89" l="1"/>
  <c r="T85" i="89" s="1"/>
  <c r="N153" i="89"/>
  <c r="T548" i="89"/>
  <c r="N253" i="89"/>
  <c r="N277" i="89" s="1"/>
  <c r="N285" i="89" s="1"/>
  <c r="H12" i="89" s="1"/>
  <c r="N602" i="89"/>
  <c r="N604" i="89" s="1"/>
  <c r="F22" i="89" s="1"/>
  <c r="U717" i="89"/>
  <c r="U741" i="89" s="1"/>
  <c r="U748" i="89" s="1"/>
  <c r="S548" i="89"/>
  <c r="R685" i="89"/>
  <c r="N673" i="89"/>
  <c r="N675" i="89" s="1"/>
  <c r="F24" i="89" s="1"/>
  <c r="N58" i="89"/>
  <c r="G7" i="89" s="1"/>
  <c r="U58" i="89"/>
  <c r="U85" i="89" s="1"/>
  <c r="U94" i="89" s="1"/>
  <c r="N612" i="89"/>
  <c r="V611" i="89"/>
  <c r="V621" i="89" s="1"/>
  <c r="T347" i="89"/>
  <c r="N279" i="89"/>
  <c r="N732" i="89"/>
  <c r="T732" i="89" s="1"/>
  <c r="T746" i="89" s="1"/>
  <c r="R281" i="89"/>
  <c r="N85" i="89"/>
  <c r="N467" i="89"/>
  <c r="N469" i="89" s="1"/>
  <c r="F18" i="89" s="1"/>
  <c r="T156" i="89"/>
  <c r="U384" i="89"/>
  <c r="U408" i="89" s="1"/>
  <c r="V188" i="89"/>
  <c r="V212" i="89" s="1"/>
  <c r="U213" i="89"/>
  <c r="U220" i="89" s="1"/>
  <c r="V451" i="89"/>
  <c r="V475" i="89" s="1"/>
  <c r="U253" i="89"/>
  <c r="U277" i="89" s="1"/>
  <c r="S216" i="89"/>
  <c r="T409" i="89"/>
  <c r="R384" i="89"/>
  <c r="R408" i="89" s="1"/>
  <c r="S451" i="89"/>
  <c r="S476" i="89" s="1"/>
  <c r="V384" i="89"/>
  <c r="V408" i="89" s="1"/>
  <c r="R188" i="89"/>
  <c r="R212" i="89" s="1"/>
  <c r="V652" i="89"/>
  <c r="V681" i="89" s="1"/>
  <c r="V689" i="89" s="1"/>
  <c r="S518" i="89"/>
  <c r="S543" i="89" s="1"/>
  <c r="R652" i="89"/>
  <c r="R681" i="89" s="1"/>
  <c r="N188" i="89"/>
  <c r="N212" i="89" s="1"/>
  <c r="S253" i="89"/>
  <c r="S277" i="89" s="1"/>
  <c r="S686" i="89"/>
  <c r="R451" i="89"/>
  <c r="R475" i="89" s="1"/>
  <c r="N122" i="89"/>
  <c r="N151" i="89" s="1"/>
  <c r="S652" i="89"/>
  <c r="S681" i="89" s="1"/>
  <c r="S281" i="89"/>
  <c r="S744" i="89"/>
  <c r="T216" i="89"/>
  <c r="N743" i="89"/>
  <c r="R744" i="89"/>
  <c r="S732" i="89"/>
  <c r="S746" i="89" s="1"/>
  <c r="V253" i="89"/>
  <c r="N477" i="89"/>
  <c r="T317" i="89"/>
  <c r="T343" i="89" s="1"/>
  <c r="N87" i="89"/>
  <c r="V58" i="89"/>
  <c r="V85" i="89" s="1"/>
  <c r="V94" i="89" s="1"/>
  <c r="U122" i="89"/>
  <c r="U151" i="89" s="1"/>
  <c r="U160" i="89" s="1"/>
  <c r="N451" i="89"/>
  <c r="N475" i="89" s="1"/>
  <c r="U278" i="89"/>
  <c r="U285" i="89" s="1"/>
  <c r="N652" i="89"/>
  <c r="G24" i="89" s="1"/>
  <c r="S585" i="89"/>
  <c r="S610" i="89" s="1"/>
  <c r="S347" i="89"/>
  <c r="V122" i="89"/>
  <c r="V151" i="89" s="1"/>
  <c r="V160" i="89" s="1"/>
  <c r="N384" i="89"/>
  <c r="N408" i="89" s="1"/>
  <c r="S188" i="89"/>
  <c r="S212" i="89" s="1"/>
  <c r="T188" i="89"/>
  <c r="T212" i="89" s="1"/>
  <c r="T585" i="89"/>
  <c r="T610" i="89" s="1"/>
  <c r="T253" i="89"/>
  <c r="N77" i="89"/>
  <c r="N79" i="89" s="1"/>
  <c r="F7" i="89" s="1"/>
  <c r="U518" i="89"/>
  <c r="U544" i="89" s="1"/>
  <c r="S215" i="89"/>
  <c r="R253" i="89"/>
  <c r="R155" i="89"/>
  <c r="V317" i="89"/>
  <c r="V343" i="89" s="1"/>
  <c r="N717" i="89"/>
  <c r="S477" i="89"/>
  <c r="T744" i="89"/>
  <c r="S214" i="89"/>
  <c r="R90" i="89"/>
  <c r="N518" i="89"/>
  <c r="S384" i="89"/>
  <c r="S408" i="89" s="1"/>
  <c r="S345" i="89"/>
  <c r="T686" i="89"/>
  <c r="N218" i="89"/>
  <c r="T204" i="89"/>
  <c r="T218" i="89" s="1"/>
  <c r="S204" i="89"/>
  <c r="S218" i="89" s="1"/>
  <c r="R204" i="89"/>
  <c r="R218" i="89" s="1"/>
  <c r="N206" i="89"/>
  <c r="F10" i="89" s="1"/>
  <c r="R58" i="89"/>
  <c r="R85" i="89" s="1"/>
  <c r="V476" i="89"/>
  <c r="S279" i="89"/>
  <c r="R88" i="89"/>
  <c r="S90" i="89"/>
  <c r="R89" i="89"/>
  <c r="R585" i="89"/>
  <c r="R610" i="89" s="1"/>
  <c r="R518" i="89"/>
  <c r="S467" i="89"/>
  <c r="S469" i="89" s="1"/>
  <c r="S58" i="89"/>
  <c r="S85" i="89" s="1"/>
  <c r="T280" i="89"/>
  <c r="N283" i="89"/>
  <c r="S269" i="89"/>
  <c r="S283" i="89" s="1"/>
  <c r="R269" i="89"/>
  <c r="T269" i="89"/>
  <c r="T283" i="89" s="1"/>
  <c r="T90" i="89"/>
  <c r="S89" i="89"/>
  <c r="S743" i="89"/>
  <c r="S717" i="89"/>
  <c r="S741" i="89" s="1"/>
  <c r="R717" i="89"/>
  <c r="R741" i="89" s="1"/>
  <c r="T518" i="89"/>
  <c r="R215" i="89"/>
  <c r="R546" i="89"/>
  <c r="R122" i="89"/>
  <c r="R151" i="89" s="1"/>
  <c r="S155" i="89"/>
  <c r="N317" i="89"/>
  <c r="T89" i="89"/>
  <c r="U585" i="89"/>
  <c r="U610" i="89" s="1"/>
  <c r="V717" i="89"/>
  <c r="V741" i="89" s="1"/>
  <c r="V748" i="89" s="1"/>
  <c r="N585" i="89"/>
  <c r="S673" i="89"/>
  <c r="S687" i="89" s="1"/>
  <c r="R673" i="89"/>
  <c r="R687" i="89" s="1"/>
  <c r="N687" i="89"/>
  <c r="T451" i="89"/>
  <c r="T475" i="89" s="1"/>
  <c r="S546" i="89"/>
  <c r="R317" i="89"/>
  <c r="N158" i="89"/>
  <c r="T143" i="89"/>
  <c r="T158" i="89" s="1"/>
  <c r="S143" i="89"/>
  <c r="S158" i="89" s="1"/>
  <c r="R143" i="89"/>
  <c r="R158" i="89" s="1"/>
  <c r="R348" i="89"/>
  <c r="T613" i="89"/>
  <c r="T602" i="89"/>
  <c r="S602" i="89"/>
  <c r="R602" i="89"/>
  <c r="R604" i="89" s="1"/>
  <c r="N619" i="89"/>
  <c r="V518" i="89"/>
  <c r="S683" i="89"/>
  <c r="S400" i="89"/>
  <c r="R400" i="89"/>
  <c r="T400" i="89"/>
  <c r="N415" i="89"/>
  <c r="S122" i="89"/>
  <c r="S151" i="89" s="1"/>
  <c r="N550" i="89"/>
  <c r="T535" i="89"/>
  <c r="T550" i="89" s="1"/>
  <c r="S535" i="89"/>
  <c r="S550" i="89" s="1"/>
  <c r="R535" i="89"/>
  <c r="R550" i="89" s="1"/>
  <c r="R335" i="89"/>
  <c r="R350" i="89" s="1"/>
  <c r="N350" i="89"/>
  <c r="S335" i="89"/>
  <c r="S337" i="89" s="1"/>
  <c r="T335" i="89"/>
  <c r="T337" i="89" s="1"/>
  <c r="S317" i="89"/>
  <c r="S745" i="89"/>
  <c r="S685" i="89"/>
  <c r="T652" i="89"/>
  <c r="T681" i="89" s="1"/>
  <c r="T546" i="89"/>
  <c r="N537" i="89"/>
  <c r="F20" i="89" s="1"/>
  <c r="U476" i="89"/>
  <c r="U484" i="89" s="1"/>
  <c r="U317" i="89"/>
  <c r="T206" i="89"/>
  <c r="N57" i="88"/>
  <c r="S57" i="88" s="1"/>
  <c r="G12" i="89" l="1"/>
  <c r="N681" i="89"/>
  <c r="T160" i="89"/>
  <c r="N482" i="89"/>
  <c r="N484" i="89" s="1"/>
  <c r="H18" i="89" s="1"/>
  <c r="G10" i="89"/>
  <c r="T537" i="89"/>
  <c r="T467" i="89"/>
  <c r="T469" i="89" s="1"/>
  <c r="S213" i="89"/>
  <c r="S220" i="89" s="1"/>
  <c r="S734" i="89"/>
  <c r="T748" i="89"/>
  <c r="R689" i="89"/>
  <c r="R467" i="89"/>
  <c r="R469" i="89" s="1"/>
  <c r="T673" i="89"/>
  <c r="T687" i="89" s="1"/>
  <c r="T689" i="89" s="1"/>
  <c r="R409" i="89"/>
  <c r="U543" i="89"/>
  <c r="T344" i="89"/>
  <c r="V409" i="89"/>
  <c r="V417" i="89" s="1"/>
  <c r="S475" i="89"/>
  <c r="U409" i="89"/>
  <c r="U417" i="89" s="1"/>
  <c r="V344" i="89"/>
  <c r="V352" i="89" s="1"/>
  <c r="V213" i="89"/>
  <c r="V220" i="89" s="1"/>
  <c r="N746" i="89"/>
  <c r="R732" i="89"/>
  <c r="N734" i="89"/>
  <c r="F25" i="89" s="1"/>
  <c r="G18" i="89"/>
  <c r="R213" i="89"/>
  <c r="R220" i="89" s="1"/>
  <c r="T271" i="89"/>
  <c r="G8" i="89"/>
  <c r="G16" i="89"/>
  <c r="T145" i="89"/>
  <c r="S689" i="89"/>
  <c r="T734" i="89"/>
  <c r="V277" i="89"/>
  <c r="V278" i="89"/>
  <c r="N160" i="89"/>
  <c r="H8" i="89" s="1"/>
  <c r="N689" i="89"/>
  <c r="H24" i="89" s="1"/>
  <c r="S611" i="89"/>
  <c r="S544" i="89"/>
  <c r="S552" i="89" s="1"/>
  <c r="N220" i="89"/>
  <c r="H10" i="89" s="1"/>
  <c r="S160" i="89"/>
  <c r="S278" i="89"/>
  <c r="S285" i="89" s="1"/>
  <c r="R476" i="89"/>
  <c r="T213" i="89"/>
  <c r="T220" i="89" s="1"/>
  <c r="R537" i="89"/>
  <c r="S77" i="89"/>
  <c r="T77" i="89"/>
  <c r="R77" i="89"/>
  <c r="N92" i="89"/>
  <c r="N94" i="89" s="1"/>
  <c r="H7" i="89" s="1"/>
  <c r="U552" i="89"/>
  <c r="R277" i="89"/>
  <c r="R278" i="89"/>
  <c r="S409" i="89"/>
  <c r="S271" i="89"/>
  <c r="N741" i="89"/>
  <c r="G25" i="89"/>
  <c r="T277" i="89"/>
  <c r="T278" i="89"/>
  <c r="T611" i="89"/>
  <c r="N543" i="89"/>
  <c r="N552" i="89" s="1"/>
  <c r="H20" i="89" s="1"/>
  <c r="G20" i="89"/>
  <c r="U611" i="89"/>
  <c r="U621" i="89" s="1"/>
  <c r="S206" i="89"/>
  <c r="R349" i="89"/>
  <c r="T414" i="89"/>
  <c r="T415" i="89"/>
  <c r="S619" i="89"/>
  <c r="S618" i="89"/>
  <c r="S604" i="89"/>
  <c r="T476" i="89"/>
  <c r="T402" i="89"/>
  <c r="T350" i="89"/>
  <c r="T349" i="89"/>
  <c r="R415" i="89"/>
  <c r="R414" i="89"/>
  <c r="S415" i="89"/>
  <c r="S414" i="89"/>
  <c r="S537" i="89"/>
  <c r="T543" i="89"/>
  <c r="T544" i="89"/>
  <c r="R611" i="89"/>
  <c r="R402" i="89"/>
  <c r="S145" i="89"/>
  <c r="S344" i="89"/>
  <c r="S343" i="89"/>
  <c r="S675" i="89"/>
  <c r="N343" i="89"/>
  <c r="N352" i="89" s="1"/>
  <c r="H14" i="89" s="1"/>
  <c r="G14" i="89"/>
  <c r="R481" i="89"/>
  <c r="V484" i="89"/>
  <c r="R337" i="89"/>
  <c r="U343" i="89"/>
  <c r="U344" i="89"/>
  <c r="R618" i="89"/>
  <c r="R619" i="89"/>
  <c r="T619" i="89"/>
  <c r="T618" i="89"/>
  <c r="R543" i="89"/>
  <c r="R544" i="89"/>
  <c r="R675" i="89"/>
  <c r="T604" i="89"/>
  <c r="N610" i="89"/>
  <c r="N621" i="89" s="1"/>
  <c r="H22" i="89" s="1"/>
  <c r="G22" i="89"/>
  <c r="S748" i="89"/>
  <c r="R283" i="89"/>
  <c r="R271" i="89"/>
  <c r="S481" i="89"/>
  <c r="S482" i="89"/>
  <c r="R145" i="89"/>
  <c r="S350" i="89"/>
  <c r="S349" i="89"/>
  <c r="R206" i="89"/>
  <c r="N417" i="89"/>
  <c r="H16" i="89" s="1"/>
  <c r="V544" i="89"/>
  <c r="V543" i="89"/>
  <c r="R344" i="89"/>
  <c r="R343" i="89"/>
  <c r="R160" i="89"/>
  <c r="T482" i="89"/>
  <c r="T481" i="89"/>
  <c r="S402" i="89"/>
  <c r="S149" i="88"/>
  <c r="T149" i="88"/>
  <c r="T739" i="88"/>
  <c r="S739" i="88"/>
  <c r="S83" i="88"/>
  <c r="T83" i="88"/>
  <c r="T679" i="88"/>
  <c r="S679" i="88"/>
  <c r="R149" i="88"/>
  <c r="N679" i="88"/>
  <c r="N739" i="88"/>
  <c r="N608" i="88"/>
  <c r="N541" i="88"/>
  <c r="N473" i="88"/>
  <c r="N275" i="88"/>
  <c r="N406" i="88"/>
  <c r="N341" i="88"/>
  <c r="N83" i="88"/>
  <c r="N210" i="88"/>
  <c r="N149" i="88"/>
  <c r="K728" i="88"/>
  <c r="N263" i="88"/>
  <c r="N198" i="88"/>
  <c r="N137" i="88"/>
  <c r="N71" i="88"/>
  <c r="N328" i="88"/>
  <c r="K393" i="88"/>
  <c r="K329" i="88"/>
  <c r="K669" i="88"/>
  <c r="K593" i="88"/>
  <c r="K527" i="88"/>
  <c r="K261" i="88"/>
  <c r="K196" i="88"/>
  <c r="K725" i="88"/>
  <c r="R285" i="89" l="1"/>
  <c r="R482" i="89"/>
  <c r="V285" i="89"/>
  <c r="T675" i="89"/>
  <c r="N748" i="89"/>
  <c r="H25" i="89" s="1"/>
  <c r="S484" i="89"/>
  <c r="T484" i="89"/>
  <c r="R746" i="89"/>
  <c r="R748" i="89" s="1"/>
  <c r="R734" i="89"/>
  <c r="T621" i="89"/>
  <c r="S621" i="89"/>
  <c r="T285" i="89"/>
  <c r="T352" i="89"/>
  <c r="S417" i="89"/>
  <c r="R621" i="89"/>
  <c r="R92" i="89"/>
  <c r="R94" i="89" s="1"/>
  <c r="R79" i="89"/>
  <c r="V552" i="89"/>
  <c r="T92" i="89"/>
  <c r="T94" i="89" s="1"/>
  <c r="T79" i="89"/>
  <c r="S92" i="89"/>
  <c r="S94" i="89" s="1"/>
  <c r="S79" i="89"/>
  <c r="R484" i="89"/>
  <c r="R352" i="89"/>
  <c r="T552" i="89"/>
  <c r="T417" i="89"/>
  <c r="R552" i="89"/>
  <c r="U352" i="89"/>
  <c r="S352" i="89"/>
  <c r="R417" i="89"/>
  <c r="N666" i="88"/>
  <c r="V155" i="88"/>
  <c r="U155" i="88"/>
  <c r="V154" i="88"/>
  <c r="U154" i="88"/>
  <c r="V153" i="88"/>
  <c r="U153" i="88"/>
  <c r="V152" i="88"/>
  <c r="U152" i="88"/>
  <c r="V151" i="88"/>
  <c r="U151" i="88"/>
  <c r="T151" i="88"/>
  <c r="V150" i="88"/>
  <c r="U150" i="88"/>
  <c r="R146" i="88"/>
  <c r="S146" i="88" s="1"/>
  <c r="T146" i="88" s="1"/>
  <c r="U146" i="88" s="1"/>
  <c r="V146" i="88" s="1"/>
  <c r="X146" i="88" s="1"/>
  <c r="Y146" i="88" s="1"/>
  <c r="Z146" i="88" s="1"/>
  <c r="AA146" i="88" s="1"/>
  <c r="AB146" i="88" s="1"/>
  <c r="AB142" i="88"/>
  <c r="AA142" i="88"/>
  <c r="Z142" i="88"/>
  <c r="Y142" i="88"/>
  <c r="X142" i="88"/>
  <c r="V142" i="88"/>
  <c r="U142" i="88"/>
  <c r="K139" i="88"/>
  <c r="N139" i="88" s="1"/>
  <c r="K138" i="88"/>
  <c r="N138" i="88" s="1"/>
  <c r="T137" i="88"/>
  <c r="K136" i="88"/>
  <c r="N136" i="88" s="1"/>
  <c r="N135" i="88"/>
  <c r="R121" i="88"/>
  <c r="S121" i="88" s="1"/>
  <c r="T121" i="88" s="1"/>
  <c r="U121" i="88" s="1"/>
  <c r="V121" i="88" s="1"/>
  <c r="X121" i="88" s="1"/>
  <c r="Y121" i="88" s="1"/>
  <c r="Z121" i="88" s="1"/>
  <c r="AA121" i="88" s="1"/>
  <c r="AB121" i="88" s="1"/>
  <c r="R113" i="88"/>
  <c r="S113" i="88" s="1"/>
  <c r="T113" i="88" s="1"/>
  <c r="U113" i="88" s="1"/>
  <c r="V113" i="88" s="1"/>
  <c r="X113" i="88" s="1"/>
  <c r="Y113" i="88" s="1"/>
  <c r="Z113" i="88" s="1"/>
  <c r="AA113" i="88" s="1"/>
  <c r="AB113" i="88" s="1"/>
  <c r="V110" i="88"/>
  <c r="U110" i="88"/>
  <c r="T110" i="88"/>
  <c r="S110" i="88"/>
  <c r="R110" i="88"/>
  <c r="K110" i="88"/>
  <c r="R104" i="88"/>
  <c r="S104" i="88" s="1"/>
  <c r="T104" i="88" s="1"/>
  <c r="U104" i="88" s="1"/>
  <c r="V104" i="88" s="1"/>
  <c r="X104" i="88" s="1"/>
  <c r="Y104" i="88" s="1"/>
  <c r="Z104" i="88" s="1"/>
  <c r="AA104" i="88" s="1"/>
  <c r="AB104" i="88" s="1"/>
  <c r="R99" i="88"/>
  <c r="S99" i="88" s="1"/>
  <c r="T99" i="88" s="1"/>
  <c r="U99" i="88" s="1"/>
  <c r="V99" i="88" s="1"/>
  <c r="X99" i="88" s="1"/>
  <c r="Y99" i="88" s="1"/>
  <c r="Z99" i="88" s="1"/>
  <c r="AA99" i="88" s="1"/>
  <c r="AB99" i="88" s="1"/>
  <c r="AB91" i="88"/>
  <c r="AA91" i="88"/>
  <c r="Z91" i="88"/>
  <c r="Y91" i="88"/>
  <c r="V89" i="88"/>
  <c r="U89" i="88"/>
  <c r="V88" i="88"/>
  <c r="U88" i="88"/>
  <c r="V87" i="88"/>
  <c r="U87" i="88"/>
  <c r="V86" i="88"/>
  <c r="U86" i="88"/>
  <c r="V85" i="88"/>
  <c r="U85" i="88"/>
  <c r="T85" i="88"/>
  <c r="V84" i="88"/>
  <c r="U84" i="88"/>
  <c r="R80" i="88"/>
  <c r="S80" i="88" s="1"/>
  <c r="T80" i="88" s="1"/>
  <c r="U80" i="88" s="1"/>
  <c r="V80" i="88" s="1"/>
  <c r="X80" i="88" s="1"/>
  <c r="Y80" i="88" s="1"/>
  <c r="Z80" i="88" s="1"/>
  <c r="AA80" i="88" s="1"/>
  <c r="AB80" i="88" s="1"/>
  <c r="AB76" i="88"/>
  <c r="AA76" i="88"/>
  <c r="Z76" i="88"/>
  <c r="Y76" i="88"/>
  <c r="X76" i="88"/>
  <c r="V76" i="88"/>
  <c r="U76" i="88"/>
  <c r="K73" i="88"/>
  <c r="N73" i="88" s="1"/>
  <c r="K72" i="88"/>
  <c r="N72" i="88" s="1"/>
  <c r="S72" i="88" s="1"/>
  <c r="T71" i="88"/>
  <c r="N70" i="88"/>
  <c r="N69" i="88"/>
  <c r="T69" i="88" s="1"/>
  <c r="N67" i="88"/>
  <c r="R67" i="88" s="1"/>
  <c r="N66" i="88"/>
  <c r="R66" i="88" s="1"/>
  <c r="N65" i="88"/>
  <c r="R65" i="88" s="1"/>
  <c r="N64" i="88"/>
  <c r="R64" i="88" s="1"/>
  <c r="N63" i="88"/>
  <c r="N61" i="88"/>
  <c r="S61" i="88" s="1"/>
  <c r="N60" i="88"/>
  <c r="S60" i="88" s="1"/>
  <c r="N59" i="88"/>
  <c r="R59" i="88" s="1"/>
  <c r="N58" i="88"/>
  <c r="R55" i="88"/>
  <c r="S55" i="88" s="1"/>
  <c r="T55" i="88" s="1"/>
  <c r="U55" i="88" s="1"/>
  <c r="V55" i="88" s="1"/>
  <c r="X55" i="88" s="1"/>
  <c r="Y55" i="88" s="1"/>
  <c r="Z55" i="88" s="1"/>
  <c r="AA55" i="88" s="1"/>
  <c r="AB55" i="88" s="1"/>
  <c r="V52" i="88"/>
  <c r="U52" i="88"/>
  <c r="T52" i="88"/>
  <c r="S52" i="88"/>
  <c r="R52" i="88"/>
  <c r="N52" i="88"/>
  <c r="V51" i="88"/>
  <c r="U51" i="88"/>
  <c r="T51" i="88"/>
  <c r="S51" i="88"/>
  <c r="R51" i="88"/>
  <c r="N51" i="88"/>
  <c r="V50" i="88"/>
  <c r="U50" i="88"/>
  <c r="T50" i="88"/>
  <c r="S50" i="88"/>
  <c r="R50" i="88"/>
  <c r="N50" i="88"/>
  <c r="V49" i="88"/>
  <c r="U49" i="88"/>
  <c r="T49" i="88"/>
  <c r="S49" i="88"/>
  <c r="R49" i="88"/>
  <c r="N49" i="88"/>
  <c r="R47" i="88"/>
  <c r="S47" i="88" s="1"/>
  <c r="T47" i="88" s="1"/>
  <c r="U47" i="88" s="1"/>
  <c r="V47" i="88" s="1"/>
  <c r="X47" i="88" s="1"/>
  <c r="Y47" i="88" s="1"/>
  <c r="Z47" i="88" s="1"/>
  <c r="AA47" i="88" s="1"/>
  <c r="AB47" i="88" s="1"/>
  <c r="V44" i="88"/>
  <c r="U44" i="88"/>
  <c r="T44" i="88"/>
  <c r="S44" i="88"/>
  <c r="R44" i="88"/>
  <c r="K44" i="88"/>
  <c r="R38" i="88"/>
  <c r="S38" i="88" s="1"/>
  <c r="T38" i="88" s="1"/>
  <c r="U38" i="88" s="1"/>
  <c r="V38" i="88" s="1"/>
  <c r="X38" i="88" s="1"/>
  <c r="Y38" i="88" s="1"/>
  <c r="Z38" i="88" s="1"/>
  <c r="AA38" i="88" s="1"/>
  <c r="AB38" i="88" s="1"/>
  <c r="R33" i="88"/>
  <c r="S33" i="88" s="1"/>
  <c r="T33" i="88" s="1"/>
  <c r="U33" i="88" s="1"/>
  <c r="V33" i="88" s="1"/>
  <c r="X33" i="88" s="1"/>
  <c r="Y33" i="88" s="1"/>
  <c r="Z33" i="88" s="1"/>
  <c r="AA33" i="88" s="1"/>
  <c r="AB33" i="88" s="1"/>
  <c r="U614" i="88"/>
  <c r="V614" i="88"/>
  <c r="N614" i="88"/>
  <c r="U613" i="88"/>
  <c r="V613" i="88"/>
  <c r="K596" i="88"/>
  <c r="N596" i="88" s="1"/>
  <c r="N613" i="88" s="1"/>
  <c r="U612" i="88"/>
  <c r="V612" i="88"/>
  <c r="W612" i="88"/>
  <c r="U611" i="88"/>
  <c r="V611" i="88"/>
  <c r="N593" i="88"/>
  <c r="U610" i="88"/>
  <c r="V610" i="88"/>
  <c r="T597" i="88"/>
  <c r="T614" i="88" s="1"/>
  <c r="S597" i="88"/>
  <c r="S614" i="88" s="1"/>
  <c r="R597" i="88"/>
  <c r="R614" i="88" s="1"/>
  <c r="N595" i="88"/>
  <c r="N598" i="88"/>
  <c r="R598" i="88" s="1"/>
  <c r="N592" i="88"/>
  <c r="T592" i="88" s="1"/>
  <c r="T610" i="88" s="1"/>
  <c r="AB618" i="88"/>
  <c r="AA618" i="88"/>
  <c r="Z618" i="88"/>
  <c r="Y618" i="88"/>
  <c r="X618" i="88"/>
  <c r="V616" i="88"/>
  <c r="U616" i="88"/>
  <c r="V615" i="88"/>
  <c r="U615" i="88"/>
  <c r="V609" i="88"/>
  <c r="U609" i="88"/>
  <c r="T609" i="88"/>
  <c r="R605" i="88"/>
  <c r="S605" i="88" s="1"/>
  <c r="T605" i="88" s="1"/>
  <c r="U605" i="88" s="1"/>
  <c r="V605" i="88" s="1"/>
  <c r="X605" i="88" s="1"/>
  <c r="Y605" i="88" s="1"/>
  <c r="Z605" i="88" s="1"/>
  <c r="AA605" i="88" s="1"/>
  <c r="AB605" i="88" s="1"/>
  <c r="AB601" i="88"/>
  <c r="AA601" i="88"/>
  <c r="Z601" i="88"/>
  <c r="Y601" i="88"/>
  <c r="X601" i="88"/>
  <c r="V601" i="88"/>
  <c r="U601" i="88"/>
  <c r="R584" i="88"/>
  <c r="S584" i="88" s="1"/>
  <c r="T584" i="88" s="1"/>
  <c r="U584" i="88" s="1"/>
  <c r="V584" i="88" s="1"/>
  <c r="X584" i="88" s="1"/>
  <c r="Y584" i="88" s="1"/>
  <c r="Z584" i="88" s="1"/>
  <c r="AA584" i="88" s="1"/>
  <c r="AB584" i="88" s="1"/>
  <c r="R576" i="88"/>
  <c r="S576" i="88" s="1"/>
  <c r="T576" i="88" s="1"/>
  <c r="U576" i="88" s="1"/>
  <c r="V576" i="88" s="1"/>
  <c r="X576" i="88" s="1"/>
  <c r="Y576" i="88" s="1"/>
  <c r="Z576" i="88" s="1"/>
  <c r="AA576" i="88" s="1"/>
  <c r="AB576" i="88" s="1"/>
  <c r="V573" i="88"/>
  <c r="U573" i="88"/>
  <c r="T573" i="88"/>
  <c r="S573" i="88"/>
  <c r="R573" i="88"/>
  <c r="K573" i="88"/>
  <c r="R567" i="88"/>
  <c r="S567" i="88" s="1"/>
  <c r="T567" i="88" s="1"/>
  <c r="U567" i="88" s="1"/>
  <c r="V567" i="88" s="1"/>
  <c r="X567" i="88" s="1"/>
  <c r="Y567" i="88" s="1"/>
  <c r="Z567" i="88" s="1"/>
  <c r="AA567" i="88" s="1"/>
  <c r="AB567" i="88" s="1"/>
  <c r="R562" i="88"/>
  <c r="S562" i="88" s="1"/>
  <c r="T562" i="88" s="1"/>
  <c r="U562" i="88" s="1"/>
  <c r="V562" i="88" s="1"/>
  <c r="X562" i="88" s="1"/>
  <c r="Y562" i="88" s="1"/>
  <c r="Z562" i="88" s="1"/>
  <c r="AA562" i="88" s="1"/>
  <c r="AB562" i="88" s="1"/>
  <c r="U546" i="88"/>
  <c r="V546" i="88"/>
  <c r="U545" i="88"/>
  <c r="V545" i="88"/>
  <c r="U544" i="88"/>
  <c r="V544" i="88"/>
  <c r="U543" i="88"/>
  <c r="V543" i="88"/>
  <c r="N527" i="88"/>
  <c r="R527" i="88" s="1"/>
  <c r="R544" i="88" s="1"/>
  <c r="N526" i="88"/>
  <c r="S526" i="88" s="1"/>
  <c r="K531" i="88"/>
  <c r="N531" i="88" s="1"/>
  <c r="T531" i="88" s="1"/>
  <c r="K530" i="88"/>
  <c r="N530" i="88" s="1"/>
  <c r="N529" i="88"/>
  <c r="AB549" i="88"/>
  <c r="AA549" i="88"/>
  <c r="Z549" i="88"/>
  <c r="Y549" i="88"/>
  <c r="X549" i="88"/>
  <c r="V547" i="88"/>
  <c r="U547" i="88"/>
  <c r="V542" i="88"/>
  <c r="U542" i="88"/>
  <c r="T542" i="88"/>
  <c r="R538" i="88"/>
  <c r="S538" i="88" s="1"/>
  <c r="T538" i="88" s="1"/>
  <c r="U538" i="88" s="1"/>
  <c r="V538" i="88" s="1"/>
  <c r="X538" i="88" s="1"/>
  <c r="Y538" i="88" s="1"/>
  <c r="Z538" i="88" s="1"/>
  <c r="AA538" i="88" s="1"/>
  <c r="AB538" i="88" s="1"/>
  <c r="AB534" i="88"/>
  <c r="AA534" i="88"/>
  <c r="Z534" i="88"/>
  <c r="Y534" i="88"/>
  <c r="X534" i="88"/>
  <c r="V534" i="88"/>
  <c r="U534" i="88"/>
  <c r="R517" i="88"/>
  <c r="S517" i="88" s="1"/>
  <c r="T517" i="88" s="1"/>
  <c r="U517" i="88" s="1"/>
  <c r="V517" i="88" s="1"/>
  <c r="X517" i="88" s="1"/>
  <c r="Y517" i="88" s="1"/>
  <c r="Z517" i="88" s="1"/>
  <c r="AA517" i="88" s="1"/>
  <c r="AB517" i="88" s="1"/>
  <c r="R509" i="88"/>
  <c r="S509" i="88" s="1"/>
  <c r="T509" i="88" s="1"/>
  <c r="U509" i="88" s="1"/>
  <c r="V509" i="88" s="1"/>
  <c r="X509" i="88" s="1"/>
  <c r="Y509" i="88" s="1"/>
  <c r="Z509" i="88" s="1"/>
  <c r="AA509" i="88" s="1"/>
  <c r="AB509" i="88" s="1"/>
  <c r="V506" i="88"/>
  <c r="U506" i="88"/>
  <c r="T506" i="88"/>
  <c r="S506" i="88"/>
  <c r="R506" i="88"/>
  <c r="K506" i="88"/>
  <c r="R500" i="88"/>
  <c r="S500" i="88" s="1"/>
  <c r="T500" i="88" s="1"/>
  <c r="U500" i="88" s="1"/>
  <c r="V500" i="88" s="1"/>
  <c r="X500" i="88" s="1"/>
  <c r="Y500" i="88" s="1"/>
  <c r="Z500" i="88" s="1"/>
  <c r="AA500" i="88" s="1"/>
  <c r="AB500" i="88" s="1"/>
  <c r="R495" i="88"/>
  <c r="S495" i="88" s="1"/>
  <c r="T495" i="88" s="1"/>
  <c r="U495" i="88" s="1"/>
  <c r="V495" i="88" s="1"/>
  <c r="X495" i="88" s="1"/>
  <c r="Y495" i="88" s="1"/>
  <c r="Z495" i="88" s="1"/>
  <c r="AA495" i="88" s="1"/>
  <c r="AB495" i="88" s="1"/>
  <c r="N460" i="88"/>
  <c r="AB481" i="88"/>
  <c r="AA481" i="88"/>
  <c r="Z481" i="88"/>
  <c r="Y481" i="88"/>
  <c r="X481" i="88"/>
  <c r="V479" i="88"/>
  <c r="U479" i="88"/>
  <c r="V478" i="88"/>
  <c r="U478" i="88"/>
  <c r="V477" i="88"/>
  <c r="U477" i="88"/>
  <c r="V476" i="88"/>
  <c r="U476" i="88"/>
  <c r="V475" i="88"/>
  <c r="U475" i="88"/>
  <c r="N475" i="88"/>
  <c r="V474" i="88"/>
  <c r="U474" i="88"/>
  <c r="T474" i="88"/>
  <c r="R470" i="88"/>
  <c r="S470" i="88" s="1"/>
  <c r="T470" i="88" s="1"/>
  <c r="U470" i="88" s="1"/>
  <c r="V470" i="88" s="1"/>
  <c r="X470" i="88" s="1"/>
  <c r="Y470" i="88" s="1"/>
  <c r="Z470" i="88" s="1"/>
  <c r="AA470" i="88" s="1"/>
  <c r="AB470" i="88" s="1"/>
  <c r="AB466" i="88"/>
  <c r="AA466" i="88"/>
  <c r="Z466" i="88"/>
  <c r="Y466" i="88"/>
  <c r="X466" i="88"/>
  <c r="V466" i="88"/>
  <c r="U466" i="88"/>
  <c r="K463" i="88"/>
  <c r="N463" i="88" s="1"/>
  <c r="N462" i="88"/>
  <c r="T459" i="88"/>
  <c r="S459" i="88"/>
  <c r="R459" i="88"/>
  <c r="T458" i="88"/>
  <c r="S458" i="88"/>
  <c r="R458" i="88"/>
  <c r="R450" i="88"/>
  <c r="S450" i="88" s="1"/>
  <c r="T450" i="88" s="1"/>
  <c r="U450" i="88" s="1"/>
  <c r="V450" i="88" s="1"/>
  <c r="X450" i="88" s="1"/>
  <c r="Y450" i="88" s="1"/>
  <c r="Z450" i="88" s="1"/>
  <c r="AA450" i="88" s="1"/>
  <c r="AB450" i="88" s="1"/>
  <c r="R442" i="88"/>
  <c r="S442" i="88" s="1"/>
  <c r="T442" i="88" s="1"/>
  <c r="U442" i="88" s="1"/>
  <c r="V442" i="88" s="1"/>
  <c r="X442" i="88" s="1"/>
  <c r="Y442" i="88" s="1"/>
  <c r="Z442" i="88" s="1"/>
  <c r="AA442" i="88" s="1"/>
  <c r="AB442" i="88" s="1"/>
  <c r="V439" i="88"/>
  <c r="U439" i="88"/>
  <c r="T439" i="88"/>
  <c r="S439" i="88"/>
  <c r="R439" i="88"/>
  <c r="K439" i="88"/>
  <c r="R433" i="88"/>
  <c r="S433" i="88" s="1"/>
  <c r="T433" i="88" s="1"/>
  <c r="U433" i="88" s="1"/>
  <c r="V433" i="88" s="1"/>
  <c r="X433" i="88" s="1"/>
  <c r="Y433" i="88" s="1"/>
  <c r="Z433" i="88" s="1"/>
  <c r="AA433" i="88" s="1"/>
  <c r="AB433" i="88" s="1"/>
  <c r="R428" i="88"/>
  <c r="S428" i="88" s="1"/>
  <c r="T428" i="88" s="1"/>
  <c r="U428" i="88" s="1"/>
  <c r="V428" i="88" s="1"/>
  <c r="X428" i="88" s="1"/>
  <c r="Y428" i="88" s="1"/>
  <c r="Z428" i="88" s="1"/>
  <c r="AA428" i="88" s="1"/>
  <c r="AB428" i="88" s="1"/>
  <c r="N408" i="88"/>
  <c r="V411" i="88"/>
  <c r="U411" i="88"/>
  <c r="K396" i="88"/>
  <c r="N396" i="88" s="1"/>
  <c r="N411" i="88" s="1"/>
  <c r="N395" i="88"/>
  <c r="R395" i="88" s="1"/>
  <c r="N393" i="88"/>
  <c r="AB414" i="88"/>
  <c r="AA414" i="88"/>
  <c r="Z414" i="88"/>
  <c r="Y414" i="88"/>
  <c r="X414" i="88"/>
  <c r="V412" i="88"/>
  <c r="U412" i="88"/>
  <c r="V410" i="88"/>
  <c r="U410" i="88"/>
  <c r="V409" i="88"/>
  <c r="U409" i="88"/>
  <c r="V408" i="88"/>
  <c r="U408" i="88"/>
  <c r="V407" i="88"/>
  <c r="U407" i="88"/>
  <c r="T407" i="88"/>
  <c r="R403" i="88"/>
  <c r="S403" i="88" s="1"/>
  <c r="T403" i="88" s="1"/>
  <c r="U403" i="88" s="1"/>
  <c r="V403" i="88" s="1"/>
  <c r="X403" i="88" s="1"/>
  <c r="Y403" i="88" s="1"/>
  <c r="Z403" i="88" s="1"/>
  <c r="AA403" i="88" s="1"/>
  <c r="AB403" i="88" s="1"/>
  <c r="AB399" i="88"/>
  <c r="AA399" i="88"/>
  <c r="Z399" i="88"/>
  <c r="Y399" i="88"/>
  <c r="X399" i="88"/>
  <c r="V399" i="88"/>
  <c r="U399" i="88"/>
  <c r="T392" i="88"/>
  <c r="S392" i="88"/>
  <c r="R392" i="88"/>
  <c r="T391" i="88"/>
  <c r="S391" i="88"/>
  <c r="R391" i="88"/>
  <c r="R383" i="88"/>
  <c r="S383" i="88" s="1"/>
  <c r="T383" i="88" s="1"/>
  <c r="U383" i="88" s="1"/>
  <c r="V383" i="88" s="1"/>
  <c r="X383" i="88" s="1"/>
  <c r="Y383" i="88" s="1"/>
  <c r="Z383" i="88" s="1"/>
  <c r="AA383" i="88" s="1"/>
  <c r="AB383" i="88" s="1"/>
  <c r="R375" i="88"/>
  <c r="S375" i="88" s="1"/>
  <c r="T375" i="88" s="1"/>
  <c r="U375" i="88" s="1"/>
  <c r="V375" i="88" s="1"/>
  <c r="X375" i="88" s="1"/>
  <c r="Y375" i="88" s="1"/>
  <c r="Z375" i="88" s="1"/>
  <c r="AA375" i="88" s="1"/>
  <c r="AB375" i="88" s="1"/>
  <c r="V372" i="88"/>
  <c r="U372" i="88"/>
  <c r="T372" i="88"/>
  <c r="S372" i="88"/>
  <c r="R372" i="88"/>
  <c r="K372" i="88"/>
  <c r="R366" i="88"/>
  <c r="S366" i="88" s="1"/>
  <c r="T366" i="88" s="1"/>
  <c r="U366" i="88" s="1"/>
  <c r="V366" i="88" s="1"/>
  <c r="X366" i="88" s="1"/>
  <c r="Y366" i="88" s="1"/>
  <c r="Z366" i="88" s="1"/>
  <c r="AA366" i="88" s="1"/>
  <c r="AB366" i="88" s="1"/>
  <c r="R361" i="88"/>
  <c r="S361" i="88" s="1"/>
  <c r="T361" i="88" s="1"/>
  <c r="U361" i="88" s="1"/>
  <c r="V361" i="88" s="1"/>
  <c r="X361" i="88" s="1"/>
  <c r="Y361" i="88" s="1"/>
  <c r="Z361" i="88" s="1"/>
  <c r="AA361" i="88" s="1"/>
  <c r="AB361" i="88" s="1"/>
  <c r="V346" i="88"/>
  <c r="U346" i="88"/>
  <c r="U343" i="88"/>
  <c r="V343" i="88"/>
  <c r="N343" i="88"/>
  <c r="N331" i="88"/>
  <c r="N346" i="88" s="1"/>
  <c r="T330" i="88"/>
  <c r="S330" i="88"/>
  <c r="R330" i="88"/>
  <c r="S325" i="88"/>
  <c r="AB349" i="88"/>
  <c r="AA349" i="88"/>
  <c r="Z349" i="88"/>
  <c r="Y349" i="88"/>
  <c r="X349" i="88"/>
  <c r="V347" i="88"/>
  <c r="U347" i="88"/>
  <c r="V345" i="88"/>
  <c r="U345" i="88"/>
  <c r="V344" i="88"/>
  <c r="U344" i="88"/>
  <c r="V342" i="88"/>
  <c r="U342" i="88"/>
  <c r="T342" i="88"/>
  <c r="R338" i="88"/>
  <c r="S338" i="88" s="1"/>
  <c r="T338" i="88" s="1"/>
  <c r="U338" i="88" s="1"/>
  <c r="V338" i="88" s="1"/>
  <c r="X338" i="88" s="1"/>
  <c r="Y338" i="88" s="1"/>
  <c r="Z338" i="88" s="1"/>
  <c r="AA338" i="88" s="1"/>
  <c r="AB338" i="88" s="1"/>
  <c r="AB334" i="88"/>
  <c r="AA334" i="88"/>
  <c r="Z334" i="88"/>
  <c r="Y334" i="88"/>
  <c r="X334" i="88"/>
  <c r="V334" i="88"/>
  <c r="U334" i="88"/>
  <c r="N329" i="88"/>
  <c r="R328" i="88"/>
  <c r="N326" i="88"/>
  <c r="R326" i="88" s="1"/>
  <c r="S324" i="88"/>
  <c r="R316" i="88"/>
  <c r="S316" i="88" s="1"/>
  <c r="T316" i="88" s="1"/>
  <c r="U316" i="88" s="1"/>
  <c r="V316" i="88" s="1"/>
  <c r="X316" i="88" s="1"/>
  <c r="Y316" i="88" s="1"/>
  <c r="Z316" i="88" s="1"/>
  <c r="AA316" i="88" s="1"/>
  <c r="AB316" i="88" s="1"/>
  <c r="R308" i="88"/>
  <c r="S308" i="88" s="1"/>
  <c r="T308" i="88" s="1"/>
  <c r="U308" i="88" s="1"/>
  <c r="V308" i="88" s="1"/>
  <c r="X308" i="88" s="1"/>
  <c r="Y308" i="88" s="1"/>
  <c r="Z308" i="88" s="1"/>
  <c r="AA308" i="88" s="1"/>
  <c r="AB308" i="88" s="1"/>
  <c r="V305" i="88"/>
  <c r="U305" i="88"/>
  <c r="T305" i="88"/>
  <c r="S305" i="88"/>
  <c r="R305" i="88"/>
  <c r="K305" i="88"/>
  <c r="R299" i="88"/>
  <c r="S299" i="88" s="1"/>
  <c r="T299" i="88" s="1"/>
  <c r="U299" i="88" s="1"/>
  <c r="V299" i="88" s="1"/>
  <c r="X299" i="88" s="1"/>
  <c r="Y299" i="88" s="1"/>
  <c r="Z299" i="88" s="1"/>
  <c r="AA299" i="88" s="1"/>
  <c r="AB299" i="88" s="1"/>
  <c r="R294" i="88"/>
  <c r="S294" i="88" s="1"/>
  <c r="T294" i="88" s="1"/>
  <c r="U294" i="88" s="1"/>
  <c r="V294" i="88" s="1"/>
  <c r="X294" i="88" s="1"/>
  <c r="Y294" i="88" s="1"/>
  <c r="Z294" i="88" s="1"/>
  <c r="AA294" i="88" s="1"/>
  <c r="AB294" i="88" s="1"/>
  <c r="K265" i="88"/>
  <c r="N265" i="88" s="1"/>
  <c r="R265" i="88" s="1"/>
  <c r="K264" i="88"/>
  <c r="N264" i="88" s="1"/>
  <c r="S264" i="88" s="1"/>
  <c r="AB282" i="88"/>
  <c r="AA282" i="88"/>
  <c r="Z282" i="88"/>
  <c r="Y282" i="88"/>
  <c r="X282" i="88"/>
  <c r="V280" i="88"/>
  <c r="U280" i="88"/>
  <c r="V279" i="88"/>
  <c r="U279" i="88"/>
  <c r="V278" i="88"/>
  <c r="U278" i="88"/>
  <c r="V277" i="88"/>
  <c r="U277" i="88"/>
  <c r="V276" i="88"/>
  <c r="U276" i="88"/>
  <c r="T276" i="88"/>
  <c r="R272" i="88"/>
  <c r="S272" i="88" s="1"/>
  <c r="T272" i="88" s="1"/>
  <c r="U272" i="88" s="1"/>
  <c r="V272" i="88" s="1"/>
  <c r="X272" i="88" s="1"/>
  <c r="Y272" i="88" s="1"/>
  <c r="Z272" i="88" s="1"/>
  <c r="AA272" i="88" s="1"/>
  <c r="AB272" i="88" s="1"/>
  <c r="AB268" i="88"/>
  <c r="AA268" i="88"/>
  <c r="Z268" i="88"/>
  <c r="Y268" i="88"/>
  <c r="X268" i="88"/>
  <c r="V268" i="88"/>
  <c r="U268" i="88"/>
  <c r="T263" i="88"/>
  <c r="N261" i="88"/>
  <c r="N260" i="88"/>
  <c r="R260" i="88" s="1"/>
  <c r="R252" i="88"/>
  <c r="S252" i="88" s="1"/>
  <c r="T252" i="88" s="1"/>
  <c r="U252" i="88" s="1"/>
  <c r="V252" i="88" s="1"/>
  <c r="X252" i="88" s="1"/>
  <c r="Y252" i="88" s="1"/>
  <c r="Z252" i="88" s="1"/>
  <c r="AA252" i="88" s="1"/>
  <c r="AB252" i="88" s="1"/>
  <c r="R244" i="88"/>
  <c r="S244" i="88" s="1"/>
  <c r="T244" i="88" s="1"/>
  <c r="U244" i="88" s="1"/>
  <c r="V244" i="88" s="1"/>
  <c r="X244" i="88" s="1"/>
  <c r="Y244" i="88" s="1"/>
  <c r="Z244" i="88" s="1"/>
  <c r="AA244" i="88" s="1"/>
  <c r="AB244" i="88" s="1"/>
  <c r="V241" i="88"/>
  <c r="U241" i="88"/>
  <c r="T241" i="88"/>
  <c r="S241" i="88"/>
  <c r="R241" i="88"/>
  <c r="K241" i="88"/>
  <c r="R235" i="88"/>
  <c r="S235" i="88" s="1"/>
  <c r="T235" i="88" s="1"/>
  <c r="U235" i="88" s="1"/>
  <c r="V235" i="88" s="1"/>
  <c r="X235" i="88" s="1"/>
  <c r="Y235" i="88" s="1"/>
  <c r="Z235" i="88" s="1"/>
  <c r="AA235" i="88" s="1"/>
  <c r="AB235" i="88" s="1"/>
  <c r="R230" i="88"/>
  <c r="S230" i="88" s="1"/>
  <c r="T230" i="88" s="1"/>
  <c r="U230" i="88" s="1"/>
  <c r="V230" i="88" s="1"/>
  <c r="X230" i="88" s="1"/>
  <c r="Y230" i="88" s="1"/>
  <c r="Z230" i="88" s="1"/>
  <c r="AA230" i="88" s="1"/>
  <c r="AB230" i="88" s="1"/>
  <c r="K199" i="88"/>
  <c r="N199" i="88" s="1"/>
  <c r="N196" i="88"/>
  <c r="R196" i="88" s="1"/>
  <c r="N195" i="88"/>
  <c r="S195" i="88" s="1"/>
  <c r="AB217" i="88"/>
  <c r="AA217" i="88"/>
  <c r="Z217" i="88"/>
  <c r="Y217" i="88"/>
  <c r="V215" i="88"/>
  <c r="U215" i="88"/>
  <c r="V214" i="88"/>
  <c r="U214" i="88"/>
  <c r="V213" i="88"/>
  <c r="U213" i="88"/>
  <c r="V212" i="88"/>
  <c r="U212" i="88"/>
  <c r="V211" i="88"/>
  <c r="U211" i="88"/>
  <c r="T211" i="88"/>
  <c r="R207" i="88"/>
  <c r="S207" i="88" s="1"/>
  <c r="T207" i="88" s="1"/>
  <c r="U207" i="88" s="1"/>
  <c r="V207" i="88" s="1"/>
  <c r="X207" i="88" s="1"/>
  <c r="Y207" i="88" s="1"/>
  <c r="Z207" i="88" s="1"/>
  <c r="AA207" i="88" s="1"/>
  <c r="AB207" i="88" s="1"/>
  <c r="AB203" i="88"/>
  <c r="AA203" i="88"/>
  <c r="Z203" i="88"/>
  <c r="Y203" i="88"/>
  <c r="X203" i="88"/>
  <c r="V203" i="88"/>
  <c r="U203" i="88"/>
  <c r="K200" i="88"/>
  <c r="N200" i="88" s="1"/>
  <c r="R200" i="88" s="1"/>
  <c r="T198" i="88"/>
  <c r="R187" i="88"/>
  <c r="S187" i="88" s="1"/>
  <c r="T187" i="88" s="1"/>
  <c r="U187" i="88" s="1"/>
  <c r="V187" i="88" s="1"/>
  <c r="X187" i="88" s="1"/>
  <c r="Y187" i="88" s="1"/>
  <c r="Z187" i="88" s="1"/>
  <c r="AA187" i="88" s="1"/>
  <c r="AB187" i="88" s="1"/>
  <c r="R179" i="88"/>
  <c r="S179" i="88" s="1"/>
  <c r="T179" i="88" s="1"/>
  <c r="U179" i="88" s="1"/>
  <c r="V179" i="88" s="1"/>
  <c r="X179" i="88" s="1"/>
  <c r="Y179" i="88" s="1"/>
  <c r="Z179" i="88" s="1"/>
  <c r="AA179" i="88" s="1"/>
  <c r="AB179" i="88" s="1"/>
  <c r="V176" i="88"/>
  <c r="U176" i="88"/>
  <c r="T176" i="88"/>
  <c r="S176" i="88"/>
  <c r="R176" i="88"/>
  <c r="K176" i="88"/>
  <c r="R170" i="88"/>
  <c r="S170" i="88" s="1"/>
  <c r="T170" i="88" s="1"/>
  <c r="U170" i="88" s="1"/>
  <c r="V170" i="88" s="1"/>
  <c r="X170" i="88" s="1"/>
  <c r="Y170" i="88" s="1"/>
  <c r="Z170" i="88" s="1"/>
  <c r="AA170" i="88" s="1"/>
  <c r="AB170" i="88" s="1"/>
  <c r="R165" i="88"/>
  <c r="S165" i="88" s="1"/>
  <c r="T165" i="88" s="1"/>
  <c r="U165" i="88" s="1"/>
  <c r="V165" i="88" s="1"/>
  <c r="X165" i="88" s="1"/>
  <c r="Y165" i="88" s="1"/>
  <c r="Z165" i="88" s="1"/>
  <c r="AA165" i="88" s="1"/>
  <c r="AB165" i="88" s="1"/>
  <c r="T681" i="88"/>
  <c r="U681" i="88"/>
  <c r="V681" i="88"/>
  <c r="AB686" i="88"/>
  <c r="AA686" i="88"/>
  <c r="Z686" i="88"/>
  <c r="Y686" i="88"/>
  <c r="X686" i="88"/>
  <c r="V684" i="88"/>
  <c r="U684" i="88"/>
  <c r="V683" i="88"/>
  <c r="U683" i="88"/>
  <c r="V682" i="88"/>
  <c r="U682" i="88"/>
  <c r="R676" i="88"/>
  <c r="S676" i="88" s="1"/>
  <c r="T676" i="88" s="1"/>
  <c r="U676" i="88" s="1"/>
  <c r="V676" i="88" s="1"/>
  <c r="X676" i="88" s="1"/>
  <c r="Y676" i="88" s="1"/>
  <c r="Z676" i="88" s="1"/>
  <c r="AA676" i="88" s="1"/>
  <c r="AB676" i="88" s="1"/>
  <c r="AB672" i="88"/>
  <c r="AA672" i="88"/>
  <c r="Z672" i="88"/>
  <c r="Y672" i="88"/>
  <c r="X672" i="88"/>
  <c r="V672" i="88"/>
  <c r="U672" i="88"/>
  <c r="N669" i="88"/>
  <c r="S669" i="88" s="1"/>
  <c r="N668" i="88"/>
  <c r="N665" i="88"/>
  <c r="R665" i="88" s="1"/>
  <c r="S680" i="88"/>
  <c r="R651" i="88"/>
  <c r="S651" i="88" s="1"/>
  <c r="T651" i="88" s="1"/>
  <c r="U651" i="88" s="1"/>
  <c r="V651" i="88" s="1"/>
  <c r="X651" i="88" s="1"/>
  <c r="Y651" i="88" s="1"/>
  <c r="Z651" i="88" s="1"/>
  <c r="AA651" i="88" s="1"/>
  <c r="AB651" i="88" s="1"/>
  <c r="R643" i="88"/>
  <c r="S643" i="88" s="1"/>
  <c r="T643" i="88" s="1"/>
  <c r="U643" i="88" s="1"/>
  <c r="V643" i="88" s="1"/>
  <c r="X643" i="88" s="1"/>
  <c r="Y643" i="88" s="1"/>
  <c r="Z643" i="88" s="1"/>
  <c r="AA643" i="88" s="1"/>
  <c r="AB643" i="88" s="1"/>
  <c r="V640" i="88"/>
  <c r="U640" i="88"/>
  <c r="T640" i="88"/>
  <c r="S640" i="88"/>
  <c r="R640" i="88"/>
  <c r="K640" i="88"/>
  <c r="R634" i="88"/>
  <c r="S634" i="88" s="1"/>
  <c r="T634" i="88" s="1"/>
  <c r="U634" i="88" s="1"/>
  <c r="V634" i="88" s="1"/>
  <c r="X634" i="88" s="1"/>
  <c r="Y634" i="88" s="1"/>
  <c r="Z634" i="88" s="1"/>
  <c r="AA634" i="88" s="1"/>
  <c r="AB634" i="88" s="1"/>
  <c r="R629" i="88"/>
  <c r="S629" i="88" s="1"/>
  <c r="T629" i="88" s="1"/>
  <c r="U629" i="88" s="1"/>
  <c r="V629" i="88" s="1"/>
  <c r="X629" i="88" s="1"/>
  <c r="Y629" i="88" s="1"/>
  <c r="Z629" i="88" s="1"/>
  <c r="AA629" i="88" s="1"/>
  <c r="AB629" i="88" s="1"/>
  <c r="U742" i="88"/>
  <c r="V742" i="88"/>
  <c r="U741" i="88"/>
  <c r="V741" i="88"/>
  <c r="N728" i="88"/>
  <c r="R728" i="88" s="1"/>
  <c r="N727" i="88"/>
  <c r="N725" i="88"/>
  <c r="T725" i="88" s="1"/>
  <c r="N724" i="88"/>
  <c r="S724" i="88" s="1"/>
  <c r="AB745" i="88"/>
  <c r="AA745" i="88"/>
  <c r="Z745" i="88"/>
  <c r="Y745" i="88"/>
  <c r="V743" i="88"/>
  <c r="U743" i="88"/>
  <c r="R736" i="88"/>
  <c r="S736" i="88" s="1"/>
  <c r="T736" i="88" s="1"/>
  <c r="U736" i="88" s="1"/>
  <c r="V736" i="88" s="1"/>
  <c r="X736" i="88" s="1"/>
  <c r="Y736" i="88" s="1"/>
  <c r="Z736" i="88" s="1"/>
  <c r="AA736" i="88" s="1"/>
  <c r="AB736" i="88" s="1"/>
  <c r="AB731" i="88"/>
  <c r="AA731" i="88"/>
  <c r="Z731" i="88"/>
  <c r="Y731" i="88"/>
  <c r="X731" i="88"/>
  <c r="V731" i="88"/>
  <c r="R716" i="88"/>
  <c r="S716" i="88" s="1"/>
  <c r="T716" i="88" s="1"/>
  <c r="U716" i="88" s="1"/>
  <c r="V716" i="88" s="1"/>
  <c r="X716" i="88" s="1"/>
  <c r="Y716" i="88" s="1"/>
  <c r="Z716" i="88" s="1"/>
  <c r="AA716" i="88" s="1"/>
  <c r="AB716" i="88" s="1"/>
  <c r="R708" i="88"/>
  <c r="S708" i="88" s="1"/>
  <c r="T708" i="88" s="1"/>
  <c r="U708" i="88" s="1"/>
  <c r="V708" i="88" s="1"/>
  <c r="X708" i="88" s="1"/>
  <c r="Y708" i="88" s="1"/>
  <c r="Z708" i="88" s="1"/>
  <c r="AA708" i="88" s="1"/>
  <c r="AB708" i="88" s="1"/>
  <c r="V705" i="88"/>
  <c r="U705" i="88"/>
  <c r="T705" i="88"/>
  <c r="S705" i="88"/>
  <c r="R705" i="88"/>
  <c r="K705" i="88"/>
  <c r="R699" i="88"/>
  <c r="S699" i="88" s="1"/>
  <c r="T699" i="88" s="1"/>
  <c r="U699" i="88" s="1"/>
  <c r="V699" i="88" s="1"/>
  <c r="X699" i="88" s="1"/>
  <c r="Y699" i="88" s="1"/>
  <c r="Z699" i="88" s="1"/>
  <c r="AA699" i="88" s="1"/>
  <c r="AB699" i="88" s="1"/>
  <c r="R694" i="88"/>
  <c r="S694" i="88" s="1"/>
  <c r="T694" i="88" s="1"/>
  <c r="U694" i="88" s="1"/>
  <c r="V694" i="88" s="1"/>
  <c r="X694" i="88" s="1"/>
  <c r="Y694" i="88" s="1"/>
  <c r="Z694" i="88" s="1"/>
  <c r="AA694" i="88" s="1"/>
  <c r="AB694" i="88" s="1"/>
  <c r="AB157" i="88"/>
  <c r="AA157" i="88"/>
  <c r="Z157" i="88"/>
  <c r="Y157" i="88"/>
  <c r="X157" i="88"/>
  <c r="T740" i="88" l="1"/>
  <c r="T150" i="88"/>
  <c r="S740" i="88"/>
  <c r="N670" i="88"/>
  <c r="N672" i="88" s="1"/>
  <c r="F24" i="88" s="1"/>
  <c r="N201" i="88"/>
  <c r="N203" i="88" s="1"/>
  <c r="F10" i="88" s="1"/>
  <c r="N397" i="88"/>
  <c r="N399" i="88" s="1"/>
  <c r="F16" i="88" s="1"/>
  <c r="N532" i="88"/>
  <c r="N534" i="88" s="1"/>
  <c r="F20" i="88" s="1"/>
  <c r="N599" i="88"/>
  <c r="N601" i="88" s="1"/>
  <c r="F22" i="88" s="1"/>
  <c r="N74" i="88"/>
  <c r="N76" i="88" s="1"/>
  <c r="F7" i="88" s="1"/>
  <c r="N729" i="88"/>
  <c r="N731" i="88" s="1"/>
  <c r="F25" i="88" s="1"/>
  <c r="N266" i="88"/>
  <c r="N268" i="88" s="1"/>
  <c r="F12" i="88" s="1"/>
  <c r="N332" i="88"/>
  <c r="N334" i="88" s="1"/>
  <c r="F14" i="88" s="1"/>
  <c r="N464" i="88"/>
  <c r="N466" i="88" s="1"/>
  <c r="F18" i="88" s="1"/>
  <c r="N140" i="88"/>
  <c r="S140" i="88" s="1"/>
  <c r="R680" i="88"/>
  <c r="R542" i="88"/>
  <c r="R474" i="88"/>
  <c r="R407" i="88"/>
  <c r="R595" i="88"/>
  <c r="R612" i="88" s="1"/>
  <c r="R529" i="88"/>
  <c r="N477" i="88"/>
  <c r="T668" i="88"/>
  <c r="T727" i="88"/>
  <c r="R276" i="88"/>
  <c r="R119" i="88"/>
  <c r="V119" i="88"/>
  <c r="T53" i="88"/>
  <c r="T82" i="88" s="1"/>
  <c r="S137" i="88"/>
  <c r="S69" i="88"/>
  <c r="N53" i="88"/>
  <c r="U53" i="88"/>
  <c r="U82" i="88" s="1"/>
  <c r="R69" i="88"/>
  <c r="S119" i="88"/>
  <c r="S150" i="88"/>
  <c r="T70" i="88"/>
  <c r="T86" i="88" s="1"/>
  <c r="R70" i="88"/>
  <c r="T138" i="88"/>
  <c r="T153" i="88" s="1"/>
  <c r="R138" i="88"/>
  <c r="S138" i="88"/>
  <c r="N154" i="88"/>
  <c r="R139" i="88"/>
  <c r="R154" i="88" s="1"/>
  <c r="N153" i="88"/>
  <c r="N150" i="88"/>
  <c r="R53" i="88"/>
  <c r="R82" i="88" s="1"/>
  <c r="V53" i="88"/>
  <c r="V82" i="88" s="1"/>
  <c r="N84" i="88"/>
  <c r="N85" i="88"/>
  <c r="R71" i="88"/>
  <c r="T119" i="88"/>
  <c r="S53" i="88"/>
  <c r="S82" i="88" s="1"/>
  <c r="R58" i="88"/>
  <c r="S85" i="88"/>
  <c r="N119" i="88"/>
  <c r="U119" i="88"/>
  <c r="R137" i="88"/>
  <c r="R136" i="88"/>
  <c r="S136" i="88"/>
  <c r="T136" i="88"/>
  <c r="N152" i="88"/>
  <c r="N151" i="88"/>
  <c r="S135" i="88"/>
  <c r="T139" i="88"/>
  <c r="T154" i="88" s="1"/>
  <c r="T135" i="88"/>
  <c r="R135" i="88"/>
  <c r="S139" i="88"/>
  <c r="S154" i="88" s="1"/>
  <c r="R73" i="88"/>
  <c r="R88" i="88" s="1"/>
  <c r="T73" i="88"/>
  <c r="T88" i="88" s="1"/>
  <c r="N88" i="88"/>
  <c r="S73" i="88"/>
  <c r="S88" i="88" s="1"/>
  <c r="N86" i="88"/>
  <c r="R63" i="88"/>
  <c r="S70" i="88"/>
  <c r="S71" i="88"/>
  <c r="S87" i="88" s="1"/>
  <c r="R72" i="88"/>
  <c r="N87" i="88"/>
  <c r="T72" i="88"/>
  <c r="N612" i="88"/>
  <c r="N615" i="88"/>
  <c r="S593" i="88"/>
  <c r="S611" i="88" s="1"/>
  <c r="N611" i="88"/>
  <c r="N610" i="88"/>
  <c r="R475" i="88"/>
  <c r="T598" i="88"/>
  <c r="S598" i="88"/>
  <c r="T546" i="88"/>
  <c r="R596" i="88"/>
  <c r="R613" i="88" s="1"/>
  <c r="S596" i="88"/>
  <c r="S613" i="88" s="1"/>
  <c r="T596" i="88"/>
  <c r="T613" i="88" s="1"/>
  <c r="T595" i="88"/>
  <c r="T612" i="88" s="1"/>
  <c r="S595" i="88"/>
  <c r="S612" i="88" s="1"/>
  <c r="R582" i="88"/>
  <c r="R607" i="88" s="1"/>
  <c r="V582" i="88"/>
  <c r="V607" i="88" s="1"/>
  <c r="N609" i="88"/>
  <c r="N545" i="88"/>
  <c r="N582" i="88"/>
  <c r="U582" i="88"/>
  <c r="U607" i="88" s="1"/>
  <c r="N543" i="88"/>
  <c r="S582" i="88"/>
  <c r="S607" i="88" s="1"/>
  <c r="R609" i="88"/>
  <c r="R592" i="88"/>
  <c r="R610" i="88" s="1"/>
  <c r="R593" i="88"/>
  <c r="R611" i="88" s="1"/>
  <c r="R515" i="88"/>
  <c r="V515" i="88"/>
  <c r="R526" i="88"/>
  <c r="R543" i="88" s="1"/>
  <c r="N544" i="88"/>
  <c r="N546" i="88"/>
  <c r="T582" i="88"/>
  <c r="T607" i="88" s="1"/>
  <c r="S592" i="88"/>
  <c r="S610" i="88" s="1"/>
  <c r="T593" i="88"/>
  <c r="T611" i="88" s="1"/>
  <c r="S609" i="88"/>
  <c r="S343" i="88"/>
  <c r="S475" i="88"/>
  <c r="T527" i="88"/>
  <c r="T544" i="88" s="1"/>
  <c r="T526" i="88"/>
  <c r="S527" i="88"/>
  <c r="S260" i="88"/>
  <c r="R331" i="88"/>
  <c r="R345" i="88" s="1"/>
  <c r="N448" i="88"/>
  <c r="U448" i="88"/>
  <c r="U472" i="88" s="1"/>
  <c r="N515" i="88"/>
  <c r="U515" i="88"/>
  <c r="R263" i="88"/>
  <c r="N345" i="88"/>
  <c r="R408" i="88"/>
  <c r="N410" i="88"/>
  <c r="T448" i="88"/>
  <c r="T472" i="88" s="1"/>
  <c r="N478" i="88"/>
  <c r="S463" i="88"/>
  <c r="S477" i="88" s="1"/>
  <c r="R463" i="88"/>
  <c r="R477" i="88" s="1"/>
  <c r="N381" i="88"/>
  <c r="U381" i="88"/>
  <c r="U405" i="88" s="1"/>
  <c r="S448" i="88"/>
  <c r="S472" i="88" s="1"/>
  <c r="N474" i="88"/>
  <c r="S462" i="88"/>
  <c r="S476" i="88" s="1"/>
  <c r="T515" i="88"/>
  <c r="S529" i="88"/>
  <c r="T462" i="88"/>
  <c r="T476" i="88" s="1"/>
  <c r="N542" i="88"/>
  <c r="T408" i="88"/>
  <c r="R448" i="88"/>
  <c r="R472" i="88" s="1"/>
  <c r="V448" i="88"/>
  <c r="V472" i="88" s="1"/>
  <c r="R462" i="88"/>
  <c r="R476" i="88" s="1"/>
  <c r="S515" i="88"/>
  <c r="R530" i="88"/>
  <c r="S530" i="88"/>
  <c r="T530" i="88"/>
  <c r="S531" i="88"/>
  <c r="S546" i="88" s="1"/>
  <c r="T529" i="88"/>
  <c r="R531" i="88"/>
  <c r="R546" i="88" s="1"/>
  <c r="S542" i="88"/>
  <c r="N476" i="88"/>
  <c r="S460" i="88"/>
  <c r="R460" i="88"/>
  <c r="T460" i="88"/>
  <c r="S474" i="88"/>
  <c r="T475" i="88"/>
  <c r="T463" i="88"/>
  <c r="T477" i="88" s="1"/>
  <c r="T250" i="88"/>
  <c r="T274" i="88" s="1"/>
  <c r="S331" i="88"/>
  <c r="S345" i="88" s="1"/>
  <c r="N250" i="88"/>
  <c r="U250" i="88"/>
  <c r="U274" i="88" s="1"/>
  <c r="T314" i="88"/>
  <c r="T381" i="88"/>
  <c r="T405" i="88" s="1"/>
  <c r="N314" i="88"/>
  <c r="U314" i="88"/>
  <c r="S395" i="88"/>
  <c r="S409" i="88" s="1"/>
  <c r="N344" i="88"/>
  <c r="T195" i="88"/>
  <c r="T260" i="88"/>
  <c r="S263" i="88"/>
  <c r="S278" i="88" s="1"/>
  <c r="T261" i="88"/>
  <c r="N277" i="88"/>
  <c r="R261" i="88"/>
  <c r="R277" i="88" s="1"/>
  <c r="S261" i="88"/>
  <c r="R250" i="88"/>
  <c r="R274" i="88" s="1"/>
  <c r="V250" i="88"/>
  <c r="V274" i="88" s="1"/>
  <c r="R264" i="88"/>
  <c r="R314" i="88"/>
  <c r="V314" i="88"/>
  <c r="R381" i="88"/>
  <c r="R405" i="88" s="1"/>
  <c r="V381" i="88"/>
  <c r="V405" i="88" s="1"/>
  <c r="S408" i="88"/>
  <c r="S250" i="88"/>
  <c r="S274" i="88" s="1"/>
  <c r="R279" i="88"/>
  <c r="S314" i="88"/>
  <c r="S381" i="88"/>
  <c r="S405" i="88" s="1"/>
  <c r="R396" i="88"/>
  <c r="R410" i="88" s="1"/>
  <c r="S396" i="88"/>
  <c r="S410" i="88" s="1"/>
  <c r="T396" i="88"/>
  <c r="T410" i="88" s="1"/>
  <c r="T395" i="88"/>
  <c r="T409" i="88" s="1"/>
  <c r="S393" i="88"/>
  <c r="R393" i="88"/>
  <c r="N409" i="88"/>
  <c r="T393" i="88"/>
  <c r="S407" i="88"/>
  <c r="N407" i="88"/>
  <c r="R409" i="88"/>
  <c r="T331" i="88"/>
  <c r="T345" i="88" s="1"/>
  <c r="R324" i="88"/>
  <c r="R325" i="88"/>
  <c r="T325" i="88"/>
  <c r="S342" i="88"/>
  <c r="T329" i="88"/>
  <c r="R329" i="88"/>
  <c r="R344" i="88" s="1"/>
  <c r="S329" i="88"/>
  <c r="T326" i="88"/>
  <c r="T328" i="88"/>
  <c r="T324" i="88"/>
  <c r="S326" i="88"/>
  <c r="S328" i="88"/>
  <c r="N342" i="88"/>
  <c r="S276" i="88"/>
  <c r="N279" i="88"/>
  <c r="T265" i="88"/>
  <c r="T279" i="88" s="1"/>
  <c r="T264" i="88"/>
  <c r="T278" i="88" s="1"/>
  <c r="S265" i="88"/>
  <c r="S279" i="88" s="1"/>
  <c r="N276" i="88"/>
  <c r="N278" i="88"/>
  <c r="X217" i="88"/>
  <c r="T185" i="88"/>
  <c r="T209" i="88" s="1"/>
  <c r="R214" i="88"/>
  <c r="S185" i="88"/>
  <c r="S209" i="88" s="1"/>
  <c r="R195" i="88"/>
  <c r="R212" i="88" s="1"/>
  <c r="S200" i="88"/>
  <c r="S214" i="88" s="1"/>
  <c r="T196" i="88"/>
  <c r="S196" i="88"/>
  <c r="S212" i="88" s="1"/>
  <c r="R185" i="88"/>
  <c r="R209" i="88" s="1"/>
  <c r="V185" i="88"/>
  <c r="V209" i="88" s="1"/>
  <c r="N214" i="88"/>
  <c r="N185" i="88"/>
  <c r="U185" i="88"/>
  <c r="U209" i="88" s="1"/>
  <c r="S211" i="88"/>
  <c r="S199" i="88"/>
  <c r="T199" i="88"/>
  <c r="T213" i="88" s="1"/>
  <c r="R199" i="88"/>
  <c r="S198" i="88"/>
  <c r="N213" i="88"/>
  <c r="N211" i="88"/>
  <c r="N212" i="88"/>
  <c r="R198" i="88"/>
  <c r="T200" i="88"/>
  <c r="T214" i="88" s="1"/>
  <c r="S681" i="88"/>
  <c r="N649" i="88"/>
  <c r="U649" i="88"/>
  <c r="U678" i="88" s="1"/>
  <c r="R649" i="88"/>
  <c r="R678" i="88" s="1"/>
  <c r="V649" i="88"/>
  <c r="V678" i="88" s="1"/>
  <c r="N681" i="88"/>
  <c r="S649" i="88"/>
  <c r="S678" i="88" s="1"/>
  <c r="S665" i="88"/>
  <c r="R668" i="88"/>
  <c r="R669" i="88"/>
  <c r="T649" i="88"/>
  <c r="T678" i="88" s="1"/>
  <c r="T665" i="88"/>
  <c r="S668" i="88"/>
  <c r="S683" i="88" s="1"/>
  <c r="T666" i="88"/>
  <c r="N682" i="88"/>
  <c r="S666" i="88"/>
  <c r="R666" i="88"/>
  <c r="R682" i="88" s="1"/>
  <c r="T669" i="88"/>
  <c r="N680" i="88"/>
  <c r="N683" i="88"/>
  <c r="S714" i="88"/>
  <c r="S738" i="88" s="1"/>
  <c r="N740" i="88"/>
  <c r="N741" i="88"/>
  <c r="N742" i="88"/>
  <c r="S727" i="88"/>
  <c r="R724" i="88"/>
  <c r="R727" i="88"/>
  <c r="R742" i="88" s="1"/>
  <c r="T714" i="88"/>
  <c r="T738" i="88" s="1"/>
  <c r="S728" i="88"/>
  <c r="T728" i="88"/>
  <c r="R725" i="88"/>
  <c r="T724" i="88"/>
  <c r="T741" i="88" s="1"/>
  <c r="S725" i="88"/>
  <c r="S741" i="88" s="1"/>
  <c r="N714" i="88"/>
  <c r="U714" i="88"/>
  <c r="U738" i="88" s="1"/>
  <c r="R714" i="88"/>
  <c r="R738" i="88" s="1"/>
  <c r="V714" i="88"/>
  <c r="V738" i="88" s="1"/>
  <c r="N738" i="88" l="1"/>
  <c r="G25" i="88"/>
  <c r="N678" i="88"/>
  <c r="G24" i="88"/>
  <c r="N209" i="88"/>
  <c r="G10" i="88"/>
  <c r="N607" i="88"/>
  <c r="G22" i="88"/>
  <c r="N148" i="88"/>
  <c r="G8" i="88"/>
  <c r="N340" i="88"/>
  <c r="G14" i="88"/>
  <c r="N274" i="88"/>
  <c r="G12" i="88"/>
  <c r="N540" i="88"/>
  <c r="G20" i="88"/>
  <c r="N405" i="88"/>
  <c r="G16" i="88"/>
  <c r="N472" i="88"/>
  <c r="G18" i="88"/>
  <c r="N82" i="88"/>
  <c r="G7" i="88"/>
  <c r="T84" i="88"/>
  <c r="V686" i="88"/>
  <c r="V148" i="88"/>
  <c r="U686" i="88"/>
  <c r="U148" i="88"/>
  <c r="T148" i="88"/>
  <c r="S148" i="88"/>
  <c r="R148" i="88"/>
  <c r="U91" i="88"/>
  <c r="V91" i="88"/>
  <c r="V745" i="88"/>
  <c r="U745" i="88"/>
  <c r="S608" i="88"/>
  <c r="T608" i="88"/>
  <c r="V608" i="88"/>
  <c r="V618" i="88" s="1"/>
  <c r="U608" i="88"/>
  <c r="U618" i="88" s="1"/>
  <c r="R608" i="88"/>
  <c r="S540" i="88"/>
  <c r="S541" i="88"/>
  <c r="T540" i="88"/>
  <c r="T541" i="88"/>
  <c r="V540" i="88"/>
  <c r="V541" i="88"/>
  <c r="U540" i="88"/>
  <c r="U541" i="88"/>
  <c r="R540" i="88"/>
  <c r="R541" i="88"/>
  <c r="S473" i="88"/>
  <c r="R406" i="88"/>
  <c r="V406" i="88"/>
  <c r="V414" i="88" s="1"/>
  <c r="T473" i="88"/>
  <c r="R473" i="88"/>
  <c r="V473" i="88"/>
  <c r="V481" i="88" s="1"/>
  <c r="U473" i="88"/>
  <c r="U481" i="88" s="1"/>
  <c r="T406" i="88"/>
  <c r="S406" i="88"/>
  <c r="U406" i="88"/>
  <c r="U414" i="88" s="1"/>
  <c r="V340" i="88"/>
  <c r="V341" i="88"/>
  <c r="S275" i="88"/>
  <c r="T340" i="88"/>
  <c r="T341" i="88"/>
  <c r="R340" i="88"/>
  <c r="R341" i="88"/>
  <c r="S340" i="88"/>
  <c r="S341" i="88"/>
  <c r="U340" i="88"/>
  <c r="U341" i="88"/>
  <c r="U275" i="88"/>
  <c r="U282" i="88" s="1"/>
  <c r="T275" i="88"/>
  <c r="R275" i="88"/>
  <c r="V275" i="88"/>
  <c r="V282" i="88" s="1"/>
  <c r="V210" i="88"/>
  <c r="V217" i="88" s="1"/>
  <c r="T210" i="88"/>
  <c r="R210" i="88"/>
  <c r="U210" i="88"/>
  <c r="U217" i="88" s="1"/>
  <c r="S210" i="88"/>
  <c r="R150" i="88"/>
  <c r="N142" i="88"/>
  <c r="F8" i="88" s="1"/>
  <c r="T742" i="88"/>
  <c r="R84" i="88"/>
  <c r="R278" i="88"/>
  <c r="R545" i="88"/>
  <c r="T683" i="88"/>
  <c r="R87" i="88"/>
  <c r="R151" i="88"/>
  <c r="S151" i="88"/>
  <c r="S153" i="88"/>
  <c r="T140" i="88"/>
  <c r="T155" i="88" s="1"/>
  <c r="R86" i="88"/>
  <c r="R152" i="88"/>
  <c r="S86" i="88"/>
  <c r="S152" i="88"/>
  <c r="N155" i="88"/>
  <c r="R153" i="88"/>
  <c r="S155" i="88"/>
  <c r="S142" i="88"/>
  <c r="R140" i="88"/>
  <c r="R155" i="88" s="1"/>
  <c r="R85" i="88"/>
  <c r="T152" i="88"/>
  <c r="S84" i="88"/>
  <c r="S74" i="88"/>
  <c r="S89" i="88" s="1"/>
  <c r="N89" i="88"/>
  <c r="R74" i="88"/>
  <c r="R89" i="88" s="1"/>
  <c r="T74" i="88"/>
  <c r="T89" i="88" s="1"/>
  <c r="T87" i="88"/>
  <c r="T543" i="88"/>
  <c r="T545" i="88"/>
  <c r="S544" i="88"/>
  <c r="S543" i="88"/>
  <c r="S545" i="88"/>
  <c r="S599" i="88"/>
  <c r="N616" i="88"/>
  <c r="T599" i="88"/>
  <c r="R599" i="88"/>
  <c r="S277" i="88"/>
  <c r="T277" i="88"/>
  <c r="N547" i="88"/>
  <c r="R532" i="88"/>
  <c r="S532" i="88"/>
  <c r="S534" i="88" s="1"/>
  <c r="T532" i="88"/>
  <c r="T464" i="88"/>
  <c r="N479" i="88"/>
  <c r="S464" i="88"/>
  <c r="R464" i="88"/>
  <c r="T343" i="88"/>
  <c r="R343" i="88"/>
  <c r="T397" i="88"/>
  <c r="T411" i="88" s="1"/>
  <c r="N412" i="88"/>
  <c r="R397" i="88"/>
  <c r="R411" i="88" s="1"/>
  <c r="S397" i="88"/>
  <c r="S411" i="88" s="1"/>
  <c r="N347" i="88"/>
  <c r="N349" i="88" s="1"/>
  <c r="H14" i="88" s="1"/>
  <c r="T332" i="88"/>
  <c r="T334" i="88" s="1"/>
  <c r="R332" i="88"/>
  <c r="S332" i="88"/>
  <c r="R342" i="88"/>
  <c r="S344" i="88"/>
  <c r="T344" i="88"/>
  <c r="S266" i="88"/>
  <c r="S280" i="88" s="1"/>
  <c r="N280" i="88"/>
  <c r="T266" i="88"/>
  <c r="T280" i="88" s="1"/>
  <c r="R266" i="88"/>
  <c r="R213" i="88"/>
  <c r="T212" i="88"/>
  <c r="S201" i="88"/>
  <c r="S215" i="88" s="1"/>
  <c r="N215" i="88"/>
  <c r="R201" i="88"/>
  <c r="R215" i="88" s="1"/>
  <c r="T201" i="88"/>
  <c r="T215" i="88" s="1"/>
  <c r="R211" i="88"/>
  <c r="S213" i="88"/>
  <c r="S742" i="88"/>
  <c r="R681" i="88"/>
  <c r="T682" i="88"/>
  <c r="S682" i="88"/>
  <c r="R683" i="88"/>
  <c r="S670" i="88"/>
  <c r="N684" i="88"/>
  <c r="T670" i="88"/>
  <c r="T684" i="88" s="1"/>
  <c r="R670" i="88"/>
  <c r="R741" i="88"/>
  <c r="T729" i="88"/>
  <c r="T731" i="88" s="1"/>
  <c r="N743" i="88"/>
  <c r="S729" i="88"/>
  <c r="S731" i="88" s="1"/>
  <c r="R729" i="88"/>
  <c r="N217" i="88" l="1"/>
  <c r="H10" i="88" s="1"/>
  <c r="V157" i="88"/>
  <c r="N549" i="88"/>
  <c r="H20" i="88" s="1"/>
  <c r="U157" i="88"/>
  <c r="N282" i="88"/>
  <c r="H12" i="88" s="1"/>
  <c r="N481" i="88"/>
  <c r="H18" i="88" s="1"/>
  <c r="N91" i="88"/>
  <c r="H7" i="88" s="1"/>
  <c r="N414" i="88"/>
  <c r="H16" i="88" s="1"/>
  <c r="N618" i="88"/>
  <c r="H22" i="88" s="1"/>
  <c r="U549" i="88"/>
  <c r="V549" i="88"/>
  <c r="V349" i="88"/>
  <c r="U349" i="88"/>
  <c r="R142" i="88"/>
  <c r="T142" i="88"/>
  <c r="S91" i="88"/>
  <c r="R91" i="88"/>
  <c r="T91" i="88"/>
  <c r="T76" i="88"/>
  <c r="R76" i="88"/>
  <c r="S76" i="88"/>
  <c r="S282" i="88"/>
  <c r="R616" i="88"/>
  <c r="R615" i="88"/>
  <c r="R601" i="88"/>
  <c r="T615" i="88"/>
  <c r="T616" i="88"/>
  <c r="S615" i="88"/>
  <c r="S616" i="88"/>
  <c r="S601" i="88"/>
  <c r="T601" i="88"/>
  <c r="T282" i="88"/>
  <c r="T547" i="88"/>
  <c r="S547" i="88"/>
  <c r="T534" i="88"/>
  <c r="R547" i="88"/>
  <c r="R534" i="88"/>
  <c r="R478" i="88"/>
  <c r="R479" i="88"/>
  <c r="R466" i="88"/>
  <c r="T479" i="88"/>
  <c r="T478" i="88"/>
  <c r="T466" i="88"/>
  <c r="S479" i="88"/>
  <c r="S478" i="88"/>
  <c r="S466" i="88"/>
  <c r="R412" i="88"/>
  <c r="S412" i="88"/>
  <c r="S399" i="88"/>
  <c r="T412" i="88"/>
  <c r="T399" i="88"/>
  <c r="R399" i="88"/>
  <c r="T347" i="88"/>
  <c r="T346" i="88"/>
  <c r="R347" i="88"/>
  <c r="R346" i="88"/>
  <c r="S347" i="88"/>
  <c r="S346" i="88"/>
  <c r="S334" i="88"/>
  <c r="R334" i="88"/>
  <c r="T268" i="88"/>
  <c r="S268" i="88"/>
  <c r="R280" i="88"/>
  <c r="R282" i="88" s="1"/>
  <c r="R268" i="88"/>
  <c r="S217" i="88"/>
  <c r="R217" i="88"/>
  <c r="N686" i="88"/>
  <c r="H24" i="88" s="1"/>
  <c r="N745" i="88"/>
  <c r="H25" i="88" s="1"/>
  <c r="R203" i="88"/>
  <c r="T203" i="88"/>
  <c r="S203" i="88"/>
  <c r="T217" i="88"/>
  <c r="N157" i="88"/>
  <c r="H8" i="88" s="1"/>
  <c r="T686" i="88"/>
  <c r="T672" i="88"/>
  <c r="S684" i="88"/>
  <c r="S672" i="88"/>
  <c r="R684" i="88"/>
  <c r="R672" i="88"/>
  <c r="R743" i="88"/>
  <c r="T743" i="88"/>
  <c r="S743" i="88"/>
  <c r="R731" i="88"/>
  <c r="R157" i="88"/>
  <c r="T157" i="88"/>
  <c r="S686" i="88" l="1"/>
  <c r="S618" i="88"/>
  <c r="R618" i="88"/>
  <c r="T618" i="88"/>
  <c r="T481" i="88"/>
  <c r="S549" i="88"/>
  <c r="T549" i="88"/>
  <c r="R549" i="88"/>
  <c r="S349" i="88"/>
  <c r="T349" i="88"/>
  <c r="R349" i="88"/>
  <c r="R481" i="88"/>
  <c r="S481" i="88"/>
  <c r="R414" i="88"/>
  <c r="T414" i="88"/>
  <c r="S414" i="88"/>
  <c r="X745" i="88"/>
  <c r="R686" i="88"/>
  <c r="S157" i="88"/>
  <c r="S745" i="88"/>
  <c r="T745" i="88"/>
  <c r="R745" i="88"/>
  <c r="U731" i="88" l="1"/>
</calcChain>
</file>

<file path=xl/sharedStrings.xml><?xml version="1.0" encoding="utf-8"?>
<sst xmlns="http://schemas.openxmlformats.org/spreadsheetml/2006/main" count="2860" uniqueCount="324">
  <si>
    <t>Mbopd</t>
  </si>
  <si>
    <t>MMscfd</t>
  </si>
  <si>
    <t>Total Wells</t>
  </si>
  <si>
    <t>Wells</t>
  </si>
  <si>
    <t>Ref</t>
  </si>
  <si>
    <t>Scenario-1</t>
  </si>
  <si>
    <t>Scenario-2</t>
  </si>
  <si>
    <t>On Stream Date</t>
  </si>
  <si>
    <t>Wells Proposal</t>
  </si>
  <si>
    <t>Project Cost ($mln)</t>
  </si>
  <si>
    <t>Cost Phasing</t>
  </si>
  <si>
    <t>($mln)</t>
  </si>
  <si>
    <t>mln per</t>
  </si>
  <si>
    <t>well</t>
  </si>
  <si>
    <t>Total Well Cost</t>
  </si>
  <si>
    <t>Facilities Proposals</t>
  </si>
  <si>
    <t>Engineering Works</t>
  </si>
  <si>
    <t>F/L Hk-Up (4" ANSI 1500 ---&gt; 3" x 5000)</t>
  </si>
  <si>
    <t>prem</t>
  </si>
  <si>
    <t>Facilities Engineering Scope</t>
  </si>
  <si>
    <t>Capex Summary: - Type / Fiscal Classifications</t>
  </si>
  <si>
    <t>Proposal</t>
  </si>
  <si>
    <t>Total Proposal Scope</t>
  </si>
  <si>
    <t>B.I.</t>
  </si>
  <si>
    <t>Totals</t>
  </si>
  <si>
    <t>guess</t>
  </si>
  <si>
    <t>Drill &amp; Complete</t>
  </si>
  <si>
    <t>Scope &amp; Phasing</t>
  </si>
  <si>
    <t>Wells Costs / Phasing</t>
  </si>
  <si>
    <t>Wells F/Ls + Hook-up</t>
  </si>
  <si>
    <t>Retain Status Quo - SPDC Opuama &amp; Gbetiokun/Bime FDPs</t>
  </si>
  <si>
    <r>
      <rPr>
        <b/>
        <sz val="8"/>
        <color theme="1"/>
        <rFont val="Futura Md"/>
        <family val="2"/>
      </rPr>
      <t>Concept</t>
    </r>
    <r>
      <rPr>
        <b/>
        <sz val="8"/>
        <color indexed="10"/>
        <rFont val="Futura Md"/>
        <family val="2"/>
      </rPr>
      <t xml:space="preserve"> A</t>
    </r>
  </si>
  <si>
    <t>Route 1st Stage Sep Outlet to D/L</t>
  </si>
  <si>
    <t>Facilities / Modifications for Early Production from Opuama</t>
  </si>
  <si>
    <t>Facilities for Full Field Dev - Opuama &amp; Gbetiokun</t>
  </si>
  <si>
    <t>Integrity Assessment &amp; Revamp</t>
  </si>
  <si>
    <t>F/S, D/L + M/F</t>
  </si>
  <si>
    <t>F/S Modification Works</t>
  </si>
  <si>
    <t>Multiphase Booster Pump</t>
  </si>
  <si>
    <t>Mod at Otumara M/F of Adagbassa to Otum T/L</t>
  </si>
  <si>
    <t>Modify at Otum M/F to Route Flow to Otum F/S</t>
  </si>
  <si>
    <t>New Multiphase Line: Opuama - Otumara F/S</t>
  </si>
  <si>
    <t>MPB Station - Opuama</t>
  </si>
  <si>
    <t>2 x 10 Mbpd MPB Pumps</t>
  </si>
  <si>
    <t>Gbetiokun F/S &amp; D/L</t>
  </si>
  <si>
    <t>8" x 36km D/L to Otumara M/F</t>
  </si>
  <si>
    <t>Concrete Barge 30 MBD F/S c/w AG Booster Compr</t>
  </si>
  <si>
    <t>Multiphase Meter at Otumara</t>
  </si>
  <si>
    <t xml:space="preserve">Gas Export Line </t>
  </si>
  <si>
    <t>Opuama Mod for Early Prod</t>
  </si>
  <si>
    <t>MPB Pump + F/S &amp; D/L Revamp &amp; Mod</t>
  </si>
  <si>
    <t>Multiphase Booster Station + Multiphase Line to Otumara</t>
  </si>
  <si>
    <t>Opua MPB Station for Full Field Development</t>
  </si>
  <si>
    <t>Gbetiokun F/S + D/L</t>
  </si>
  <si>
    <t>30 MBD F/S with AG Booster Compr + D/L to Otumara</t>
  </si>
  <si>
    <t>Gbetiokun Gas Export to Sapele</t>
  </si>
  <si>
    <t>Provision for Gas Processing</t>
  </si>
  <si>
    <t>12" x 30km Gas Export Line to Sapele</t>
  </si>
  <si>
    <t>Straight Full OML Development on stream 2015</t>
  </si>
  <si>
    <t>Contingency</t>
  </si>
  <si>
    <r>
      <rPr>
        <b/>
        <sz val="8"/>
        <color theme="1"/>
        <rFont val="Futura Md"/>
        <family val="2"/>
      </rPr>
      <t>Concept</t>
    </r>
    <r>
      <rPr>
        <b/>
        <sz val="8"/>
        <color indexed="10"/>
        <rFont val="Futura Md"/>
        <family val="2"/>
      </rPr>
      <t xml:space="preserve"> D</t>
    </r>
  </si>
  <si>
    <t>Multiphase Solutions</t>
  </si>
  <si>
    <t>Facilities Multiphase Boosting from Opuama - Otumara F/S</t>
  </si>
  <si>
    <t>MPB Station - Gbetiokun</t>
  </si>
  <si>
    <t>New Multiphase Line: Gbetiokun - Jones Creek F/S</t>
  </si>
  <si>
    <t>Gbetiokun MPB Station for Full Field Development</t>
  </si>
  <si>
    <t>unit</t>
  </si>
  <si>
    <t>Qty</t>
  </si>
  <si>
    <t>Related Oil Production Forecast</t>
  </si>
  <si>
    <t>Related AG Production Forecast</t>
  </si>
  <si>
    <t>F/L  Replacement - constr</t>
  </si>
  <si>
    <t>premise</t>
  </si>
  <si>
    <t>km</t>
  </si>
  <si>
    <t>no.</t>
  </si>
  <si>
    <t>5 Mbpd MPB Pump on existing Pump Bay</t>
  </si>
  <si>
    <t>inch-km</t>
  </si>
  <si>
    <t>unit cost ($mln)</t>
  </si>
  <si>
    <t>OML 40 Fields Development Concepts -  Building Blocks and Costs Estimate - $mln RT 2011</t>
  </si>
  <si>
    <t>Multiphase Booster Station + Multiphase Line to Jones Creek</t>
  </si>
  <si>
    <r>
      <rPr>
        <b/>
        <sz val="8"/>
        <color theme="1"/>
        <rFont val="Futura Md"/>
        <family val="2"/>
      </rPr>
      <t>Concept</t>
    </r>
    <r>
      <rPr>
        <b/>
        <sz val="8"/>
        <color indexed="10"/>
        <rFont val="Futura Md"/>
        <family val="2"/>
      </rPr>
      <t xml:space="preserve"> A1</t>
    </r>
  </si>
  <si>
    <t>Gbetiokun Greenfield Evacuated via Sapele</t>
  </si>
  <si>
    <t>8" x 30km D/L to Sapele M/F</t>
  </si>
  <si>
    <t>30 MBD F/S with AG Booster Compr + D/L to Sapele</t>
  </si>
  <si>
    <r>
      <rPr>
        <b/>
        <sz val="8"/>
        <color theme="1"/>
        <rFont val="Futura Md"/>
        <family val="2"/>
      </rPr>
      <t>Concept</t>
    </r>
    <r>
      <rPr>
        <b/>
        <sz val="8"/>
        <color indexed="10"/>
        <rFont val="Futura Md"/>
        <family val="2"/>
      </rPr>
      <t xml:space="preserve"> A2</t>
    </r>
  </si>
  <si>
    <t>8" x 26km D/L to Jones Creek M/F</t>
  </si>
  <si>
    <r>
      <rPr>
        <b/>
        <sz val="8"/>
        <color theme="1"/>
        <rFont val="Futura Md"/>
        <family val="2"/>
      </rPr>
      <t>Concept</t>
    </r>
    <r>
      <rPr>
        <b/>
        <sz val="8"/>
        <color indexed="10"/>
        <rFont val="Futura Md"/>
        <family val="2"/>
      </rPr>
      <t xml:space="preserve"> A3</t>
    </r>
  </si>
  <si>
    <t>Gas to Power</t>
  </si>
  <si>
    <t>Revamp Opuama F/S &amp; D/L</t>
  </si>
  <si>
    <t>30 MBD F/S + 8" x 2.5 km D/L</t>
  </si>
  <si>
    <t>AGG Facilitity (Compression + Gas Conditioning)</t>
  </si>
  <si>
    <t>Power Plant</t>
  </si>
  <si>
    <t>MW</t>
  </si>
  <si>
    <t>18 MW + Feeder to National Grid</t>
  </si>
  <si>
    <t>Opuama F/S Revamp + AG Facilities</t>
  </si>
  <si>
    <t>30 MBDD F/S + 8" x 2.5 km D/L + 10 MMscfd AG Facs</t>
  </si>
  <si>
    <t>Opuama Power Plant</t>
  </si>
  <si>
    <t>18 MW + Feeder to Grid</t>
  </si>
  <si>
    <t>30 MBD + AGG Fac</t>
  </si>
  <si>
    <t>30 MW</t>
  </si>
  <si>
    <t>Gbetiokun Power Plant</t>
  </si>
  <si>
    <r>
      <rPr>
        <b/>
        <sz val="8"/>
        <color theme="1"/>
        <rFont val="Futura Md"/>
        <family val="2"/>
      </rPr>
      <t>Concept</t>
    </r>
    <r>
      <rPr>
        <b/>
        <sz val="8"/>
        <color indexed="10"/>
        <rFont val="Futura Md"/>
        <family val="2"/>
      </rPr>
      <t xml:space="preserve"> B</t>
    </r>
  </si>
  <si>
    <t>12" x 33km Multiphase Line to Opuama F/S</t>
  </si>
  <si>
    <t>Gbetiokun MPB</t>
  </si>
  <si>
    <t>New Multiphase Line: Gbetiokun - Opuama F/S</t>
  </si>
  <si>
    <t>Opuama Gas Export Line to Otumara</t>
  </si>
  <si>
    <t xml:space="preserve">Gbetiokun MPB </t>
  </si>
  <si>
    <t>Opuama gas export Line</t>
  </si>
  <si>
    <r>
      <rPr>
        <b/>
        <sz val="8"/>
        <color theme="1"/>
        <rFont val="Futura Md"/>
        <family val="2"/>
      </rPr>
      <t>Concept</t>
    </r>
    <r>
      <rPr>
        <b/>
        <sz val="8"/>
        <color indexed="10"/>
        <rFont val="Futura Md"/>
        <family val="2"/>
      </rPr>
      <t xml:space="preserve"> B1</t>
    </r>
  </si>
  <si>
    <t>48 MW + Feeder to National Grid</t>
  </si>
  <si>
    <r>
      <rPr>
        <b/>
        <sz val="8"/>
        <color theme="1"/>
        <rFont val="Futura Md"/>
        <family val="2"/>
      </rPr>
      <t>Concept</t>
    </r>
    <r>
      <rPr>
        <b/>
        <sz val="8"/>
        <color indexed="10"/>
        <rFont val="Futura Md"/>
        <family val="2"/>
      </rPr>
      <t xml:space="preserve"> C</t>
    </r>
  </si>
  <si>
    <t>10" x 44km D/L to Escravos</t>
  </si>
  <si>
    <t>Facilities Multiphase Boosting from Opuama - Gbetiokun F/S</t>
  </si>
  <si>
    <t>New Multiphase Line: Opuama - Gbetiokun F/S</t>
  </si>
  <si>
    <t>Multiphase Booster Station + Multiphase Line to Gbetiokun</t>
  </si>
  <si>
    <t>Gbetiokun F/S + D/L to Escravos</t>
  </si>
  <si>
    <t>Getiokun Gas Export line</t>
  </si>
  <si>
    <r>
      <rPr>
        <b/>
        <sz val="8"/>
        <color theme="1"/>
        <rFont val="Futura Md"/>
        <family val="2"/>
      </rPr>
      <t>Concept</t>
    </r>
    <r>
      <rPr>
        <b/>
        <sz val="8"/>
        <color indexed="10"/>
        <rFont val="Futura Md"/>
        <family val="2"/>
      </rPr>
      <t xml:space="preserve"> C1</t>
    </r>
  </si>
  <si>
    <t>Gbetiokun Central Processing facility via Escravos, with Power Generation</t>
  </si>
  <si>
    <t>Opuama MPB Station</t>
  </si>
  <si>
    <t>Gbetiokun F/S + AGG Facs</t>
  </si>
  <si>
    <t>Gbet D/L</t>
  </si>
  <si>
    <t>Provision for Gas Conditioning</t>
  </si>
  <si>
    <t>10" x 36km New Multiphase Line to Otum F/S</t>
  </si>
  <si>
    <t>Scenario-1 Use the Existing D/L for Multiphase Flow to Otumara</t>
  </si>
  <si>
    <t>10" x 36km Multiphase Line to Otumara F/S</t>
  </si>
  <si>
    <t>Opuama Early Oil in 2012, followed by Full OML Development on stream 2014</t>
  </si>
  <si>
    <t>Straight Full OML Development on stream 2014</t>
  </si>
  <si>
    <t>Opuama Central Processing facility via Otumara (30 MBD Opuama F/S)</t>
  </si>
  <si>
    <t>Opua F/S + Gbetiokun MPB Station</t>
  </si>
  <si>
    <t>Opuama F/S (Central Processing facility) via Otumara, with Power Generation</t>
  </si>
  <si>
    <t>10" x 33km Multiphase Line to Otumara F/S</t>
  </si>
  <si>
    <t>Opuama MPB to Gbetiokun</t>
  </si>
  <si>
    <t>Gbetiokun Central Processing facility via Escravos</t>
  </si>
  <si>
    <t>10" x 33km Multiphase Line to Gbetiokun F/S</t>
  </si>
  <si>
    <t>Facilities for Full Field Dev - Gbetiokun</t>
  </si>
  <si>
    <t>10" x 26km Multiphase Line to Jones Creek F/S</t>
  </si>
  <si>
    <t>20 - 25 Mbpd Multiphase Pumping Station</t>
  </si>
  <si>
    <t>Multiphase Line: Opuama - Otumara F/S</t>
  </si>
  <si>
    <t>Existing Opuama - Otumara D/L to be used</t>
  </si>
  <si>
    <t>Contingency @ 10% of Total Capex</t>
  </si>
  <si>
    <t>Opua MPB Station + Gbetiokun F/S</t>
  </si>
  <si>
    <t>Scenario-1 Use the Existing Opuama D/L for Multiphase Flow to Otumara</t>
  </si>
  <si>
    <t>Opua MPB Station + Gbetiokun F/S exporting thru Otumara M/F</t>
  </si>
  <si>
    <t>Scenario-2 New Opuama Multiphase Line to Otumara</t>
  </si>
  <si>
    <t>Straight Full OML Development on stream 2014, exporting crude thru Sapele M/F</t>
  </si>
  <si>
    <t>Opua MPB Station + Gbetiokun F/S exporting thru Sapele M/F</t>
  </si>
  <si>
    <t>Gbetiokun Greenfield Evacuated via Jones Creek</t>
  </si>
  <si>
    <t>Straight Full OML Development on stream 2014, exporting crude thru Jones Creek M/F</t>
  </si>
  <si>
    <t>12" x 26km Gas Export Line to Jones Creek</t>
  </si>
  <si>
    <t>Opuama F/S + Gbetiokun F/S</t>
  </si>
  <si>
    <t>benchmark</t>
  </si>
  <si>
    <t>5 - 10 MMscfd Package</t>
  </si>
  <si>
    <t>Gbetiokun MPB Station</t>
  </si>
  <si>
    <t>25 - 30 Mbpd Multiphase Pumping Station</t>
  </si>
  <si>
    <t>10 - 15 MMscfd Package</t>
  </si>
  <si>
    <t>12" x 36km Gas Export Line to Otumara</t>
  </si>
  <si>
    <t>Opua MPB + Gbetiokun MPB Stations</t>
  </si>
  <si>
    <t>Straight Full OML Development on stream 2014, exporting crude thru Otumar M/F, and Gas to NCG at Sapele</t>
  </si>
  <si>
    <t xml:space="preserve">Opuama Early Oil in 2012, followed by Full OML Development on stream 2014, exporting crude thru Otumara M/F, and Gas to NGC at Sapele </t>
  </si>
  <si>
    <t>CHA with SPDC</t>
  </si>
  <si>
    <r>
      <t>CHA with SPDC,</t>
    </r>
    <r>
      <rPr>
        <sz val="8"/>
        <color rgb="FF0033CC"/>
        <rFont val="Futura Md"/>
        <family val="2"/>
      </rPr>
      <t xml:space="preserve"> and SEPLAT</t>
    </r>
  </si>
  <si>
    <t>Opua MPB Station + Gbetiokun F/S exporting thru Jones Creek M/F</t>
  </si>
  <si>
    <r>
      <t xml:space="preserve">CHA with SPDC and </t>
    </r>
    <r>
      <rPr>
        <sz val="8"/>
        <color rgb="FF0033CC"/>
        <rFont val="Futura Md"/>
        <family val="2"/>
      </rPr>
      <t>CNL</t>
    </r>
  </si>
  <si>
    <t>Opua MBS + Gbetiokun F/S with Crude to CNL Terminal at Escravos</t>
  </si>
  <si>
    <t xml:space="preserve">CHA with SPDC </t>
  </si>
  <si>
    <t>12" x 30km Gas Line to Sapele</t>
  </si>
  <si>
    <t>12" x 30km Gas Export Line to NGC at Sapele</t>
  </si>
  <si>
    <t>Opua MPB Station + Multiphase Line</t>
  </si>
  <si>
    <t>Multiphase Booster Station</t>
  </si>
  <si>
    <t>Facilities CAPEX</t>
  </si>
  <si>
    <t>Projected Well Cost</t>
  </si>
  <si>
    <r>
      <rPr>
        <b/>
        <sz val="10"/>
        <color theme="1"/>
        <rFont val="Futura Md"/>
        <family val="2"/>
      </rPr>
      <t>Concept</t>
    </r>
    <r>
      <rPr>
        <b/>
        <sz val="10"/>
        <color indexed="10"/>
        <rFont val="Futura Md"/>
        <family val="2"/>
      </rPr>
      <t xml:space="preserve"> A</t>
    </r>
  </si>
  <si>
    <t>Scenario-1 Use of the Existing Opuama D/L for Multiphase Flow to Otumara</t>
  </si>
  <si>
    <r>
      <rPr>
        <b/>
        <sz val="10"/>
        <color theme="1"/>
        <rFont val="Futura Md"/>
        <family val="2"/>
      </rPr>
      <t>Concept</t>
    </r>
    <r>
      <rPr>
        <b/>
        <sz val="10"/>
        <color indexed="10"/>
        <rFont val="Futura Md"/>
        <family val="2"/>
      </rPr>
      <t xml:space="preserve"> A1</t>
    </r>
  </si>
  <si>
    <t>Total CAPEX</t>
  </si>
  <si>
    <t>Scope</t>
  </si>
  <si>
    <t>Opuama Multiphase Booster Station + Gbetiokun F/S, &amp; D/L to Otumara M/F.  Opuama Multiphase Flow to Otumara Node.  Gbetiokun Processed Crude to Otumara M/F, and AG to NGC Plant at Sapele</t>
  </si>
  <si>
    <t>Opuama Multiphase Booster Station &amp; Multiphase Line to Otumara Node + Gbetiokun F/S, &amp; D/L to Otumara M/F.  Opuama Multiphase Flow to Otumara Node.  Gbetiokun Processed Crude to Otumara M/F, and AG to NGC Plant at Sapele</t>
  </si>
  <si>
    <t>Straight Full OML Development on stream 2014, exporting Opuama thru Otumara, and Gbetiokun thru Sapele</t>
  </si>
  <si>
    <t>Opuama Multiphase Booster Station &amp; Multiphase Line to Otumara Node + Gbetiokun F/S, &amp; D/L to Sapele M/F.  Opuama Multiphase Flow to Otumara Node.  Gbetiokun Processed Crude to Sapele M/F, and AG to NGC Plant at Sapele</t>
  </si>
  <si>
    <r>
      <rPr>
        <b/>
        <sz val="10"/>
        <color theme="1"/>
        <rFont val="Futura Md"/>
        <family val="2"/>
      </rPr>
      <t>Concept</t>
    </r>
    <r>
      <rPr>
        <b/>
        <sz val="10"/>
        <color indexed="10"/>
        <rFont val="Futura Md"/>
        <family val="2"/>
      </rPr>
      <t xml:space="preserve"> A2</t>
    </r>
  </si>
  <si>
    <t>Straight Full OML Development on stream 2014, exporting Opuama thru Otumara, and Gbetiokun thru Jones Creek</t>
  </si>
  <si>
    <t>Opuama Multiphase Booster Station &amp; Multiphase Line to Otumara Node + Gbetiokun F/S, &amp; D/L to Jones Creek M/F.  Opuama Multiphase Flow to Otumara Node.  Gbetiokun Processed Crude to Jones Creek M/F, and AG to NGC Plant at Jones Creek</t>
  </si>
  <si>
    <r>
      <rPr>
        <b/>
        <sz val="10"/>
        <color theme="1"/>
        <rFont val="Futura Md"/>
        <family val="2"/>
      </rPr>
      <t>Concept</t>
    </r>
    <r>
      <rPr>
        <b/>
        <sz val="10"/>
        <color indexed="10"/>
        <rFont val="Futura Md"/>
        <family val="2"/>
      </rPr>
      <t xml:space="preserve"> A3</t>
    </r>
  </si>
  <si>
    <t>Straight Full OML Development on stream 2014, exporting each field's Processed Crude thru Otumara M/F, and Gas to Power in-field</t>
  </si>
  <si>
    <t>Opuama F/S Extension withh AG Facility + Gbetiokun F/S, &amp; D/L to Otumara M/F.  Each Field's processed crude to Otumara M/F.  Power Generation System in each Field for in-field Gas to Power</t>
  </si>
  <si>
    <r>
      <rPr>
        <b/>
        <sz val="10"/>
        <color theme="1"/>
        <rFont val="Futura Md"/>
        <family val="2"/>
      </rPr>
      <t>Concept</t>
    </r>
    <r>
      <rPr>
        <b/>
        <sz val="10"/>
        <color indexed="10"/>
        <rFont val="Futura Md"/>
        <family val="2"/>
      </rPr>
      <t xml:space="preserve"> B</t>
    </r>
  </si>
  <si>
    <t>Straight Full OML Development on stream 2014, with a Central F/S in Opuama, and Exporting via Otumara</t>
  </si>
  <si>
    <r>
      <rPr>
        <b/>
        <sz val="10"/>
        <color theme="1"/>
        <rFont val="Futura Md"/>
        <family val="2"/>
      </rPr>
      <t>Concept</t>
    </r>
    <r>
      <rPr>
        <b/>
        <sz val="10"/>
        <color indexed="10"/>
        <rFont val="Futura Md"/>
        <family val="2"/>
      </rPr>
      <t xml:space="preserve"> C</t>
    </r>
  </si>
  <si>
    <t>Straight Full OML Development on stream 2014, with a Central F/S in Gbetiokun, Exporting Oil via Escravos &amp; AG via Sapele</t>
  </si>
  <si>
    <t>Opuama F/S Extension with AG Facility + Gbetiokun Multiphase Booster Station &amp; Muliphase Line to Opuama.  Processed crude to Otumara M/F, and AG to Otumara Gas Node</t>
  </si>
  <si>
    <r>
      <rPr>
        <b/>
        <sz val="10"/>
        <color theme="1"/>
        <rFont val="Futura Md"/>
        <family val="2"/>
      </rPr>
      <t>Concept</t>
    </r>
    <r>
      <rPr>
        <b/>
        <sz val="10"/>
        <color indexed="10"/>
        <rFont val="Futura Md"/>
        <family val="2"/>
      </rPr>
      <t xml:space="preserve"> B1</t>
    </r>
  </si>
  <si>
    <t>Straight Full OML Development on stream 2014, with a Central F/S in Opuama, and Exporting via Otumara, and Gas to Power in-field</t>
  </si>
  <si>
    <t>Opuama F/S Extension with AG Facility + Gbetiokun Multiphase Booster Station &amp; Muliphase Line to Opuama.  Processed crude to Otumara M/F, and Gas to Power in-field at Opuama</t>
  </si>
  <si>
    <r>
      <rPr>
        <b/>
        <sz val="10"/>
        <color theme="1"/>
        <rFont val="Futura Md"/>
        <family val="2"/>
      </rPr>
      <t>Concept</t>
    </r>
    <r>
      <rPr>
        <b/>
        <sz val="10"/>
        <color indexed="10"/>
        <rFont val="Futura Md"/>
        <family val="2"/>
      </rPr>
      <t xml:space="preserve"> C1</t>
    </r>
  </si>
  <si>
    <t>Straight Full OML Development on stream 2014, with a Central F/S in Gbetiokun, Exporting Oil via Escravos, and Gas to Power in-field</t>
  </si>
  <si>
    <t>Opuama Multiphase Booster Station &amp; Multiphase Line to Gbetiokun + Gbetiokun F/S, with Oil D/L to Escravos &amp; GasLine to Sapele.  Processed crude to Escravos, and AG to NGC Plant at Sapele</t>
  </si>
  <si>
    <t>Opuama Multiphase Booster Station &amp; Multiphase Line to Gbetiokun + Gbetiokun F/S, with Oil D/L to Escravos &amp; GasLine to Sapele.  Processed crude to Escravos, and Gas to Power in-field at Gbetiokun</t>
  </si>
  <si>
    <r>
      <rPr>
        <b/>
        <sz val="10"/>
        <color theme="1"/>
        <rFont val="Futura Md"/>
        <family val="2"/>
      </rPr>
      <t>Concept</t>
    </r>
    <r>
      <rPr>
        <b/>
        <sz val="10"/>
        <color indexed="10"/>
        <rFont val="Futura Md"/>
        <family val="2"/>
      </rPr>
      <t xml:space="preserve"> D</t>
    </r>
  </si>
  <si>
    <t>Opuama Early Oil in 2012, followed by Full OML Development on stream 2014, exporting multiphase flow thru Otumara Node &amp; Jones Creek F/S</t>
  </si>
  <si>
    <t>Straight Full OML Development on stream 2014, exporting multiphase streams thru Otumara Node &amp; Jones Creesk F/S</t>
  </si>
  <si>
    <t>Opuama Multiphase Booster Station &amp; Multiphase Line to Otumara + Gbetiokun Multiphase Booster Station &amp; Multiphase Line to Jones Creek F/S.  Opuama Muliphase to Otuma Node, Gbetiokun Multiphase to Jones Creek F/S</t>
  </si>
  <si>
    <t>Opuama Multiphase Booster Station + Gbetiokun Multiphase Booster Station &amp; Multiphase Line to Jones Creek F/S.  Opuama Muliphase to Otuma Node, Gbetiokun Multiphase to Jones Creek F/S</t>
  </si>
  <si>
    <t>Gbetiokun CPF (Gas to Power)</t>
  </si>
  <si>
    <t>Gbetiokun CPF (Oil via Escravos)</t>
  </si>
  <si>
    <t>Opuama CPF (Gas to Power)</t>
  </si>
  <si>
    <t>Opuama CPF (Oil via Otumara)</t>
  </si>
  <si>
    <t>CAPEX SUMMARIES of the Potential Concepts</t>
  </si>
  <si>
    <r>
      <t>Wells Proposal (</t>
    </r>
    <r>
      <rPr>
        <sz val="8"/>
        <color theme="5" tint="-0.249977111117893"/>
        <rFont val="Futura Md"/>
        <family val="2"/>
      </rPr>
      <t>Opuama</t>
    </r>
    <r>
      <rPr>
        <sz val="8"/>
        <rFont val="Futura Md"/>
        <family val="2"/>
      </rPr>
      <t xml:space="preserve"> &amp; </t>
    </r>
    <r>
      <rPr>
        <sz val="8"/>
        <color rgb="FF00B050"/>
        <rFont val="Futura Md"/>
        <family val="2"/>
      </rPr>
      <t>Gbetiokun/Bime</t>
    </r>
    <r>
      <rPr>
        <sz val="8"/>
        <rFont val="Futura Md"/>
        <family val="2"/>
      </rPr>
      <t>)</t>
    </r>
  </si>
  <si>
    <t>4 Opuama Re-Entry / Recompletions</t>
  </si>
  <si>
    <t>Re-Entry Opua-1, WC Opua - 3,4,5, or 7</t>
  </si>
  <si>
    <t>2 Opuama Development Wells (1 Vert, 1 Horz)</t>
  </si>
  <si>
    <t>4 Gbetiokun Development Welss</t>
  </si>
  <si>
    <t>Re-Entry / Recompletion</t>
  </si>
  <si>
    <t>Re-Entry / Initial Completion</t>
  </si>
  <si>
    <t>Well F/L &amp; Hook-up of 4 Opuama Re-Entry &amp; WC</t>
  </si>
  <si>
    <t>Well F/Ls + Hk-up of 6 New Drills &amp; 3 Gbet/Bime Re-Entry</t>
  </si>
  <si>
    <t>11 x 4" x 3km F/L ansi 1500</t>
  </si>
  <si>
    <t>Wellhead Access Platform</t>
  </si>
  <si>
    <t>Access Platform c/w Access Ladder</t>
  </si>
  <si>
    <t>F/Ls + Hk-up for Full Field Dev Prod</t>
  </si>
  <si>
    <t>Accesss Platform c/w Access Ladder</t>
  </si>
  <si>
    <t>2 Gbetiokun Re-Entry</t>
  </si>
  <si>
    <t xml:space="preserve">Re-Entry + IC Gbet - 1 &amp; 2 </t>
  </si>
  <si>
    <t>6 New Wells + 6 Re-Entries</t>
  </si>
  <si>
    <t>prem/benchmark</t>
  </si>
  <si>
    <t>25 - 30 MBP Multiphase Pumping Station</t>
  </si>
  <si>
    <t>BFPCL Fields Development Concepts -  Building Blocks and Costs Estimate - $mln RT 2022</t>
  </si>
  <si>
    <t>36" P/L from ELEP to AKAB</t>
  </si>
  <si>
    <t>36" P/L from ELEP - AKAB</t>
  </si>
  <si>
    <t>Gather All Nodes Production to Evacuation Manifold at ELEP</t>
  </si>
  <si>
    <t>BBOU + ELEP on stream 2025</t>
  </si>
  <si>
    <t>Subsequent Nodes later, starting with NUNR in 2038 till OPUG in 2050</t>
  </si>
  <si>
    <t>Related Condensate Production Forecast</t>
  </si>
  <si>
    <t>NAG Production Forecas</t>
  </si>
  <si>
    <t>Related Water Production Forecast</t>
  </si>
  <si>
    <t>Mbwpd</t>
  </si>
  <si>
    <r>
      <t>Wells Proposal (</t>
    </r>
    <r>
      <rPr>
        <sz val="8"/>
        <color theme="5" tint="-0.249977111117893"/>
        <rFont val="Futura Md"/>
        <family val="2"/>
      </rPr>
      <t>BBOU &amp; ELEP &amp; others</t>
    </r>
    <r>
      <rPr>
        <sz val="8"/>
        <rFont val="Futura Md"/>
        <family val="2"/>
      </rPr>
      <t>)</t>
    </r>
  </si>
  <si>
    <t>BBOU Wells - Drill &amp; Complete</t>
  </si>
  <si>
    <t>NUNR Wells - Drill &amp; Complete</t>
  </si>
  <si>
    <t>SEIB Wells - Drill &amp; Complete</t>
  </si>
  <si>
    <t>OPUG Wells - Drill &amp; Complete</t>
  </si>
  <si>
    <t>OKPO Wells - Drill &amp; Complete</t>
  </si>
  <si>
    <r>
      <t>Wells Costs (</t>
    </r>
    <r>
      <rPr>
        <sz val="8"/>
        <color rgb="FFC00000"/>
        <rFont val="Futura Md"/>
      </rPr>
      <t>max envisaged</t>
    </r>
    <r>
      <rPr>
        <sz val="8"/>
        <rFont val="Futura Md"/>
        <family val="2"/>
      </rPr>
      <t>) / Phasing</t>
    </r>
  </si>
  <si>
    <t>Facilities Requirements</t>
  </si>
  <si>
    <t>Well F/L &amp; Hook-up of 2 BBOU Wells</t>
  </si>
  <si>
    <t>Well F/L &amp; Hook-up of 2 ELEP Wells</t>
  </si>
  <si>
    <t>CF-SMF</t>
  </si>
  <si>
    <t>Field Satellite Manifold</t>
  </si>
  <si>
    <t>P/L ELEP</t>
  </si>
  <si>
    <t>P/L ELEP - AKAB</t>
  </si>
  <si>
    <t>P/L BBOU</t>
  </si>
  <si>
    <t>Pipelines for Full Field Gathering</t>
  </si>
  <si>
    <t>BBOU + ELEP in 2025 followed by Others</t>
  </si>
  <si>
    <t>S-MF @ BBOU</t>
  </si>
  <si>
    <t>S/N</t>
  </si>
  <si>
    <t>Disposal Options</t>
  </si>
  <si>
    <t>Key Facilities</t>
  </si>
  <si>
    <t>CAPEX</t>
  </si>
  <si>
    <t>OPEX</t>
  </si>
  <si>
    <t>Year of Operation</t>
  </si>
  <si>
    <t>Extendaties</t>
  </si>
  <si>
    <t>Offshore disposal</t>
  </si>
  <si>
    <t>Offshore pipeline (22km)</t>
  </si>
  <si>
    <t>$30m</t>
  </si>
  <si>
    <t>$1.2m</t>
  </si>
  <si>
    <t>Long-term, high-volume offshore fields.</t>
  </si>
  <si>
    <t xml:space="preserve">Water treatment plant </t>
  </si>
  <si>
    <t>$100m</t>
  </si>
  <si>
    <t>$10m</t>
  </si>
  <si>
    <t>Lowest long-term Opex; high operational uptime.</t>
  </si>
  <si>
    <t>Offshore disposal through shuttle Tanks</t>
  </si>
  <si>
    <t>Bulk tank</t>
  </si>
  <si>
    <t>$45m</t>
  </si>
  <si>
    <t>$5m</t>
  </si>
  <si>
    <t>Remote fields with no pipeline access</t>
  </si>
  <si>
    <t>Shuttle Tanker</t>
  </si>
  <si>
    <t>$15m</t>
  </si>
  <si>
    <t>$3m</t>
  </si>
  <si>
    <t>Avoids subsea construction; flexible volume handling</t>
  </si>
  <si>
    <t>Mooring system</t>
  </si>
  <si>
    <t>$70m</t>
  </si>
  <si>
    <t>$12m</t>
  </si>
  <si>
    <t>Treatment for industral use</t>
  </si>
  <si>
    <t>Water treatment plant</t>
  </si>
  <si>
    <t>$25m</t>
  </si>
  <si>
    <t>Water-scarce areas with high utility costs.</t>
  </si>
  <si>
    <t xml:space="preserve">storage tanks </t>
  </si>
  <si>
    <t>$20m</t>
  </si>
  <si>
    <t>$2m</t>
  </si>
  <si>
    <t>Exceptional ESG profile; reduces freshwater abstraction.</t>
  </si>
  <si>
    <t>reticulation system</t>
  </si>
  <si>
    <t xml:space="preserve">Brime management </t>
  </si>
  <si>
    <t>$55m</t>
  </si>
  <si>
    <t>$7m</t>
  </si>
  <si>
    <t>Transportation to BRASS facilities</t>
  </si>
  <si>
    <t>Buffer tanks</t>
  </si>
  <si>
    <t>Proximity to a major hub like Brass.</t>
  </si>
  <si>
    <t>Multiphase pumps</t>
  </si>
  <si>
    <t>Shared infrastructure costs; smaller on-site footprint.</t>
  </si>
  <si>
    <t>Pig launching station/ Pig receiving station</t>
  </si>
  <si>
    <t>$22m</t>
  </si>
  <si>
    <t>Pipeline to terminal(18km)</t>
  </si>
  <si>
    <t>$1m</t>
  </si>
  <si>
    <t>Leak Detection system</t>
  </si>
  <si>
    <t>$28m</t>
  </si>
  <si>
    <t>Transfer to third party</t>
  </si>
  <si>
    <t>Bulk storage</t>
  </si>
  <si>
    <t>Low-volume or short-term operations.</t>
  </si>
  <si>
    <t>Collection sump</t>
  </si>
  <si>
    <t>high-flow station</t>
  </si>
  <si>
    <t>Floating Hub</t>
  </si>
  <si>
    <t>Barge-based Modular Flotatio</t>
  </si>
  <si>
    <t xml:space="preserve">Discharges into deep-water; modular </t>
  </si>
  <si>
    <t>Ceramic Membranes</t>
  </si>
  <si>
    <t>$2.5m</t>
  </si>
  <si>
    <t>Subsea Polishing</t>
  </si>
  <si>
    <t>Subsea Hydrocyclones</t>
  </si>
  <si>
    <t>$35m</t>
  </si>
  <si>
    <t>$0.6m</t>
  </si>
  <si>
    <t>Invisible infrastructure; zero energy consumption.</t>
  </si>
  <si>
    <t>Passive Separator at outfall</t>
  </si>
  <si>
    <t>$0.2m</t>
  </si>
  <si>
    <t>Dr joe's Options: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</si>
</sst>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_);[Red]\(&quot;$&quot;#,##0.00\)"/>
    <numFmt numFmtId="165" formatCode="0.0"/>
    <numFmt numFmtId="166" formatCode="0.000"/>
    <numFmt numFmtId="167" formatCode="&quot;$&quot;#"/>
    <numFmt numFmtId="168" formatCode="&quot;$&quot;#,##0.0"/>
    <numFmt numFmtId="169" formatCode="#,##0.0"/>
    <numFmt numFmtId="170" formatCode="_(&quot;$&quot;* #,##0.00_);_(&quot;$&quot;* \(#,##0.00\);_(&quot;$&quot;* &quot;-&quot;??_);_(@_)"/>
  </numFmts>
  <fonts count="55">
    <font>
      <sz val="10"/>
      <name val="MS Sans Serif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Futura Md"/>
      <family val="2"/>
    </font>
    <font>
      <sz val="12"/>
      <name val="Futura Md"/>
      <family val="2"/>
    </font>
    <font>
      <sz val="14"/>
      <name val="Futura Md"/>
      <family val="2"/>
    </font>
    <font>
      <sz val="9"/>
      <name val="Futura Md"/>
      <family val="2"/>
    </font>
    <font>
      <b/>
      <sz val="12"/>
      <name val="Futura Md"/>
      <family val="2"/>
    </font>
    <font>
      <b/>
      <sz val="11"/>
      <color theme="1"/>
      <name val="Futura Md"/>
      <family val="2"/>
    </font>
    <font>
      <sz val="8"/>
      <name val="Futura Md"/>
      <family val="2"/>
    </font>
    <font>
      <sz val="7"/>
      <name val="Futura Md"/>
      <family val="2"/>
    </font>
    <font>
      <b/>
      <sz val="8"/>
      <name val="Futura Md"/>
      <family val="2"/>
    </font>
    <font>
      <b/>
      <sz val="8"/>
      <color indexed="10"/>
      <name val="Futura Md"/>
      <family val="2"/>
    </font>
    <font>
      <sz val="7"/>
      <color rgb="FF0000FF"/>
      <name val="Futura Md"/>
      <family val="2"/>
    </font>
    <font>
      <b/>
      <sz val="10"/>
      <name val="Futura Md"/>
      <family val="2"/>
    </font>
    <font>
      <sz val="6"/>
      <name val="Futura Md"/>
      <family val="2"/>
    </font>
    <font>
      <b/>
      <i/>
      <sz val="8"/>
      <name val="Futura Md"/>
      <family val="2"/>
    </font>
    <font>
      <b/>
      <i/>
      <sz val="7"/>
      <name val="Futura Md"/>
      <family val="2"/>
    </font>
    <font>
      <sz val="7"/>
      <color theme="3" tint="0.39997558519241921"/>
      <name val="Futura Md"/>
      <family val="2"/>
    </font>
    <font>
      <sz val="6"/>
      <color theme="3" tint="0.39997558519241921"/>
      <name val="Futura Md"/>
      <family val="2"/>
    </font>
    <font>
      <b/>
      <i/>
      <u/>
      <sz val="10"/>
      <name val="Futura Md"/>
      <family val="2"/>
    </font>
    <font>
      <b/>
      <i/>
      <sz val="10"/>
      <name val="Futura Md"/>
      <family val="2"/>
    </font>
    <font>
      <b/>
      <sz val="9"/>
      <color theme="1"/>
      <name val="Futura Md"/>
      <family val="2"/>
    </font>
    <font>
      <b/>
      <sz val="8"/>
      <color theme="1"/>
      <name val="Futura Md"/>
      <family val="2"/>
    </font>
    <font>
      <b/>
      <sz val="6"/>
      <name val="Futura Md"/>
      <family val="2"/>
    </font>
    <font>
      <sz val="6"/>
      <color rgb="FF0000FF"/>
      <name val="Futura Md"/>
      <family val="2"/>
    </font>
    <font>
      <sz val="7"/>
      <color theme="1"/>
      <name val="Futura Md"/>
      <family val="2"/>
    </font>
    <font>
      <sz val="7"/>
      <color rgb="FFFF0000"/>
      <name val="Futura Md"/>
      <family val="2"/>
    </font>
    <font>
      <i/>
      <sz val="8"/>
      <color rgb="FFFF0000"/>
      <name val="Futura Md"/>
      <family val="2"/>
    </font>
    <font>
      <i/>
      <sz val="8"/>
      <color rgb="FF00B050"/>
      <name val="Futura Md"/>
      <family val="2"/>
    </font>
    <font>
      <sz val="9"/>
      <color rgb="FF0000FF"/>
      <name val="Futura Md"/>
      <family val="2"/>
    </font>
    <font>
      <sz val="8"/>
      <color rgb="FF0000FF"/>
      <name val="Futura Md"/>
      <family val="2"/>
    </font>
    <font>
      <b/>
      <sz val="10"/>
      <color theme="1"/>
      <name val="Futura Md"/>
      <family val="2"/>
    </font>
    <font>
      <sz val="7"/>
      <color rgb="FF0033CC"/>
      <name val="Futura Md"/>
      <family val="2"/>
    </font>
    <font>
      <sz val="8"/>
      <color rgb="FF0033CC"/>
      <name val="Futura Md"/>
      <family val="2"/>
    </font>
    <font>
      <b/>
      <sz val="7.5"/>
      <color theme="1"/>
      <name val="Futura Md"/>
      <family val="2"/>
    </font>
    <font>
      <sz val="9"/>
      <color rgb="FF0033CC"/>
      <name val="Futura Md"/>
      <family val="2"/>
    </font>
    <font>
      <strike/>
      <sz val="7"/>
      <name val="Futura Md"/>
      <family val="2"/>
    </font>
    <font>
      <b/>
      <sz val="10"/>
      <color indexed="10"/>
      <name val="Futura Md"/>
      <family val="2"/>
    </font>
    <font>
      <sz val="14"/>
      <color theme="1"/>
      <name val="Futura Md"/>
      <family val="2"/>
    </font>
    <font>
      <sz val="10"/>
      <color theme="1"/>
      <name val="MS Sans Serif"/>
      <family val="2"/>
    </font>
    <font>
      <sz val="9"/>
      <color theme="1"/>
      <name val="Futura Md"/>
      <family val="2"/>
    </font>
    <font>
      <sz val="10"/>
      <color theme="1"/>
      <name val="Futura Md"/>
      <family val="2"/>
    </font>
    <font>
      <sz val="6"/>
      <color theme="1"/>
      <name val="Futura Md"/>
      <family val="2"/>
    </font>
    <font>
      <b/>
      <u/>
      <sz val="12"/>
      <name val="Futura Md"/>
      <family val="2"/>
    </font>
    <font>
      <sz val="8"/>
      <color theme="5" tint="-0.249977111117893"/>
      <name val="Futura Md"/>
      <family val="2"/>
    </font>
    <font>
      <sz val="8"/>
      <color rgb="FF00B050"/>
      <name val="Futura Md"/>
      <family val="2"/>
    </font>
    <font>
      <strike/>
      <sz val="8"/>
      <name val="Futura Md"/>
      <family val="2"/>
    </font>
    <font>
      <sz val="10"/>
      <color rgb="FF0033CC"/>
      <name val="Futura Md"/>
      <family val="2"/>
    </font>
    <font>
      <i/>
      <sz val="8"/>
      <color rgb="FF00B0F0"/>
      <name val="Futura Md"/>
      <family val="2"/>
    </font>
    <font>
      <sz val="8"/>
      <color rgb="FFC00000"/>
      <name val="Futura Md"/>
    </font>
    <font>
      <sz val="8"/>
      <color rgb="FFC00000"/>
      <name val="Futura Md"/>
      <family val="2"/>
    </font>
    <font>
      <sz val="11"/>
      <color rgb="FFFF0000"/>
      <name val="Calibri"/>
      <family val="2"/>
      <scheme val="minor"/>
    </font>
    <font>
      <sz val="11"/>
      <color theme="1"/>
      <name val="Futura Std Book"/>
      <family val="2"/>
    </font>
    <font>
      <sz val="12"/>
      <color theme="1"/>
      <name val="Futura Std Book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</cellStyleXfs>
  <cellXfs count="359">
    <xf numFmtId="0" fontId="0" fillId="0" borderId="0" xfId="0"/>
    <xf numFmtId="0" fontId="3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Continuous"/>
    </xf>
    <xf numFmtId="0" fontId="9" fillId="0" borderId="11" xfId="0" applyFont="1" applyBorder="1" applyAlignment="1">
      <alignment horizontal="centerContinuous"/>
    </xf>
    <xf numFmtId="0" fontId="10" fillId="0" borderId="12" xfId="0" applyFont="1" applyBorder="1" applyAlignment="1">
      <alignment horizontal="centerContinuous"/>
    </xf>
    <xf numFmtId="0" fontId="13" fillId="0" borderId="1" xfId="0" applyFont="1" applyBorder="1" applyAlignment="1">
      <alignment horizontal="justify" vertical="center"/>
    </xf>
    <xf numFmtId="0" fontId="10" fillId="0" borderId="1" xfId="0" applyFont="1" applyBorder="1" applyAlignment="1">
      <alignment horizontal="justify" vertical="center"/>
    </xf>
    <xf numFmtId="0" fontId="10" fillId="0" borderId="6" xfId="0" applyFont="1" applyBorder="1" applyAlignment="1">
      <alignment horizontal="center"/>
    </xf>
    <xf numFmtId="0" fontId="14" fillId="0" borderId="0" xfId="0" applyFont="1" applyAlignment="1">
      <alignment horizontal="centerContinuous"/>
    </xf>
    <xf numFmtId="0" fontId="10" fillId="0" borderId="1" xfId="0" applyFont="1" applyBorder="1" applyAlignment="1">
      <alignment horizontal="right"/>
    </xf>
    <xf numFmtId="0" fontId="11" fillId="0" borderId="6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7" fillId="0" borderId="2" xfId="0" applyFont="1" applyBorder="1"/>
    <xf numFmtId="2" fontId="10" fillId="0" borderId="1" xfId="0" applyNumberFormat="1" applyFont="1" applyBorder="1" applyAlignment="1">
      <alignment horizontal="center"/>
    </xf>
    <xf numFmtId="2" fontId="11" fillId="0" borderId="5" xfId="0" applyNumberFormat="1" applyFont="1" applyBorder="1" applyAlignment="1">
      <alignment horizontal="center"/>
    </xf>
    <xf numFmtId="2" fontId="11" fillId="3" borderId="1" xfId="0" applyNumberFormat="1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3" fontId="10" fillId="0" borderId="5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Continuous"/>
    </xf>
    <xf numFmtId="0" fontId="9" fillId="0" borderId="1" xfId="0" applyFont="1" applyBorder="1"/>
    <xf numFmtId="0" fontId="9" fillId="0" borderId="16" xfId="0" applyFont="1" applyBorder="1" applyAlignment="1">
      <alignment horizontal="centerContinuous"/>
    </xf>
    <xf numFmtId="0" fontId="9" fillId="0" borderId="17" xfId="0" applyFont="1" applyBorder="1"/>
    <xf numFmtId="1" fontId="9" fillId="0" borderId="1" xfId="0" applyNumberFormat="1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166" fontId="9" fillId="0" borderId="0" xfId="0" applyNumberFormat="1" applyFont="1"/>
    <xf numFmtId="166" fontId="10" fillId="0" borderId="20" xfId="0" applyNumberFormat="1" applyFont="1" applyBorder="1" applyAlignment="1">
      <alignment horizontal="center"/>
    </xf>
    <xf numFmtId="1" fontId="10" fillId="3" borderId="21" xfId="0" applyNumberFormat="1" applyFont="1" applyFill="1" applyBorder="1" applyAlignment="1">
      <alignment horizontal="center"/>
    </xf>
    <xf numFmtId="1" fontId="10" fillId="3" borderId="22" xfId="0" applyNumberFormat="1" applyFont="1" applyFill="1" applyBorder="1" applyAlignment="1">
      <alignment horizontal="center"/>
    </xf>
    <xf numFmtId="1" fontId="10" fillId="3" borderId="23" xfId="0" applyNumberFormat="1" applyFont="1" applyFill="1" applyBorder="1" applyAlignment="1">
      <alignment horizontal="center"/>
    </xf>
    <xf numFmtId="166" fontId="10" fillId="0" borderId="21" xfId="0" applyNumberFormat="1" applyFont="1" applyBorder="1" applyAlignment="1">
      <alignment horizontal="center"/>
    </xf>
    <xf numFmtId="166" fontId="10" fillId="0" borderId="22" xfId="0" applyNumberFormat="1" applyFont="1" applyBorder="1" applyAlignment="1">
      <alignment horizontal="center"/>
    </xf>
    <xf numFmtId="166" fontId="10" fillId="0" borderId="23" xfId="0" applyNumberFormat="1" applyFont="1" applyBorder="1" applyAlignment="1">
      <alignment horizontal="center"/>
    </xf>
    <xf numFmtId="0" fontId="15" fillId="0" borderId="24" xfId="0" applyFont="1" applyBorder="1"/>
    <xf numFmtId="0" fontId="10" fillId="0" borderId="25" xfId="0" applyFont="1" applyBorder="1"/>
    <xf numFmtId="0" fontId="15" fillId="0" borderId="25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1" fontId="9" fillId="0" borderId="28" xfId="0" applyNumberFormat="1" applyFont="1" applyBorder="1" applyAlignment="1">
      <alignment horizontal="center"/>
    </xf>
    <xf numFmtId="166" fontId="10" fillId="0" borderId="29" xfId="0" applyNumberFormat="1" applyFont="1" applyBorder="1" applyAlignment="1">
      <alignment horizontal="center"/>
    </xf>
    <xf numFmtId="1" fontId="10" fillId="3" borderId="30" xfId="0" applyNumberFormat="1" applyFont="1" applyFill="1" applyBorder="1" applyAlignment="1">
      <alignment horizontal="center"/>
    </xf>
    <xf numFmtId="1" fontId="10" fillId="3" borderId="31" xfId="0" applyNumberFormat="1" applyFont="1" applyFill="1" applyBorder="1" applyAlignment="1">
      <alignment horizontal="center"/>
    </xf>
    <xf numFmtId="1" fontId="10" fillId="3" borderId="32" xfId="0" applyNumberFormat="1" applyFont="1" applyFill="1" applyBorder="1" applyAlignment="1">
      <alignment horizontal="center"/>
    </xf>
    <xf numFmtId="166" fontId="10" fillId="0" borderId="30" xfId="0" applyNumberFormat="1" applyFont="1" applyBorder="1" applyAlignment="1">
      <alignment horizontal="center"/>
    </xf>
    <xf numFmtId="166" fontId="10" fillId="0" borderId="31" xfId="0" applyNumberFormat="1" applyFont="1" applyBorder="1" applyAlignment="1">
      <alignment horizontal="center"/>
    </xf>
    <xf numFmtId="166" fontId="10" fillId="0" borderId="32" xfId="0" applyNumberFormat="1" applyFont="1" applyBorder="1" applyAlignment="1">
      <alignment horizontal="center"/>
    </xf>
    <xf numFmtId="1" fontId="9" fillId="0" borderId="29" xfId="0" applyNumberFormat="1" applyFont="1" applyBorder="1" applyAlignment="1">
      <alignment horizontal="center"/>
    </xf>
    <xf numFmtId="166" fontId="9" fillId="3" borderId="29" xfId="0" applyNumberFormat="1" applyFont="1" applyFill="1" applyBorder="1" applyAlignment="1">
      <alignment horizontal="center"/>
    </xf>
    <xf numFmtId="165" fontId="9" fillId="0" borderId="0" xfId="0" applyNumberFormat="1" applyFont="1"/>
    <xf numFmtId="165" fontId="9" fillId="0" borderId="17" xfId="0" applyNumberFormat="1" applyFont="1" applyBorder="1"/>
    <xf numFmtId="165" fontId="10" fillId="0" borderId="1" xfId="0" applyNumberFormat="1" applyFont="1" applyBorder="1"/>
    <xf numFmtId="165" fontId="10" fillId="0" borderId="14" xfId="0" applyNumberFormat="1" applyFont="1" applyBorder="1"/>
    <xf numFmtId="165" fontId="10" fillId="0" borderId="19" xfId="1" applyNumberFormat="1" applyFont="1" applyBorder="1" applyAlignment="1">
      <alignment horizontal="right"/>
    </xf>
    <xf numFmtId="165" fontId="15" fillId="0" borderId="14" xfId="0" applyNumberFormat="1" applyFont="1" applyBorder="1" applyAlignment="1">
      <alignment horizontal="center"/>
    </xf>
    <xf numFmtId="165" fontId="10" fillId="0" borderId="15" xfId="0" applyNumberFormat="1" applyFont="1" applyBorder="1" applyAlignment="1">
      <alignment horizontal="center"/>
    </xf>
    <xf numFmtId="165" fontId="9" fillId="0" borderId="5" xfId="0" applyNumberFormat="1" applyFont="1" applyBorder="1"/>
    <xf numFmtId="165" fontId="9" fillId="0" borderId="5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" fontId="10" fillId="3" borderId="18" xfId="0" applyNumberFormat="1" applyFont="1" applyFill="1" applyBorder="1" applyAlignment="1">
      <alignment horizontal="center"/>
    </xf>
    <xf numFmtId="165" fontId="15" fillId="0" borderId="18" xfId="0" applyNumberFormat="1" applyFont="1" applyBorder="1" applyAlignment="1">
      <alignment horizontal="center"/>
    </xf>
    <xf numFmtId="165" fontId="15" fillId="0" borderId="6" xfId="0" applyNumberFormat="1" applyFont="1" applyBorder="1" applyAlignment="1">
      <alignment horizontal="center"/>
    </xf>
    <xf numFmtId="165" fontId="3" fillId="0" borderId="0" xfId="0" applyNumberFormat="1" applyFont="1"/>
    <xf numFmtId="0" fontId="9" fillId="0" borderId="33" xfId="0" applyFont="1" applyBorder="1" applyAlignment="1">
      <alignment horizontal="centerContinuous"/>
    </xf>
    <xf numFmtId="0" fontId="3" fillId="0" borderId="34" xfId="0" applyFont="1" applyBorder="1" applyAlignment="1">
      <alignment horizontal="centerContinuous"/>
    </xf>
    <xf numFmtId="0" fontId="3" fillId="0" borderId="35" xfId="0" applyFont="1" applyBorder="1" applyAlignment="1">
      <alignment horizontal="centerContinuous"/>
    </xf>
    <xf numFmtId="0" fontId="9" fillId="0" borderId="36" xfId="0" applyFont="1" applyBorder="1" applyAlignment="1">
      <alignment horizontal="centerContinuous"/>
    </xf>
    <xf numFmtId="0" fontId="9" fillId="5" borderId="36" xfId="0" applyFont="1" applyFill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0" fillId="0" borderId="37" xfId="0" applyFont="1" applyBorder="1"/>
    <xf numFmtId="0" fontId="15" fillId="0" borderId="22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1" fontId="9" fillId="0" borderId="20" xfId="0" applyNumberFormat="1" applyFont="1" applyBorder="1" applyAlignment="1">
      <alignment horizontal="center"/>
    </xf>
    <xf numFmtId="166" fontId="10" fillId="3" borderId="21" xfId="0" applyNumberFormat="1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0" fillId="3" borderId="18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Continuous"/>
    </xf>
    <xf numFmtId="0" fontId="10" fillId="0" borderId="6" xfId="0" applyFont="1" applyBorder="1" applyAlignment="1">
      <alignment horizontal="centerContinuous"/>
    </xf>
    <xf numFmtId="0" fontId="18" fillId="0" borderId="23" xfId="0" applyFont="1" applyBorder="1"/>
    <xf numFmtId="2" fontId="9" fillId="0" borderId="37" xfId="0" applyNumberFormat="1" applyFont="1" applyBorder="1" applyAlignment="1">
      <alignment horizontal="center"/>
    </xf>
    <xf numFmtId="166" fontId="10" fillId="0" borderId="37" xfId="0" applyNumberFormat="1" applyFont="1" applyBorder="1" applyAlignment="1">
      <alignment horizontal="center"/>
    </xf>
    <xf numFmtId="166" fontId="10" fillId="3" borderId="39" xfId="0" applyNumberFormat="1" applyFont="1" applyFill="1" applyBorder="1" applyAlignment="1">
      <alignment horizontal="center"/>
    </xf>
    <xf numFmtId="166" fontId="10" fillId="0" borderId="39" xfId="0" applyNumberFormat="1" applyFont="1" applyBorder="1" applyAlignment="1">
      <alignment horizontal="center"/>
    </xf>
    <xf numFmtId="166" fontId="10" fillId="0" borderId="40" xfId="0" applyNumberFormat="1" applyFont="1" applyBorder="1" applyAlignment="1">
      <alignment horizontal="center"/>
    </xf>
    <xf numFmtId="166" fontId="10" fillId="0" borderId="41" xfId="0" applyNumberFormat="1" applyFont="1" applyBorder="1" applyAlignment="1">
      <alignment horizontal="center"/>
    </xf>
    <xf numFmtId="0" fontId="19" fillId="0" borderId="26" xfId="0" applyFont="1" applyBorder="1"/>
    <xf numFmtId="0" fontId="10" fillId="0" borderId="25" xfId="0" applyFont="1" applyBorder="1" applyAlignment="1">
      <alignment horizontal="center"/>
    </xf>
    <xf numFmtId="165" fontId="10" fillId="0" borderId="27" xfId="0" applyNumberFormat="1" applyFont="1" applyBorder="1" applyAlignment="1">
      <alignment horizontal="center"/>
    </xf>
    <xf numFmtId="166" fontId="10" fillId="0" borderId="42" xfId="0" applyNumberFormat="1" applyFont="1" applyBorder="1" applyAlignment="1">
      <alignment horizontal="center"/>
    </xf>
    <xf numFmtId="166" fontId="10" fillId="0" borderId="47" xfId="0" applyNumberFormat="1" applyFont="1" applyBorder="1" applyAlignment="1">
      <alignment horizontal="center"/>
    </xf>
    <xf numFmtId="166" fontId="10" fillId="0" borderId="45" xfId="0" applyNumberFormat="1" applyFont="1" applyBorder="1" applyAlignment="1">
      <alignment horizontal="center"/>
    </xf>
    <xf numFmtId="166" fontId="10" fillId="0" borderId="46" xfId="0" applyNumberFormat="1" applyFont="1" applyBorder="1" applyAlignment="1">
      <alignment horizontal="center"/>
    </xf>
    <xf numFmtId="0" fontId="10" fillId="0" borderId="26" xfId="0" applyFont="1" applyBorder="1"/>
    <xf numFmtId="2" fontId="9" fillId="0" borderId="42" xfId="0" applyNumberFormat="1" applyFont="1" applyBorder="1" applyAlignment="1">
      <alignment horizontal="center"/>
    </xf>
    <xf numFmtId="166" fontId="15" fillId="0" borderId="43" xfId="0" applyNumberFormat="1" applyFont="1" applyBorder="1" applyAlignment="1">
      <alignment horizontal="center"/>
    </xf>
    <xf numFmtId="166" fontId="15" fillId="0" borderId="44" xfId="0" applyNumberFormat="1" applyFont="1" applyBorder="1" applyAlignment="1">
      <alignment horizontal="center"/>
    </xf>
    <xf numFmtId="166" fontId="15" fillId="0" borderId="48" xfId="0" applyNumberFormat="1" applyFont="1" applyBorder="1" applyAlignment="1">
      <alignment horizontal="center"/>
    </xf>
    <xf numFmtId="0" fontId="10" fillId="0" borderId="24" xfId="0" applyFont="1" applyBorder="1"/>
    <xf numFmtId="0" fontId="15" fillId="0" borderId="25" xfId="0" applyFont="1" applyBorder="1"/>
    <xf numFmtId="0" fontId="10" fillId="0" borderId="24" xfId="0" applyFont="1" applyBorder="1" applyAlignment="1">
      <alignment horizontal="right"/>
    </xf>
    <xf numFmtId="0" fontId="10" fillId="0" borderId="36" xfId="0" applyFont="1" applyBorder="1"/>
    <xf numFmtId="166" fontId="10" fillId="0" borderId="36" xfId="0" applyNumberFormat="1" applyFont="1" applyBorder="1" applyAlignment="1">
      <alignment horizontal="center"/>
    </xf>
    <xf numFmtId="166" fontId="15" fillId="0" borderId="52" xfId="0" applyNumberFormat="1" applyFont="1" applyBorder="1" applyAlignment="1">
      <alignment horizontal="center"/>
    </xf>
    <xf numFmtId="166" fontId="15" fillId="0" borderId="50" xfId="0" applyNumberFormat="1" applyFont="1" applyBorder="1" applyAlignment="1">
      <alignment horizontal="center"/>
    </xf>
    <xf numFmtId="166" fontId="15" fillId="0" borderId="10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Continuous"/>
    </xf>
    <xf numFmtId="0" fontId="10" fillId="0" borderId="5" xfId="0" applyFont="1" applyBorder="1" applyAlignment="1">
      <alignment horizontal="centerContinuous"/>
    </xf>
    <xf numFmtId="166" fontId="11" fillId="0" borderId="5" xfId="0" applyNumberFormat="1" applyFont="1" applyBorder="1" applyAlignment="1">
      <alignment horizontal="center"/>
    </xf>
    <xf numFmtId="0" fontId="20" fillId="0" borderId="0" xfId="0" applyFont="1"/>
    <xf numFmtId="0" fontId="10" fillId="0" borderId="23" xfId="0" applyFont="1" applyBorder="1"/>
    <xf numFmtId="166" fontId="15" fillId="0" borderId="40" xfId="0" applyNumberFormat="1" applyFont="1" applyBorder="1" applyAlignment="1">
      <alignment horizontal="center"/>
    </xf>
    <xf numFmtId="166" fontId="15" fillId="0" borderId="41" xfId="0" applyNumberFormat="1" applyFont="1" applyBorder="1" applyAlignment="1">
      <alignment horizontal="center"/>
    </xf>
    <xf numFmtId="0" fontId="10" fillId="0" borderId="51" xfId="0" applyFont="1" applyBorder="1"/>
    <xf numFmtId="2" fontId="15" fillId="0" borderId="36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Continuous"/>
    </xf>
    <xf numFmtId="0" fontId="22" fillId="0" borderId="13" xfId="0" applyFont="1" applyBorder="1" applyAlignment="1">
      <alignment horizontal="centerContinuous"/>
    </xf>
    <xf numFmtId="165" fontId="10" fillId="0" borderId="36" xfId="0" applyNumberFormat="1" applyFont="1" applyBorder="1"/>
    <xf numFmtId="0" fontId="10" fillId="0" borderId="3" xfId="0" applyFont="1" applyBorder="1"/>
    <xf numFmtId="0" fontId="10" fillId="0" borderId="16" xfId="0" applyFont="1" applyBorder="1"/>
    <xf numFmtId="0" fontId="10" fillId="0" borderId="4" xfId="0" applyFont="1" applyBorder="1"/>
    <xf numFmtId="165" fontId="10" fillId="0" borderId="50" xfId="0" applyNumberFormat="1" applyFont="1" applyBorder="1"/>
    <xf numFmtId="165" fontId="10" fillId="0" borderId="51" xfId="1" applyNumberFormat="1" applyFont="1" applyBorder="1" applyAlignment="1">
      <alignment horizontal="right"/>
    </xf>
    <xf numFmtId="0" fontId="2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9" fillId="0" borderId="55" xfId="0" applyFont="1" applyBorder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17" xfId="0" applyFont="1" applyBorder="1" applyAlignment="1">
      <alignment horizontal="centerContinuous"/>
    </xf>
    <xf numFmtId="0" fontId="10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9" fontId="10" fillId="3" borderId="1" xfId="0" applyNumberFormat="1" applyFont="1" applyFill="1" applyBorder="1" applyAlignment="1">
      <alignment horizontal="center"/>
    </xf>
    <xf numFmtId="169" fontId="10" fillId="3" borderId="6" xfId="0" applyNumberFormat="1" applyFont="1" applyFill="1" applyBorder="1" applyAlignment="1">
      <alignment horizontal="center"/>
    </xf>
    <xf numFmtId="169" fontId="10" fillId="3" borderId="5" xfId="0" applyNumberFormat="1" applyFont="1" applyFill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69" fontId="10" fillId="0" borderId="6" xfId="0" applyNumberFormat="1" applyFont="1" applyBorder="1" applyAlignment="1">
      <alignment horizontal="center"/>
    </xf>
    <xf numFmtId="167" fontId="10" fillId="0" borderId="7" xfId="1" applyNumberFormat="1" applyFont="1" applyBorder="1" applyAlignment="1">
      <alignment horizontal="right"/>
    </xf>
    <xf numFmtId="167" fontId="10" fillId="0" borderId="0" xfId="1" applyNumberFormat="1" applyFont="1" applyBorder="1" applyAlignment="1">
      <alignment horizontal="right"/>
    </xf>
    <xf numFmtId="167" fontId="10" fillId="0" borderId="9" xfId="1" applyNumberFormat="1" applyFont="1" applyBorder="1" applyAlignment="1">
      <alignment horizontal="right"/>
    </xf>
    <xf numFmtId="165" fontId="15" fillId="0" borderId="50" xfId="0" applyNumberFormat="1" applyFont="1" applyBorder="1" applyAlignment="1">
      <alignment horizontal="center"/>
    </xf>
    <xf numFmtId="165" fontId="10" fillId="0" borderId="56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66" fontId="10" fillId="5" borderId="20" xfId="0" applyNumberFormat="1" applyFont="1" applyFill="1" applyBorder="1" applyAlignment="1">
      <alignment horizontal="center"/>
    </xf>
    <xf numFmtId="166" fontId="10" fillId="5" borderId="29" xfId="0" applyNumberFormat="1" applyFont="1" applyFill="1" applyBorder="1" applyAlignment="1">
      <alignment horizontal="center"/>
    </xf>
    <xf numFmtId="0" fontId="26" fillId="0" borderId="22" xfId="0" applyFont="1" applyBorder="1"/>
    <xf numFmtId="165" fontId="27" fillId="0" borderId="27" xfId="0" applyNumberFormat="1" applyFont="1" applyBorder="1" applyAlignment="1">
      <alignment horizontal="center"/>
    </xf>
    <xf numFmtId="166" fontId="15" fillId="0" borderId="1" xfId="0" applyNumberFormat="1" applyFont="1" applyBorder="1" applyAlignment="1">
      <alignment horizontal="center"/>
    </xf>
    <xf numFmtId="166" fontId="15" fillId="0" borderId="6" xfId="0" applyNumberFormat="1" applyFont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166" fontId="10" fillId="3" borderId="36" xfId="0" applyNumberFormat="1" applyFont="1" applyFill="1" applyBorder="1" applyAlignment="1">
      <alignment horizontal="center"/>
    </xf>
    <xf numFmtId="0" fontId="12" fillId="0" borderId="1" xfId="0" applyFont="1" applyBorder="1"/>
    <xf numFmtId="0" fontId="16" fillId="0" borderId="0" xfId="0" applyFont="1"/>
    <xf numFmtId="0" fontId="17" fillId="0" borderId="0" xfId="0" applyFont="1"/>
    <xf numFmtId="2" fontId="10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3" borderId="0" xfId="0" applyNumberFormat="1" applyFont="1" applyFill="1" applyAlignment="1">
      <alignment horizontal="center"/>
    </xf>
    <xf numFmtId="169" fontId="10" fillId="3" borderId="0" xfId="0" applyNumberFormat="1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2" fontId="10" fillId="0" borderId="42" xfId="0" applyNumberFormat="1" applyFont="1" applyBorder="1" applyAlignment="1">
      <alignment horizontal="center"/>
    </xf>
    <xf numFmtId="1" fontId="10" fillId="0" borderId="42" xfId="0" applyNumberFormat="1" applyFont="1" applyBorder="1" applyAlignment="1">
      <alignment horizontal="center"/>
    </xf>
    <xf numFmtId="2" fontId="10" fillId="0" borderId="36" xfId="0" applyNumberFormat="1" applyFont="1" applyBorder="1" applyAlignment="1">
      <alignment horizontal="center"/>
    </xf>
    <xf numFmtId="2" fontId="10" fillId="5" borderId="37" xfId="0" applyNumberFormat="1" applyFont="1" applyFill="1" applyBorder="1" applyAlignment="1">
      <alignment horizontal="center"/>
    </xf>
    <xf numFmtId="2" fontId="10" fillId="5" borderId="42" xfId="0" applyNumberFormat="1" applyFont="1" applyFill="1" applyBorder="1" applyAlignment="1">
      <alignment horizontal="center"/>
    </xf>
    <xf numFmtId="2" fontId="10" fillId="5" borderId="29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center"/>
    </xf>
    <xf numFmtId="166" fontId="10" fillId="5" borderId="1" xfId="0" applyNumberFormat="1" applyFont="1" applyFill="1" applyBorder="1" applyAlignment="1">
      <alignment horizontal="center"/>
    </xf>
    <xf numFmtId="166" fontId="10" fillId="5" borderId="6" xfId="0" applyNumberFormat="1" applyFont="1" applyFill="1" applyBorder="1" applyAlignment="1">
      <alignment horizontal="center"/>
    </xf>
    <xf numFmtId="166" fontId="10" fillId="5" borderId="5" xfId="0" applyNumberFormat="1" applyFont="1" applyFill="1" applyBorder="1" applyAlignment="1">
      <alignment horizontal="center"/>
    </xf>
    <xf numFmtId="0" fontId="9" fillId="6" borderId="37" xfId="0" applyFont="1" applyFill="1" applyBorder="1"/>
    <xf numFmtId="0" fontId="10" fillId="0" borderId="57" xfId="0" applyFont="1" applyBorder="1"/>
    <xf numFmtId="0" fontId="15" fillId="0" borderId="57" xfId="0" applyFont="1" applyBorder="1"/>
    <xf numFmtId="0" fontId="15" fillId="6" borderId="20" xfId="0" applyFont="1" applyFill="1" applyBorder="1"/>
    <xf numFmtId="0" fontId="15" fillId="6" borderId="28" xfId="0" applyFont="1" applyFill="1" applyBorder="1"/>
    <xf numFmtId="0" fontId="9" fillId="2" borderId="37" xfId="0" applyFont="1" applyFill="1" applyBorder="1"/>
    <xf numFmtId="0" fontId="10" fillId="0" borderId="36" xfId="0" applyFont="1" applyBorder="1" applyAlignment="1">
      <alignment horizontal="right"/>
    </xf>
    <xf numFmtId="0" fontId="15" fillId="0" borderId="10" xfId="0" applyFont="1" applyBorder="1"/>
    <xf numFmtId="0" fontId="15" fillId="2" borderId="20" xfId="0" applyFont="1" applyFill="1" applyBorder="1"/>
    <xf numFmtId="0" fontId="16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166" fontId="11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center"/>
    </xf>
    <xf numFmtId="166" fontId="10" fillId="3" borderId="0" xfId="0" applyNumberFormat="1" applyFont="1" applyFill="1" applyAlignment="1">
      <alignment horizontal="center"/>
    </xf>
    <xf numFmtId="0" fontId="10" fillId="0" borderId="22" xfId="0" applyFont="1" applyBorder="1"/>
    <xf numFmtId="2" fontId="10" fillId="5" borderId="1" xfId="0" applyNumberFormat="1" applyFont="1" applyFill="1" applyBorder="1" applyAlignment="1">
      <alignment horizontal="center"/>
    </xf>
    <xf numFmtId="165" fontId="15" fillId="0" borderId="39" xfId="0" applyNumberFormat="1" applyFont="1" applyBorder="1" applyAlignment="1">
      <alignment horizontal="center"/>
    </xf>
    <xf numFmtId="165" fontId="10" fillId="0" borderId="42" xfId="0" applyNumberFormat="1" applyFont="1" applyBorder="1" applyAlignment="1">
      <alignment horizontal="center"/>
    </xf>
    <xf numFmtId="1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2" fontId="15" fillId="0" borderId="5" xfId="0" applyNumberFormat="1" applyFont="1" applyBorder="1" applyAlignment="1">
      <alignment horizontal="left"/>
    </xf>
    <xf numFmtId="2" fontId="15" fillId="0" borderId="0" xfId="0" applyNumberFormat="1" applyFont="1" applyAlignment="1">
      <alignment horizontal="left"/>
    </xf>
    <xf numFmtId="1" fontId="15" fillId="0" borderId="5" xfId="0" applyNumberFormat="1" applyFont="1" applyBorder="1" applyAlignment="1">
      <alignment horizontal="left"/>
    </xf>
    <xf numFmtId="165" fontId="15" fillId="0" borderId="5" xfId="0" applyNumberFormat="1" applyFont="1" applyBorder="1" applyAlignment="1">
      <alignment horizontal="left"/>
    </xf>
    <xf numFmtId="2" fontId="24" fillId="0" borderId="5" xfId="0" applyNumberFormat="1" applyFont="1" applyBorder="1" applyAlignment="1">
      <alignment horizontal="left"/>
    </xf>
    <xf numFmtId="2" fontId="24" fillId="0" borderId="0" xfId="0" applyNumberFormat="1" applyFont="1" applyAlignment="1">
      <alignment horizontal="left"/>
    </xf>
    <xf numFmtId="0" fontId="28" fillId="0" borderId="2" xfId="0" applyFont="1" applyBorder="1"/>
    <xf numFmtId="0" fontId="29" fillId="0" borderId="2" xfId="0" applyFont="1" applyBorder="1"/>
    <xf numFmtId="0" fontId="15" fillId="0" borderId="1" xfId="0" applyFont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0" fontId="15" fillId="0" borderId="21" xfId="0" applyFont="1" applyBorder="1" applyAlignment="1">
      <alignment horizontal="center"/>
    </xf>
    <xf numFmtId="166" fontId="10" fillId="0" borderId="44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2" fontId="10" fillId="0" borderId="38" xfId="0" applyNumberFormat="1" applyFont="1" applyBorder="1" applyAlignment="1">
      <alignment horizontal="center"/>
    </xf>
    <xf numFmtId="2" fontId="10" fillId="0" borderId="27" xfId="0" applyNumberFormat="1" applyFont="1" applyBorder="1" applyAlignment="1">
      <alignment horizontal="center"/>
    </xf>
    <xf numFmtId="166" fontId="15" fillId="0" borderId="58" xfId="0" applyNumberFormat="1" applyFont="1" applyBorder="1" applyAlignment="1">
      <alignment horizontal="center"/>
    </xf>
    <xf numFmtId="166" fontId="15" fillId="0" borderId="59" xfId="0" applyNumberFormat="1" applyFont="1" applyBorder="1" applyAlignment="1">
      <alignment horizontal="center"/>
    </xf>
    <xf numFmtId="166" fontId="10" fillId="3" borderId="20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Continuous"/>
    </xf>
    <xf numFmtId="0" fontId="3" fillId="0" borderId="6" xfId="0" applyFont="1" applyBorder="1" applyAlignment="1">
      <alignment horizontal="centerContinuous"/>
    </xf>
    <xf numFmtId="0" fontId="3" fillId="0" borderId="9" xfId="0" applyFont="1" applyBorder="1"/>
    <xf numFmtId="0" fontId="3" fillId="0" borderId="10" xfId="0" applyFont="1" applyBorder="1"/>
    <xf numFmtId="1" fontId="15" fillId="0" borderId="37" xfId="0" applyNumberFormat="1" applyFont="1" applyBorder="1" applyAlignment="1">
      <alignment horizontal="left"/>
    </xf>
    <xf numFmtId="1" fontId="15" fillId="0" borderId="24" xfId="0" applyNumberFormat="1" applyFont="1" applyBorder="1" applyAlignment="1">
      <alignment horizontal="left"/>
    </xf>
    <xf numFmtId="1" fontId="15" fillId="0" borderId="36" xfId="0" applyNumberFormat="1" applyFont="1" applyBorder="1" applyAlignment="1">
      <alignment horizontal="left"/>
    </xf>
    <xf numFmtId="165" fontId="10" fillId="0" borderId="37" xfId="0" applyNumberFormat="1" applyFont="1" applyBorder="1" applyAlignment="1">
      <alignment horizontal="center"/>
    </xf>
    <xf numFmtId="2" fontId="15" fillId="0" borderId="37" xfId="0" applyNumberFormat="1" applyFont="1" applyBorder="1" applyAlignment="1">
      <alignment horizontal="left"/>
    </xf>
    <xf numFmtId="2" fontId="15" fillId="0" borderId="24" xfId="0" applyNumberFormat="1" applyFont="1" applyBorder="1" applyAlignment="1">
      <alignment horizontal="left"/>
    </xf>
    <xf numFmtId="2" fontId="15" fillId="0" borderId="36" xfId="0" applyNumberFormat="1" applyFont="1" applyBorder="1" applyAlignment="1">
      <alignment horizontal="left"/>
    </xf>
    <xf numFmtId="0" fontId="10" fillId="0" borderId="38" xfId="0" applyFont="1" applyBorder="1" applyAlignment="1">
      <alignment horizontal="justify" vertical="center"/>
    </xf>
    <xf numFmtId="0" fontId="15" fillId="4" borderId="36" xfId="0" applyFont="1" applyFill="1" applyBorder="1"/>
    <xf numFmtId="2" fontId="10" fillId="4" borderId="36" xfId="0" applyNumberFormat="1" applyFont="1" applyFill="1" applyBorder="1" applyAlignment="1">
      <alignment horizontal="center"/>
    </xf>
    <xf numFmtId="166" fontId="15" fillId="0" borderId="39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0" fontId="9" fillId="0" borderId="6" xfId="0" applyFont="1" applyBorder="1"/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10" fillId="0" borderId="6" xfId="0" applyFont="1" applyBorder="1"/>
    <xf numFmtId="0" fontId="15" fillId="0" borderId="38" xfId="0" applyFont="1" applyBorder="1" applyAlignment="1">
      <alignment horizontal="justify" vertical="center"/>
    </xf>
    <xf numFmtId="0" fontId="15" fillId="0" borderId="37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9" fillId="8" borderId="37" xfId="0" applyFont="1" applyFill="1" applyBorder="1"/>
    <xf numFmtId="0" fontId="15" fillId="8" borderId="20" xfId="0" applyFont="1" applyFill="1" applyBorder="1"/>
    <xf numFmtId="0" fontId="10" fillId="8" borderId="28" xfId="0" applyFont="1" applyFill="1" applyBorder="1"/>
    <xf numFmtId="0" fontId="10" fillId="6" borderId="28" xfId="0" applyFont="1" applyFill="1" applyBorder="1"/>
    <xf numFmtId="0" fontId="10" fillId="7" borderId="28" xfId="0" applyFont="1" applyFill="1" applyBorder="1"/>
    <xf numFmtId="0" fontId="21" fillId="0" borderId="0" xfId="0" applyFont="1" applyAlignment="1">
      <alignment horizontal="centerContinuous"/>
    </xf>
    <xf numFmtId="0" fontId="9" fillId="0" borderId="1" xfId="0" applyFont="1" applyBorder="1" applyAlignment="1">
      <alignment horizontal="justify" vertical="center"/>
    </xf>
    <xf numFmtId="0" fontId="32" fillId="0" borderId="13" xfId="0" applyFont="1" applyBorder="1" applyAlignment="1">
      <alignment horizontal="centerContinuous"/>
    </xf>
    <xf numFmtId="0" fontId="10" fillId="0" borderId="45" xfId="0" applyFont="1" applyBorder="1"/>
    <xf numFmtId="0" fontId="10" fillId="6" borderId="20" xfId="0" applyFont="1" applyFill="1" applyBorder="1"/>
    <xf numFmtId="0" fontId="10" fillId="6" borderId="24" xfId="0" applyFont="1" applyFill="1" applyBorder="1"/>
    <xf numFmtId="0" fontId="10" fillId="4" borderId="36" xfId="0" applyFont="1" applyFill="1" applyBorder="1"/>
    <xf numFmtId="166" fontId="10" fillId="0" borderId="43" xfId="0" applyNumberFormat="1" applyFont="1" applyBorder="1" applyAlignment="1">
      <alignment horizontal="center"/>
    </xf>
    <xf numFmtId="166" fontId="10" fillId="0" borderId="58" xfId="0" applyNumberFormat="1" applyFont="1" applyBorder="1" applyAlignment="1">
      <alignment horizontal="center"/>
    </xf>
    <xf numFmtId="166" fontId="10" fillId="0" borderId="59" xfId="0" applyNumberFormat="1" applyFont="1" applyBorder="1" applyAlignment="1">
      <alignment horizontal="center"/>
    </xf>
    <xf numFmtId="0" fontId="23" fillId="0" borderId="13" xfId="0" applyFont="1" applyBorder="1" applyAlignment="1">
      <alignment horizontal="centerContinuous"/>
    </xf>
    <xf numFmtId="0" fontId="9" fillId="0" borderId="24" xfId="0" applyFont="1" applyBorder="1" applyAlignment="1">
      <alignment horizontal="right"/>
    </xf>
    <xf numFmtId="0" fontId="33" fillId="0" borderId="1" xfId="0" applyFont="1" applyBorder="1" applyAlignment="1">
      <alignment horizontal="justify" vertical="center"/>
    </xf>
    <xf numFmtId="0" fontId="34" fillId="0" borderId="1" xfId="0" applyFont="1" applyBorder="1" applyAlignment="1">
      <alignment horizontal="justify" vertical="center"/>
    </xf>
    <xf numFmtId="0" fontId="15" fillId="0" borderId="6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1" fontId="10" fillId="3" borderId="2" xfId="0" applyNumberFormat="1" applyFont="1" applyFill="1" applyBorder="1" applyAlignment="1">
      <alignment horizontal="center"/>
    </xf>
    <xf numFmtId="0" fontId="34" fillId="0" borderId="1" xfId="0" applyFont="1" applyBorder="1" applyAlignment="1">
      <alignment horizontal="left" vertical="center"/>
    </xf>
    <xf numFmtId="0" fontId="3" fillId="0" borderId="37" xfId="0" applyFont="1" applyBorder="1" applyAlignment="1">
      <alignment horizontal="justify" vertical="center"/>
    </xf>
    <xf numFmtId="0" fontId="31" fillId="0" borderId="1" xfId="0" applyFont="1" applyBorder="1" applyAlignment="1">
      <alignment horizontal="justify" vertical="center"/>
    </xf>
    <xf numFmtId="0" fontId="9" fillId="0" borderId="36" xfId="0" applyFont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6" fillId="0" borderId="37" xfId="0" applyFont="1" applyBorder="1" applyAlignment="1">
      <alignment horizontal="justify" vertical="center"/>
    </xf>
    <xf numFmtId="0" fontId="9" fillId="0" borderId="1" xfId="0" applyFont="1" applyBorder="1" applyAlignment="1">
      <alignment horizontal="right"/>
    </xf>
    <xf numFmtId="0" fontId="10" fillId="0" borderId="25" xfId="0" applyFont="1" applyBorder="1" applyAlignment="1">
      <alignment horizontal="left"/>
    </xf>
    <xf numFmtId="0" fontId="35" fillId="0" borderId="13" xfId="0" applyFont="1" applyBorder="1" applyAlignment="1">
      <alignment horizontal="centerContinuous"/>
    </xf>
    <xf numFmtId="0" fontId="10" fillId="2" borderId="20" xfId="0" applyFont="1" applyFill="1" applyBorder="1"/>
    <xf numFmtId="0" fontId="36" fillId="0" borderId="1" xfId="0" applyFont="1" applyBorder="1" applyAlignment="1">
      <alignment horizontal="left" vertical="center"/>
    </xf>
    <xf numFmtId="165" fontId="10" fillId="3" borderId="1" xfId="0" applyNumberFormat="1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left"/>
    </xf>
    <xf numFmtId="2" fontId="24" fillId="0" borderId="1" xfId="0" applyNumberFormat="1" applyFont="1" applyBorder="1" applyAlignment="1">
      <alignment horizontal="left"/>
    </xf>
    <xf numFmtId="0" fontId="37" fillId="0" borderId="24" xfId="0" applyFont="1" applyBorder="1" applyAlignment="1">
      <alignment horizontal="right"/>
    </xf>
    <xf numFmtId="165" fontId="5" fillId="0" borderId="1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justify" vertical="center"/>
    </xf>
    <xf numFmtId="0" fontId="3" fillId="0" borderId="4" xfId="0" applyFont="1" applyBorder="1"/>
    <xf numFmtId="0" fontId="15" fillId="0" borderId="9" xfId="0" applyFont="1" applyBorder="1" applyAlignment="1">
      <alignment horizontal="left"/>
    </xf>
    <xf numFmtId="165" fontId="5" fillId="0" borderId="36" xfId="0" applyNumberFormat="1" applyFont="1" applyBorder="1" applyAlignment="1">
      <alignment horizontal="center" vertical="center"/>
    </xf>
    <xf numFmtId="0" fontId="42" fillId="0" borderId="0" xfId="0" applyFont="1"/>
    <xf numFmtId="0" fontId="43" fillId="0" borderId="0" xfId="0" applyFont="1" applyAlignment="1">
      <alignment horizontal="left"/>
    </xf>
    <xf numFmtId="0" fontId="44" fillId="0" borderId="0" xfId="0" applyFont="1"/>
    <xf numFmtId="0" fontId="9" fillId="0" borderId="4" xfId="0" applyFont="1" applyBorder="1"/>
    <xf numFmtId="0" fontId="5" fillId="0" borderId="60" xfId="0" applyFont="1" applyBorder="1" applyAlignment="1">
      <alignment horizontal="center" vertical="center"/>
    </xf>
    <xf numFmtId="0" fontId="10" fillId="0" borderId="9" xfId="0" applyFont="1" applyBorder="1"/>
    <xf numFmtId="0" fontId="3" fillId="0" borderId="60" xfId="0" applyFont="1" applyBorder="1" applyAlignment="1">
      <alignment horizontal="justify" vertical="center"/>
    </xf>
    <xf numFmtId="0" fontId="10" fillId="0" borderId="9" xfId="0" applyFont="1" applyBorder="1" applyAlignment="1">
      <alignment horizontal="center"/>
    </xf>
    <xf numFmtId="1" fontId="9" fillId="0" borderId="37" xfId="0" applyNumberFormat="1" applyFont="1" applyBorder="1" applyAlignment="1">
      <alignment horizontal="center"/>
    </xf>
    <xf numFmtId="1" fontId="9" fillId="0" borderId="24" xfId="0" applyNumberFormat="1" applyFont="1" applyBorder="1" applyAlignment="1">
      <alignment horizontal="center"/>
    </xf>
    <xf numFmtId="1" fontId="9" fillId="0" borderId="61" xfId="0" applyNumberFormat="1" applyFont="1" applyBorder="1" applyAlignment="1">
      <alignment horizontal="center"/>
    </xf>
    <xf numFmtId="1" fontId="10" fillId="0" borderId="37" xfId="0" applyNumberFormat="1" applyFont="1" applyBorder="1" applyAlignment="1">
      <alignment horizontal="center"/>
    </xf>
    <xf numFmtId="168" fontId="9" fillId="0" borderId="23" xfId="1" applyNumberFormat="1" applyFont="1" applyBorder="1" applyAlignment="1">
      <alignment horizontal="right"/>
    </xf>
    <xf numFmtId="168" fontId="9" fillId="0" borderId="26" xfId="1" applyNumberFormat="1" applyFont="1" applyBorder="1" applyAlignment="1">
      <alignment horizontal="right"/>
    </xf>
    <xf numFmtId="0" fontId="37" fillId="6" borderId="28" xfId="0" applyFont="1" applyFill="1" applyBorder="1"/>
    <xf numFmtId="0" fontId="47" fillId="6" borderId="37" xfId="0" applyFont="1" applyFill="1" applyBorder="1"/>
    <xf numFmtId="165" fontId="4" fillId="9" borderId="36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48" fillId="0" borderId="1" xfId="0" applyFont="1" applyBorder="1" applyAlignment="1">
      <alignment horizontal="justify" vertical="center"/>
    </xf>
    <xf numFmtId="0" fontId="49" fillId="0" borderId="2" xfId="0" applyFont="1" applyBorder="1"/>
    <xf numFmtId="168" fontId="51" fillId="0" borderId="23" xfId="1" applyNumberFormat="1" applyFont="1" applyBorder="1" applyAlignment="1">
      <alignment horizontal="right"/>
    </xf>
    <xf numFmtId="168" fontId="51" fillId="0" borderId="26" xfId="1" applyNumberFormat="1" applyFont="1" applyBorder="1" applyAlignment="1">
      <alignment horizontal="right"/>
    </xf>
    <xf numFmtId="0" fontId="9" fillId="10" borderId="0" xfId="0" applyFont="1" applyFill="1"/>
    <xf numFmtId="0" fontId="8" fillId="0" borderId="2" xfId="0" applyFont="1" applyBorder="1" applyAlignment="1">
      <alignment horizontal="justify" vertical="center"/>
    </xf>
    <xf numFmtId="0" fontId="8" fillId="0" borderId="5" xfId="0" applyFont="1" applyBorder="1" applyAlignment="1">
      <alignment horizontal="justify" vertical="center"/>
    </xf>
    <xf numFmtId="0" fontId="8" fillId="0" borderId="6" xfId="0" applyFont="1" applyBorder="1" applyAlignment="1">
      <alignment horizontal="justify" vertical="center"/>
    </xf>
    <xf numFmtId="0" fontId="7" fillId="0" borderId="13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5" xfId="0" applyFont="1" applyBorder="1"/>
    <xf numFmtId="0" fontId="40" fillId="0" borderId="6" xfId="0" applyFont="1" applyBorder="1"/>
    <xf numFmtId="165" fontId="4" fillId="9" borderId="4" xfId="0" applyNumberFormat="1" applyFont="1" applyFill="1" applyBorder="1" applyAlignment="1">
      <alignment horizontal="center" vertical="center"/>
    </xf>
    <xf numFmtId="165" fontId="4" fillId="9" borderId="10" xfId="0" applyNumberFormat="1" applyFont="1" applyFill="1" applyBorder="1" applyAlignment="1">
      <alignment horizontal="center" vertical="center"/>
    </xf>
    <xf numFmtId="0" fontId="41" fillId="0" borderId="2" xfId="0" applyFont="1" applyBorder="1" applyAlignment="1">
      <alignment horizontal="justify" vertical="center"/>
    </xf>
    <xf numFmtId="0" fontId="41" fillId="0" borderId="5" xfId="0" applyFont="1" applyBorder="1" applyAlignment="1">
      <alignment horizontal="justify" vertical="center"/>
    </xf>
    <xf numFmtId="0" fontId="41" fillId="0" borderId="6" xfId="0" applyFont="1" applyBorder="1" applyAlignment="1">
      <alignment horizontal="justify" vertical="center"/>
    </xf>
    <xf numFmtId="165" fontId="4" fillId="9" borderId="2" xfId="0" applyNumberFormat="1" applyFont="1" applyFill="1" applyBorder="1" applyAlignment="1">
      <alignment horizontal="center" vertical="center"/>
    </xf>
    <xf numFmtId="165" fontId="4" fillId="9" borderId="6" xfId="0" applyNumberFormat="1" applyFont="1" applyFill="1" applyBorder="1" applyAlignment="1">
      <alignment horizontal="center" vertical="center"/>
    </xf>
    <xf numFmtId="0" fontId="42" fillId="0" borderId="2" xfId="0" applyFont="1" applyBorder="1" applyAlignment="1">
      <alignment horizontal="justify" vertical="center"/>
    </xf>
    <xf numFmtId="0" fontId="42" fillId="0" borderId="5" xfId="0" applyFont="1" applyBorder="1" applyAlignment="1">
      <alignment horizontal="justify" vertical="center"/>
    </xf>
    <xf numFmtId="0" fontId="42" fillId="0" borderId="6" xfId="0" applyFont="1" applyBorder="1" applyAlignment="1">
      <alignment horizontal="justify" vertic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0" borderId="0" xfId="2"/>
    <xf numFmtId="0" fontId="1" fillId="0" borderId="0" xfId="2" applyAlignment="1">
      <alignment wrapText="1"/>
    </xf>
    <xf numFmtId="0" fontId="53" fillId="0" borderId="62" xfId="2" applyFont="1" applyBorder="1"/>
    <xf numFmtId="0" fontId="53" fillId="0" borderId="63" xfId="2" applyFont="1" applyBorder="1" applyAlignment="1">
      <alignment wrapText="1"/>
    </xf>
    <xf numFmtId="0" fontId="53" fillId="0" borderId="63" xfId="2" applyFont="1" applyBorder="1"/>
    <xf numFmtId="0" fontId="53" fillId="0" borderId="64" xfId="2" applyFont="1" applyBorder="1"/>
    <xf numFmtId="0" fontId="53" fillId="0" borderId="65" xfId="2" applyFont="1" applyBorder="1" applyAlignment="1">
      <alignment horizontal="center" vertical="center"/>
    </xf>
    <xf numFmtId="0" fontId="53" fillId="11" borderId="1" xfId="2" applyFont="1" applyFill="1" applyBorder="1" applyAlignment="1">
      <alignment horizontal="center" vertical="center" wrapText="1"/>
    </xf>
    <xf numFmtId="0" fontId="53" fillId="0" borderId="1" xfId="2" applyFont="1" applyBorder="1" applyAlignment="1">
      <alignment wrapText="1"/>
    </xf>
    <xf numFmtId="0" fontId="53" fillId="0" borderId="1" xfId="3" applyNumberFormat="1" applyFont="1" applyBorder="1"/>
    <xf numFmtId="1" fontId="53" fillId="0" borderId="1" xfId="2" applyNumberFormat="1" applyFont="1" applyBorder="1" applyAlignment="1">
      <alignment horizontal="center" vertical="center"/>
    </xf>
    <xf numFmtId="0" fontId="54" fillId="0" borderId="66" xfId="2" applyFont="1" applyBorder="1" applyAlignment="1">
      <alignment vertical="center" wrapText="1"/>
    </xf>
    <xf numFmtId="0" fontId="53" fillId="0" borderId="66" xfId="2" applyFont="1" applyBorder="1"/>
    <xf numFmtId="0" fontId="54" fillId="0" borderId="66" xfId="2" applyFont="1" applyBorder="1"/>
    <xf numFmtId="0" fontId="1" fillId="0" borderId="67" xfId="2" applyBorder="1"/>
    <xf numFmtId="0" fontId="52" fillId="0" borderId="0" xfId="2" applyFont="1"/>
    <xf numFmtId="0" fontId="53" fillId="0" borderId="68" xfId="2" applyFont="1" applyBorder="1"/>
    <xf numFmtId="0" fontId="53" fillId="0" borderId="69" xfId="2" applyFont="1" applyBorder="1" applyAlignment="1">
      <alignment horizontal="center" vertical="center"/>
    </xf>
    <xf numFmtId="0" fontId="53" fillId="11" borderId="70" xfId="2" applyFont="1" applyFill="1" applyBorder="1" applyAlignment="1">
      <alignment horizontal="center" vertical="center" wrapText="1"/>
    </xf>
    <xf numFmtId="0" fontId="53" fillId="0" borderId="70" xfId="2" applyFont="1" applyBorder="1" applyAlignment="1">
      <alignment wrapText="1"/>
    </xf>
    <xf numFmtId="0" fontId="53" fillId="0" borderId="70" xfId="3" applyNumberFormat="1" applyFont="1" applyBorder="1"/>
    <xf numFmtId="1" fontId="53" fillId="0" borderId="70" xfId="2" applyNumberFormat="1" applyFont="1" applyBorder="1" applyAlignment="1">
      <alignment horizontal="center" vertical="center"/>
    </xf>
    <xf numFmtId="0" fontId="53" fillId="0" borderId="71" xfId="2" applyFont="1" applyBorder="1"/>
  </cellXfs>
  <cellStyles count="4">
    <cellStyle name="Currency" xfId="1" builtinId="4"/>
    <cellStyle name="Currency 2" xfId="3" xr:uid="{4857F600-52D4-491F-9AEF-72F62015B512}"/>
    <cellStyle name="Normal" xfId="0" builtinId="0"/>
    <cellStyle name="Normal 2" xfId="2" xr:uid="{BF8393D3-C856-4F89-BE82-DDCD2905BCE2}"/>
  </cellStyles>
  <dxfs count="0"/>
  <tableStyles count="0" defaultTableStyle="TableStyleMedium9" defaultPivotStyle="PivotStyleLight16"/>
  <colors>
    <mruColors>
      <color rgb="FF0000FF"/>
      <color rgb="FF0033CC"/>
      <color rgb="FFCCFFCC"/>
      <color rgb="FFFF3300"/>
      <color rgb="FFFFFF99"/>
      <color rgb="FF00FF00"/>
      <color rgb="FFFF505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7AD5-9EE0-4D5B-86C4-C3798D356D0B}">
  <dimension ref="B1:H24"/>
  <sheetViews>
    <sheetView tabSelected="1" topLeftCell="A10" zoomScaleNormal="100" workbookViewId="0">
      <selection activeCell="C20" sqref="C20"/>
    </sheetView>
  </sheetViews>
  <sheetFormatPr defaultRowHeight="14.5"/>
  <cols>
    <col min="1" max="1" width="2" style="336" customWidth="1"/>
    <col min="2" max="2" width="5.54296875" style="336" bestFit="1" customWidth="1"/>
    <col min="3" max="3" width="22.26953125" style="337" customWidth="1"/>
    <col min="4" max="4" width="43.26953125" style="337" customWidth="1"/>
    <col min="5" max="5" width="10.26953125" style="336" customWidth="1"/>
    <col min="6" max="6" width="10.54296875" style="336" customWidth="1"/>
    <col min="7" max="7" width="18.26953125" style="336" customWidth="1"/>
    <col min="8" max="8" width="54.26953125" style="336" customWidth="1"/>
    <col min="9" max="10" width="8.7265625" style="336"/>
    <col min="11" max="11" width="9.1796875" style="336" customWidth="1"/>
    <col min="12" max="16384" width="8.7265625" style="336"/>
  </cols>
  <sheetData>
    <row r="1" spans="2:8" ht="9" customHeight="1" thickBot="1"/>
    <row r="2" spans="2:8" ht="17.149999999999999" customHeight="1">
      <c r="B2" s="338" t="s">
        <v>255</v>
      </c>
      <c r="C2" s="339" t="s">
        <v>256</v>
      </c>
      <c r="D2" s="339" t="s">
        <v>257</v>
      </c>
      <c r="E2" s="340" t="s">
        <v>258</v>
      </c>
      <c r="F2" s="340" t="s">
        <v>259</v>
      </c>
      <c r="G2" s="340" t="s">
        <v>260</v>
      </c>
      <c r="H2" s="341" t="s">
        <v>261</v>
      </c>
    </row>
    <row r="3" spans="2:8" ht="17.149999999999999" customHeight="1">
      <c r="B3" s="342">
        <v>1</v>
      </c>
      <c r="C3" s="343" t="s">
        <v>262</v>
      </c>
      <c r="D3" s="344" t="s">
        <v>263</v>
      </c>
      <c r="E3" s="345" t="s">
        <v>264</v>
      </c>
      <c r="F3" s="345" t="s">
        <v>265</v>
      </c>
      <c r="G3" s="346">
        <v>20</v>
      </c>
      <c r="H3" s="347" t="s">
        <v>266</v>
      </c>
    </row>
    <row r="4" spans="2:8" ht="17.149999999999999" customHeight="1">
      <c r="B4" s="342"/>
      <c r="C4" s="343"/>
      <c r="D4" s="344" t="s">
        <v>267</v>
      </c>
      <c r="E4" s="345" t="s">
        <v>268</v>
      </c>
      <c r="F4" s="345" t="s">
        <v>269</v>
      </c>
      <c r="G4" s="346"/>
      <c r="H4" s="348" t="s">
        <v>270</v>
      </c>
    </row>
    <row r="5" spans="2:8" ht="17.149999999999999" customHeight="1">
      <c r="B5" s="342">
        <v>2</v>
      </c>
      <c r="C5" s="343" t="s">
        <v>271</v>
      </c>
      <c r="D5" s="344" t="s">
        <v>272</v>
      </c>
      <c r="E5" s="345" t="s">
        <v>273</v>
      </c>
      <c r="F5" s="345" t="s">
        <v>274</v>
      </c>
      <c r="G5" s="346">
        <v>7</v>
      </c>
      <c r="H5" s="348" t="s">
        <v>275</v>
      </c>
    </row>
    <row r="6" spans="2:8" ht="17.149999999999999" customHeight="1">
      <c r="B6" s="342"/>
      <c r="C6" s="343"/>
      <c r="D6" s="344" t="s">
        <v>276</v>
      </c>
      <c r="E6" s="345" t="s">
        <v>277</v>
      </c>
      <c r="F6" s="345" t="s">
        <v>278</v>
      </c>
      <c r="G6" s="346"/>
      <c r="H6" s="348" t="s">
        <v>279</v>
      </c>
    </row>
    <row r="7" spans="2:8" ht="17.149999999999999" customHeight="1">
      <c r="B7" s="342"/>
      <c r="C7" s="343"/>
      <c r="D7" s="344" t="s">
        <v>280</v>
      </c>
      <c r="E7" s="345" t="s">
        <v>281</v>
      </c>
      <c r="F7" s="345" t="s">
        <v>282</v>
      </c>
      <c r="G7" s="346"/>
      <c r="H7" s="348"/>
    </row>
    <row r="8" spans="2:8" ht="17.149999999999999" customHeight="1">
      <c r="B8" s="342">
        <v>3</v>
      </c>
      <c r="C8" s="343" t="s">
        <v>283</v>
      </c>
      <c r="D8" s="344" t="s">
        <v>284</v>
      </c>
      <c r="E8" s="345" t="s">
        <v>285</v>
      </c>
      <c r="F8" s="345" t="s">
        <v>274</v>
      </c>
      <c r="G8" s="346">
        <v>20</v>
      </c>
      <c r="H8" s="347" t="s">
        <v>286</v>
      </c>
    </row>
    <row r="9" spans="2:8" ht="17.149999999999999" customHeight="1">
      <c r="B9" s="342"/>
      <c r="C9" s="343"/>
      <c r="D9" s="344" t="s">
        <v>287</v>
      </c>
      <c r="E9" s="345" t="s">
        <v>288</v>
      </c>
      <c r="F9" s="345" t="s">
        <v>289</v>
      </c>
      <c r="G9" s="346"/>
      <c r="H9" s="348" t="s">
        <v>290</v>
      </c>
    </row>
    <row r="10" spans="2:8" ht="17.149999999999999" customHeight="1">
      <c r="B10" s="342"/>
      <c r="C10" s="343"/>
      <c r="D10" s="344" t="s">
        <v>291</v>
      </c>
      <c r="E10" s="345" t="s">
        <v>288</v>
      </c>
      <c r="F10" s="345" t="s">
        <v>278</v>
      </c>
      <c r="G10" s="346"/>
      <c r="H10" s="348"/>
    </row>
    <row r="11" spans="2:8" ht="17.149999999999999" customHeight="1">
      <c r="B11" s="342"/>
      <c r="C11" s="343"/>
      <c r="D11" s="344" t="s">
        <v>292</v>
      </c>
      <c r="E11" s="345" t="s">
        <v>293</v>
      </c>
      <c r="F11" s="345" t="s">
        <v>294</v>
      </c>
      <c r="G11" s="346"/>
      <c r="H11" s="348"/>
    </row>
    <row r="12" spans="2:8" ht="17.149999999999999" customHeight="1">
      <c r="B12" s="342">
        <v>4</v>
      </c>
      <c r="C12" s="343" t="s">
        <v>295</v>
      </c>
      <c r="D12" s="344" t="s">
        <v>296</v>
      </c>
      <c r="E12" s="345" t="s">
        <v>288</v>
      </c>
      <c r="F12" s="345" t="s">
        <v>274</v>
      </c>
      <c r="G12" s="346">
        <v>20</v>
      </c>
      <c r="H12" s="349" t="s">
        <v>297</v>
      </c>
    </row>
    <row r="13" spans="2:8" ht="17.149999999999999" customHeight="1">
      <c r="B13" s="342"/>
      <c r="C13" s="343"/>
      <c r="D13" s="344" t="s">
        <v>298</v>
      </c>
      <c r="E13" s="345" t="s">
        <v>282</v>
      </c>
      <c r="F13" s="345" t="s">
        <v>278</v>
      </c>
      <c r="G13" s="346"/>
      <c r="H13" s="348" t="s">
        <v>299</v>
      </c>
    </row>
    <row r="14" spans="2:8" ht="17.149999999999999" customHeight="1">
      <c r="B14" s="342"/>
      <c r="C14" s="343"/>
      <c r="D14" s="344" t="s">
        <v>300</v>
      </c>
      <c r="E14" s="345" t="s">
        <v>301</v>
      </c>
      <c r="F14" s="345" t="s">
        <v>294</v>
      </c>
      <c r="G14" s="346"/>
      <c r="H14" s="348"/>
    </row>
    <row r="15" spans="2:8" ht="17.149999999999999" customHeight="1">
      <c r="B15" s="342"/>
      <c r="C15" s="343"/>
      <c r="D15" s="344" t="s">
        <v>302</v>
      </c>
      <c r="E15" s="345" t="s">
        <v>277</v>
      </c>
      <c r="F15" s="345" t="s">
        <v>303</v>
      </c>
      <c r="G15" s="346"/>
      <c r="H15" s="348"/>
    </row>
    <row r="16" spans="2:8" ht="17.149999999999999" customHeight="1">
      <c r="B16" s="342"/>
      <c r="C16" s="343"/>
      <c r="D16" s="344" t="s">
        <v>304</v>
      </c>
      <c r="E16" s="345" t="s">
        <v>305</v>
      </c>
      <c r="F16" s="345" t="s">
        <v>289</v>
      </c>
      <c r="G16" s="346"/>
      <c r="H16" s="348"/>
    </row>
    <row r="17" spans="2:8" ht="17.149999999999999" customHeight="1">
      <c r="B17" s="342">
        <v>5</v>
      </c>
      <c r="C17" s="343" t="s">
        <v>306</v>
      </c>
      <c r="D17" s="344" t="s">
        <v>307</v>
      </c>
      <c r="E17" s="345" t="s">
        <v>277</v>
      </c>
      <c r="F17" s="345" t="s">
        <v>278</v>
      </c>
      <c r="G17" s="346">
        <v>10</v>
      </c>
      <c r="H17" s="349" t="s">
        <v>308</v>
      </c>
    </row>
    <row r="18" spans="2:8" ht="17.149999999999999" customHeight="1">
      <c r="B18" s="342"/>
      <c r="C18" s="343"/>
      <c r="D18" s="344" t="s">
        <v>309</v>
      </c>
      <c r="E18" s="345" t="s">
        <v>274</v>
      </c>
      <c r="F18" s="345" t="s">
        <v>303</v>
      </c>
      <c r="G18" s="346"/>
      <c r="H18" s="348"/>
    </row>
    <row r="19" spans="2:8" ht="17.149999999999999" customHeight="1">
      <c r="B19" s="342"/>
      <c r="C19" s="343"/>
      <c r="D19" s="344" t="s">
        <v>310</v>
      </c>
      <c r="E19" s="345" t="s">
        <v>269</v>
      </c>
      <c r="F19" s="345" t="s">
        <v>289</v>
      </c>
      <c r="G19" s="346"/>
      <c r="H19" s="348"/>
    </row>
    <row r="20" spans="2:8" ht="17.149999999999999" customHeight="1">
      <c r="B20" s="350"/>
      <c r="C20" s="351" t="s">
        <v>323</v>
      </c>
      <c r="D20" s="336"/>
      <c r="H20" s="352"/>
    </row>
    <row r="21" spans="2:8" ht="15.5">
      <c r="B21" s="342">
        <v>6</v>
      </c>
      <c r="C21" s="343" t="s">
        <v>311</v>
      </c>
      <c r="D21" s="344" t="s">
        <v>312</v>
      </c>
      <c r="E21" s="345" t="s">
        <v>277</v>
      </c>
      <c r="F21" s="345" t="s">
        <v>289</v>
      </c>
      <c r="G21" s="346">
        <v>2</v>
      </c>
      <c r="H21" s="348" t="s">
        <v>313</v>
      </c>
    </row>
    <row r="22" spans="2:8" ht="15.5">
      <c r="B22" s="342"/>
      <c r="C22" s="343"/>
      <c r="D22" s="344" t="s">
        <v>314</v>
      </c>
      <c r="E22" s="345" t="s">
        <v>285</v>
      </c>
      <c r="F22" s="345" t="s">
        <v>315</v>
      </c>
      <c r="G22" s="346"/>
      <c r="H22" s="348"/>
    </row>
    <row r="23" spans="2:8" ht="15.5">
      <c r="B23" s="342">
        <v>7</v>
      </c>
      <c r="C23" s="343" t="s">
        <v>316</v>
      </c>
      <c r="D23" s="344" t="s">
        <v>317</v>
      </c>
      <c r="E23" s="345" t="s">
        <v>318</v>
      </c>
      <c r="F23" s="345" t="s">
        <v>319</v>
      </c>
      <c r="G23" s="346">
        <v>5</v>
      </c>
      <c r="H23" s="348" t="s">
        <v>320</v>
      </c>
    </row>
    <row r="24" spans="2:8" ht="16" thickBot="1">
      <c r="B24" s="353"/>
      <c r="C24" s="354"/>
      <c r="D24" s="355" t="s">
        <v>321</v>
      </c>
      <c r="E24" s="356" t="s">
        <v>277</v>
      </c>
      <c r="F24" s="356" t="s">
        <v>322</v>
      </c>
      <c r="G24" s="357"/>
      <c r="H24" s="358"/>
    </row>
  </sheetData>
  <mergeCells count="21">
    <mergeCell ref="B23:B24"/>
    <mergeCell ref="C23:C24"/>
    <mergeCell ref="G23:G24"/>
    <mergeCell ref="B17:B19"/>
    <mergeCell ref="C17:C19"/>
    <mergeCell ref="G17:G19"/>
    <mergeCell ref="B21:B22"/>
    <mergeCell ref="C21:C22"/>
    <mergeCell ref="G21:G22"/>
    <mergeCell ref="B8:B11"/>
    <mergeCell ref="C8:C11"/>
    <mergeCell ref="G8:G11"/>
    <mergeCell ref="B12:B16"/>
    <mergeCell ref="C12:C16"/>
    <mergeCell ref="G12:G16"/>
    <mergeCell ref="B3:B4"/>
    <mergeCell ref="C3:C4"/>
    <mergeCell ref="G3:G4"/>
    <mergeCell ref="B5:B7"/>
    <mergeCell ref="C5:C7"/>
    <mergeCell ref="G5:G7"/>
  </mergeCells>
  <pageMargins left="0.7" right="0.7" top="0.75" bottom="0.75" header="0.3" footer="0.3"/>
  <pageSetup paperSize="9" fitToWidth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748"/>
  <sheetViews>
    <sheetView zoomScaleNormal="100" workbookViewId="0">
      <selection activeCell="G9" sqref="G9"/>
    </sheetView>
  </sheetViews>
  <sheetFormatPr defaultColWidth="9.1796875" defaultRowHeight="12.5"/>
  <cols>
    <col min="1" max="1" width="4.7265625" style="1" customWidth="1"/>
    <col min="2" max="3" width="12.7265625" style="3" customWidth="1"/>
    <col min="4" max="4" width="2.7265625" style="131" customWidth="1"/>
    <col min="5" max="5" width="33.7265625" style="1" customWidth="1"/>
    <col min="6" max="6" width="24.7265625" style="3" customWidth="1"/>
    <col min="7" max="7" width="9.7265625" style="4" customWidth="1"/>
    <col min="8" max="8" width="4.7265625" style="5" customWidth="1"/>
    <col min="9" max="9" width="5.7265625" style="5" customWidth="1"/>
    <col min="10" max="10" width="0.81640625" style="1" customWidth="1"/>
    <col min="11" max="11" width="4.7265625" style="1" customWidth="1"/>
    <col min="12" max="12" width="4.7265625" style="202" customWidth="1"/>
    <col min="13" max="13" width="0.81640625" style="1" customWidth="1"/>
    <col min="14" max="14" width="6.7265625" style="1" customWidth="1"/>
    <col min="15" max="15" width="0.81640625" style="1" customWidth="1"/>
    <col min="16" max="16" width="4.7265625" style="1" customWidth="1"/>
    <col min="17" max="17" width="0.81640625" style="1" customWidth="1"/>
    <col min="18" max="22" width="6.26953125" style="1" customWidth="1"/>
    <col min="23" max="23" width="0.81640625" style="1" customWidth="1"/>
    <col min="24" max="24" width="4.26953125" style="1" customWidth="1"/>
    <col min="25" max="28" width="4.7265625" style="1" customWidth="1"/>
    <col min="29" max="30" width="2.7265625" style="1" customWidth="1"/>
    <col min="31" max="16384" width="9.1796875" style="1"/>
  </cols>
  <sheetData>
    <row r="1" spans="2:28" ht="20.149999999999999" customHeight="1" thickBot="1"/>
    <row r="2" spans="2:28" ht="20.149999999999999" customHeight="1" thickBot="1">
      <c r="B2" s="315" t="s">
        <v>227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7"/>
    </row>
    <row r="3" spans="2:28" ht="10" customHeight="1"/>
    <row r="4" spans="2:28" ht="18" customHeight="1" thickBot="1">
      <c r="B4" s="289" t="s">
        <v>207</v>
      </c>
    </row>
    <row r="5" spans="2:28" ht="30" customHeight="1" thickBot="1">
      <c r="F5" s="291" t="s">
        <v>169</v>
      </c>
      <c r="G5" s="293" t="s">
        <v>170</v>
      </c>
      <c r="H5" s="318" t="s">
        <v>174</v>
      </c>
      <c r="I5" s="319"/>
      <c r="K5" s="320" t="s">
        <v>175</v>
      </c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  <c r="AB5" s="322"/>
    </row>
    <row r="6" spans="2:28" ht="30" customHeight="1">
      <c r="B6" s="283" t="s">
        <v>171</v>
      </c>
      <c r="C6" s="312" t="s">
        <v>30</v>
      </c>
      <c r="D6" s="313"/>
      <c r="E6" s="313"/>
      <c r="F6" s="290"/>
      <c r="G6" s="292"/>
      <c r="H6" s="294"/>
      <c r="I6" s="155"/>
      <c r="K6" s="284"/>
      <c r="L6" s="285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45" customHeight="1">
      <c r="B7" s="6"/>
      <c r="C7" s="262" t="s">
        <v>172</v>
      </c>
      <c r="D7" s="130"/>
      <c r="E7" s="263" t="s">
        <v>158</v>
      </c>
      <c r="F7" s="286">
        <f>N76</f>
        <v>190.28349999999998</v>
      </c>
      <c r="G7" s="303">
        <f>N53</f>
        <v>102.89999999999999</v>
      </c>
      <c r="H7" s="323">
        <f>N91</f>
        <v>293.18349999999998</v>
      </c>
      <c r="I7" s="324"/>
      <c r="K7" s="325" t="s">
        <v>176</v>
      </c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7"/>
    </row>
    <row r="8" spans="2:28" ht="45" customHeight="1">
      <c r="C8" s="262" t="s">
        <v>143</v>
      </c>
      <c r="D8" s="130"/>
      <c r="E8" s="263" t="s">
        <v>157</v>
      </c>
      <c r="F8" s="282">
        <f>N142</f>
        <v>232.02850000000001</v>
      </c>
      <c r="G8" s="304">
        <f>N119</f>
        <v>102.89999999999999</v>
      </c>
      <c r="H8" s="328">
        <f>N157</f>
        <v>334.92849999999999</v>
      </c>
      <c r="I8" s="329"/>
      <c r="K8" s="325" t="s">
        <v>177</v>
      </c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7"/>
    </row>
    <row r="9" spans="2:28" ht="20.149999999999999" customHeight="1">
      <c r="B9" s="283" t="s">
        <v>173</v>
      </c>
      <c r="C9" s="312" t="s">
        <v>80</v>
      </c>
      <c r="D9" s="313"/>
      <c r="E9" s="314"/>
      <c r="F9" s="2"/>
      <c r="G9" s="305"/>
      <c r="H9" s="306"/>
      <c r="I9" s="306"/>
      <c r="K9" s="287"/>
      <c r="L9" s="288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</row>
    <row r="10" spans="2:28" ht="45" customHeight="1">
      <c r="C10" s="263"/>
      <c r="D10" s="130"/>
      <c r="E10" s="263" t="s">
        <v>178</v>
      </c>
      <c r="F10" s="282">
        <f>N203</f>
        <v>225.69250000000002</v>
      </c>
      <c r="G10" s="304">
        <f>N185</f>
        <v>102.89999999999999</v>
      </c>
      <c r="H10" s="328">
        <f>N217</f>
        <v>328.59249999999997</v>
      </c>
      <c r="I10" s="329"/>
      <c r="K10" s="325" t="s">
        <v>179</v>
      </c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7"/>
    </row>
    <row r="11" spans="2:28" ht="20.149999999999999" customHeight="1">
      <c r="B11" s="283" t="s">
        <v>180</v>
      </c>
      <c r="C11" s="312" t="s">
        <v>146</v>
      </c>
      <c r="D11" s="313"/>
      <c r="E11" s="314"/>
      <c r="F11" s="2"/>
      <c r="G11" s="305"/>
      <c r="H11" s="306"/>
      <c r="I11" s="306"/>
      <c r="K11" s="287"/>
      <c r="L11" s="288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</row>
    <row r="12" spans="2:28" ht="45" customHeight="1">
      <c r="C12" s="263"/>
      <c r="D12" s="130"/>
      <c r="E12" s="263" t="s">
        <v>181</v>
      </c>
      <c r="F12" s="282">
        <f>N268</f>
        <v>215.13250000000002</v>
      </c>
      <c r="G12" s="304">
        <f>N250</f>
        <v>102.89999999999999</v>
      </c>
      <c r="H12" s="328">
        <f>N282</f>
        <v>318.03249999999997</v>
      </c>
      <c r="I12" s="329"/>
      <c r="K12" s="325" t="s">
        <v>182</v>
      </c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  <c r="AA12" s="326"/>
      <c r="AB12" s="327"/>
    </row>
    <row r="13" spans="2:28" ht="20.149999999999999" customHeight="1">
      <c r="B13" s="283" t="s">
        <v>183</v>
      </c>
      <c r="C13" s="312" t="s">
        <v>86</v>
      </c>
      <c r="D13" s="313"/>
      <c r="E13" s="314"/>
      <c r="F13" s="2"/>
      <c r="G13" s="305"/>
      <c r="H13" s="306"/>
      <c r="I13" s="306"/>
      <c r="K13" s="287"/>
      <c r="L13" s="288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</row>
    <row r="14" spans="2:28" ht="45" customHeight="1">
      <c r="C14" s="263"/>
      <c r="D14" s="130"/>
      <c r="E14" s="263" t="s">
        <v>184</v>
      </c>
      <c r="F14" s="282">
        <f>N334</f>
        <v>222.7885</v>
      </c>
      <c r="G14" s="304">
        <f>N314</f>
        <v>102.89999999999999</v>
      </c>
      <c r="H14" s="328">
        <f>N349</f>
        <v>325.68849999999998</v>
      </c>
      <c r="I14" s="329"/>
      <c r="K14" s="325" t="s">
        <v>185</v>
      </c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A14" s="326"/>
      <c r="AB14" s="327"/>
    </row>
    <row r="15" spans="2:28" ht="20.149999999999999" customHeight="1">
      <c r="B15" s="283" t="s">
        <v>186</v>
      </c>
      <c r="C15" s="312" t="s">
        <v>206</v>
      </c>
      <c r="D15" s="313"/>
      <c r="E15" s="314"/>
      <c r="F15" s="2"/>
      <c r="G15" s="305"/>
      <c r="H15" s="306"/>
      <c r="I15" s="306"/>
      <c r="K15" s="287"/>
      <c r="L15" s="288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</row>
    <row r="16" spans="2:28" ht="45" customHeight="1">
      <c r="C16" s="263"/>
      <c r="D16" s="130"/>
      <c r="E16" s="263" t="s">
        <v>187</v>
      </c>
      <c r="F16" s="282">
        <f>N399</f>
        <v>162.06849999999997</v>
      </c>
      <c r="G16" s="304">
        <f>N381</f>
        <v>102.89999999999999</v>
      </c>
      <c r="H16" s="328">
        <f>N414</f>
        <v>264.96850000000001</v>
      </c>
      <c r="I16" s="329"/>
      <c r="K16" s="330" t="s">
        <v>190</v>
      </c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2"/>
    </row>
    <row r="17" spans="2:28" ht="20.149999999999999" customHeight="1">
      <c r="B17" s="283" t="s">
        <v>191</v>
      </c>
      <c r="C17" s="312" t="s">
        <v>205</v>
      </c>
      <c r="D17" s="313"/>
      <c r="E17" s="314"/>
      <c r="F17" s="2"/>
      <c r="G17" s="305"/>
      <c r="H17" s="306"/>
      <c r="I17" s="306"/>
      <c r="K17" s="287"/>
      <c r="L17" s="288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</row>
    <row r="18" spans="2:28" ht="45" customHeight="1">
      <c r="C18" s="263"/>
      <c r="D18" s="130"/>
      <c r="E18" s="263" t="s">
        <v>192</v>
      </c>
      <c r="F18" s="282">
        <f>N466</f>
        <v>187.5445</v>
      </c>
      <c r="G18" s="304">
        <f>N448</f>
        <v>102.89999999999999</v>
      </c>
      <c r="H18" s="328">
        <f>N481</f>
        <v>290.44450000000001</v>
      </c>
      <c r="I18" s="329"/>
      <c r="K18" s="330" t="s">
        <v>193</v>
      </c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2"/>
    </row>
    <row r="19" spans="2:28" ht="20.149999999999999" customHeight="1">
      <c r="B19" s="283" t="s">
        <v>188</v>
      </c>
      <c r="C19" s="312" t="s">
        <v>204</v>
      </c>
      <c r="D19" s="313"/>
      <c r="E19" s="314"/>
      <c r="F19" s="2"/>
      <c r="G19" s="305"/>
      <c r="H19" s="306"/>
      <c r="I19" s="306"/>
      <c r="K19" s="287"/>
      <c r="L19" s="288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</row>
    <row r="20" spans="2:28" ht="45" customHeight="1">
      <c r="C20" s="263"/>
      <c r="D20" s="130"/>
      <c r="E20" s="263" t="s">
        <v>189</v>
      </c>
      <c r="F20" s="282">
        <f>N534</f>
        <v>248.13249999999999</v>
      </c>
      <c r="G20" s="304">
        <f>N515</f>
        <v>102.89999999999999</v>
      </c>
      <c r="H20" s="328">
        <f>N549</f>
        <v>351.03249999999997</v>
      </c>
      <c r="I20" s="329"/>
      <c r="K20" s="325" t="s">
        <v>196</v>
      </c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7"/>
    </row>
    <row r="21" spans="2:28" ht="20.149999999999999" customHeight="1">
      <c r="B21" s="283" t="s">
        <v>194</v>
      </c>
      <c r="C21" s="312" t="s">
        <v>203</v>
      </c>
      <c r="D21" s="313"/>
      <c r="E21" s="314"/>
      <c r="F21" s="2"/>
      <c r="G21" s="305"/>
      <c r="H21" s="306"/>
      <c r="I21" s="306"/>
      <c r="K21" s="287"/>
      <c r="L21" s="288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287"/>
    </row>
    <row r="22" spans="2:28" ht="45" customHeight="1">
      <c r="C22" s="263"/>
      <c r="D22" s="130"/>
      <c r="E22" s="263" t="s">
        <v>195</v>
      </c>
      <c r="F22" s="282">
        <f>N601</f>
        <v>266.11250000000001</v>
      </c>
      <c r="G22" s="304">
        <f>N582</f>
        <v>102.89999999999999</v>
      </c>
      <c r="H22" s="328">
        <f>N618</f>
        <v>369.01249999999999</v>
      </c>
      <c r="I22" s="329"/>
      <c r="K22" s="325" t="s">
        <v>197</v>
      </c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  <c r="W22" s="326"/>
      <c r="X22" s="326"/>
      <c r="Y22" s="326"/>
      <c r="Z22" s="326"/>
      <c r="AA22" s="326"/>
      <c r="AB22" s="327"/>
    </row>
    <row r="23" spans="2:28" ht="20.149999999999999" customHeight="1">
      <c r="B23" s="283" t="s">
        <v>198</v>
      </c>
      <c r="C23" s="312" t="s">
        <v>61</v>
      </c>
      <c r="D23" s="313"/>
      <c r="E23" s="314"/>
      <c r="F23" s="2"/>
      <c r="G23" s="305"/>
      <c r="H23" s="306"/>
      <c r="I23" s="306"/>
      <c r="K23" s="287"/>
      <c r="L23" s="288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</row>
    <row r="24" spans="2:28" ht="45" customHeight="1">
      <c r="B24" s="6"/>
      <c r="C24" s="262" t="s">
        <v>172</v>
      </c>
      <c r="D24" s="130"/>
      <c r="E24" s="263" t="s">
        <v>199</v>
      </c>
      <c r="F24" s="282">
        <f>N672</f>
        <v>78.567499999999995</v>
      </c>
      <c r="G24" s="304">
        <f>N649</f>
        <v>102.89999999999999</v>
      </c>
      <c r="H24" s="328">
        <f>N686</f>
        <v>181.4675</v>
      </c>
      <c r="I24" s="329"/>
      <c r="K24" s="325" t="s">
        <v>202</v>
      </c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7"/>
    </row>
    <row r="25" spans="2:28" ht="45" customHeight="1">
      <c r="C25" s="262" t="s">
        <v>143</v>
      </c>
      <c r="D25" s="130"/>
      <c r="E25" s="263" t="s">
        <v>200</v>
      </c>
      <c r="F25" s="282">
        <f>N731</f>
        <v>120.3125</v>
      </c>
      <c r="G25" s="304">
        <f>N714</f>
        <v>102.89999999999999</v>
      </c>
      <c r="H25" s="328">
        <f>N745</f>
        <v>223.21249999999998</v>
      </c>
      <c r="I25" s="329"/>
      <c r="K25" s="325" t="s">
        <v>201</v>
      </c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  <c r="AA25" s="326"/>
      <c r="AB25" s="327"/>
    </row>
    <row r="26" spans="2:28" ht="10" customHeight="1"/>
    <row r="27" spans="2:28" ht="10" customHeight="1" thickBot="1"/>
    <row r="28" spans="2:28" ht="18" customHeight="1" thickBot="1">
      <c r="B28" s="315" t="s">
        <v>77</v>
      </c>
      <c r="C28" s="316"/>
      <c r="D28" s="316"/>
      <c r="E28" s="316"/>
      <c r="F28" s="316"/>
      <c r="G28" s="316"/>
      <c r="H28" s="316"/>
      <c r="I28" s="316"/>
      <c r="J28" s="316"/>
      <c r="K28" s="316"/>
      <c r="L28" s="316"/>
      <c r="M28" s="316"/>
      <c r="N28" s="316"/>
      <c r="O28" s="316"/>
      <c r="P28" s="316"/>
      <c r="Q28" s="316"/>
      <c r="R28" s="316"/>
      <c r="S28" s="316"/>
      <c r="T28" s="316"/>
      <c r="U28" s="316"/>
      <c r="V28" s="316"/>
      <c r="W28" s="316"/>
      <c r="X28" s="316"/>
      <c r="Y28" s="316"/>
      <c r="Z28" s="316"/>
      <c r="AA28" s="316"/>
      <c r="AB28" s="317"/>
    </row>
    <row r="29" spans="2:28" ht="10" customHeight="1" thickBot="1"/>
    <row r="30" spans="2:28" ht="18" customHeight="1" thickBot="1">
      <c r="B30" s="164" t="s">
        <v>31</v>
      </c>
      <c r="C30" s="6"/>
      <c r="D30" s="132"/>
      <c r="E30" s="252" t="s">
        <v>30</v>
      </c>
      <c r="F30" s="7"/>
      <c r="G30" s="8"/>
    </row>
    <row r="31" spans="2:28" ht="48" customHeight="1">
      <c r="B31" s="6"/>
      <c r="C31" s="262" t="s">
        <v>141</v>
      </c>
      <c r="D31" s="130"/>
      <c r="E31" s="263" t="s">
        <v>158</v>
      </c>
      <c r="F31" s="268" t="s">
        <v>142</v>
      </c>
      <c r="G31" s="151"/>
    </row>
    <row r="32" spans="2:28" ht="15" customHeight="1">
      <c r="B32" s="6"/>
      <c r="C32" s="6"/>
      <c r="D32" s="132"/>
      <c r="E32" s="12"/>
      <c r="F32" s="26" t="s">
        <v>159</v>
      </c>
      <c r="G32" s="11"/>
      <c r="H32" s="138"/>
      <c r="I32" s="11"/>
    </row>
    <row r="33" spans="2:29" ht="12" customHeight="1">
      <c r="B33" s="6"/>
      <c r="C33" s="6"/>
      <c r="D33" s="132"/>
      <c r="E33" s="12"/>
      <c r="F33" s="270" t="s">
        <v>7</v>
      </c>
      <c r="G33" s="271">
        <v>2012</v>
      </c>
      <c r="P33" s="137">
        <v>2011</v>
      </c>
      <c r="Q33" s="138"/>
      <c r="R33" s="137">
        <f>P33+1</f>
        <v>2012</v>
      </c>
      <c r="S33" s="137">
        <f>R33+1</f>
        <v>2013</v>
      </c>
      <c r="T33" s="137">
        <f>S33+1</f>
        <v>2014</v>
      </c>
      <c r="U33" s="137">
        <f>T33+1</f>
        <v>2015</v>
      </c>
      <c r="V33" s="137">
        <f>U33+1</f>
        <v>2016</v>
      </c>
      <c r="W33" s="137"/>
      <c r="X33" s="264">
        <f>V33+1</f>
        <v>2017</v>
      </c>
      <c r="Y33" s="139">
        <f>X33+1</f>
        <v>2018</v>
      </c>
      <c r="Z33" s="139">
        <f>Y33+1</f>
        <v>2019</v>
      </c>
      <c r="AA33" s="139">
        <f>Z33+1</f>
        <v>2020</v>
      </c>
      <c r="AB33" s="139">
        <f>AA33+1</f>
        <v>2021</v>
      </c>
    </row>
    <row r="34" spans="2:29" ht="12" customHeight="1">
      <c r="F34" s="1"/>
      <c r="G34" s="209" t="s">
        <v>68</v>
      </c>
      <c r="H34" s="18"/>
      <c r="I34" s="18"/>
      <c r="K34" s="19"/>
      <c r="L34" s="203"/>
      <c r="M34" s="20"/>
      <c r="N34" s="21" t="s">
        <v>0</v>
      </c>
      <c r="O34" s="20"/>
      <c r="P34" s="22"/>
      <c r="Q34" s="20"/>
      <c r="R34" s="140">
        <v>2.6</v>
      </c>
      <c r="S34" s="141">
        <v>2.1</v>
      </c>
      <c r="T34" s="142">
        <v>23.7</v>
      </c>
      <c r="U34" s="140">
        <v>33.799999999999997</v>
      </c>
      <c r="V34" s="143">
        <v>30.5</v>
      </c>
      <c r="W34" s="265"/>
      <c r="X34" s="144">
        <v>28.3</v>
      </c>
      <c r="Y34" s="144">
        <v>25.700000000000003</v>
      </c>
      <c r="Z34" s="144">
        <v>19.100000000000001</v>
      </c>
      <c r="AA34" s="144">
        <v>15.1</v>
      </c>
      <c r="AB34" s="144">
        <v>15.1</v>
      </c>
    </row>
    <row r="35" spans="2:29" ht="12" customHeight="1">
      <c r="F35" s="1"/>
      <c r="G35" s="210" t="s">
        <v>69</v>
      </c>
      <c r="H35" s="18"/>
      <c r="I35" s="18"/>
      <c r="K35" s="19"/>
      <c r="L35" s="203"/>
      <c r="M35" s="20"/>
      <c r="N35" s="21" t="s">
        <v>1</v>
      </c>
      <c r="O35" s="20"/>
      <c r="P35" s="22"/>
      <c r="Q35" s="20"/>
      <c r="R35" s="140">
        <v>1</v>
      </c>
      <c r="S35" s="141">
        <v>0.9</v>
      </c>
      <c r="T35" s="142">
        <v>11.600000000000001</v>
      </c>
      <c r="U35" s="140">
        <v>16.600000000000001</v>
      </c>
      <c r="V35" s="143">
        <v>15.899999999999999</v>
      </c>
      <c r="W35" s="265"/>
      <c r="X35" s="144">
        <v>15.1</v>
      </c>
      <c r="Y35" s="144">
        <v>14.100000000000001</v>
      </c>
      <c r="Z35" s="144">
        <v>10.600000000000001</v>
      </c>
      <c r="AA35" s="144">
        <v>7.9</v>
      </c>
      <c r="AB35" s="144">
        <v>7.9</v>
      </c>
    </row>
    <row r="36" spans="2:29" ht="5.15" customHeight="1">
      <c r="F36" s="1"/>
      <c r="G36" s="165"/>
      <c r="H36" s="166"/>
      <c r="I36" s="166"/>
      <c r="K36" s="167"/>
      <c r="L36" s="204"/>
      <c r="M36" s="168"/>
      <c r="N36" s="169"/>
      <c r="O36" s="168"/>
      <c r="P36" s="168"/>
      <c r="Q36" s="168"/>
      <c r="R36" s="170"/>
      <c r="S36" s="170"/>
      <c r="T36" s="170"/>
      <c r="U36" s="170"/>
      <c r="V36" s="170"/>
      <c r="W36" s="171"/>
      <c r="X36" s="172"/>
      <c r="Y36" s="172"/>
      <c r="Z36" s="172"/>
      <c r="AA36" s="172"/>
      <c r="AB36" s="172"/>
    </row>
    <row r="37" spans="2:29" ht="12" customHeight="1">
      <c r="E37" s="26" t="s">
        <v>208</v>
      </c>
      <c r="F37" s="27" t="s">
        <v>27</v>
      </c>
      <c r="O37" s="24"/>
      <c r="P37" s="134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6"/>
    </row>
    <row r="38" spans="2:29" ht="11.15" customHeight="1">
      <c r="C38" s="25"/>
      <c r="F38" s="1"/>
      <c r="G38" s="5"/>
      <c r="O38" s="24"/>
      <c r="P38" s="15">
        <v>2011</v>
      </c>
      <c r="Q38" s="16"/>
      <c r="R38" s="16">
        <f>P38+1</f>
        <v>2012</v>
      </c>
      <c r="S38" s="16">
        <f>R38+1</f>
        <v>2013</v>
      </c>
      <c r="T38" s="16">
        <f>S38+1</f>
        <v>2014</v>
      </c>
      <c r="U38" s="16">
        <f>T38+1</f>
        <v>2015</v>
      </c>
      <c r="V38" s="16">
        <f>U38+1</f>
        <v>2016</v>
      </c>
      <c r="W38" s="16"/>
      <c r="X38" s="17">
        <f>V38+1</f>
        <v>2017</v>
      </c>
      <c r="Y38" s="17">
        <f>X38+1</f>
        <v>2018</v>
      </c>
      <c r="Z38" s="17">
        <f>Y38+1</f>
        <v>2019</v>
      </c>
      <c r="AA38" s="17">
        <f>Z38+1</f>
        <v>2020</v>
      </c>
      <c r="AB38" s="17">
        <f>AA38+1</f>
        <v>2021</v>
      </c>
      <c r="AC38" s="24"/>
    </row>
    <row r="39" spans="2:29" ht="4" customHeight="1"/>
    <row r="40" spans="2:29" ht="12" customHeight="1">
      <c r="D40" s="242">
        <v>1</v>
      </c>
      <c r="E40" s="125" t="s">
        <v>209</v>
      </c>
      <c r="F40" s="125" t="s">
        <v>210</v>
      </c>
      <c r="G40" s="145"/>
      <c r="H40" s="150"/>
      <c r="I40" s="151"/>
      <c r="J40" s="3"/>
      <c r="K40" s="295">
        <v>4</v>
      </c>
      <c r="L40" s="201"/>
      <c r="M40" s="30"/>
      <c r="N40" s="87"/>
      <c r="O40" s="32"/>
      <c r="P40" s="33"/>
      <c r="Q40" s="30"/>
      <c r="R40" s="34">
        <f>K40</f>
        <v>4</v>
      </c>
      <c r="S40" s="35"/>
      <c r="T40" s="35"/>
      <c r="U40" s="35"/>
      <c r="V40" s="36"/>
      <c r="W40" s="30"/>
      <c r="X40" s="37"/>
      <c r="Y40" s="38"/>
      <c r="Z40" s="38"/>
      <c r="AA40" s="38"/>
      <c r="AB40" s="39"/>
    </row>
    <row r="41" spans="2:29" ht="12" customHeight="1">
      <c r="D41" s="243">
        <v>2</v>
      </c>
      <c r="E41" s="126" t="s">
        <v>222</v>
      </c>
      <c r="F41" s="126" t="s">
        <v>223</v>
      </c>
      <c r="G41" s="146"/>
      <c r="H41" s="152"/>
      <c r="I41" s="153"/>
      <c r="J41" s="3"/>
      <c r="K41" s="296">
        <v>2</v>
      </c>
      <c r="L41" s="201"/>
      <c r="M41" s="30"/>
      <c r="N41" s="101"/>
      <c r="O41" s="32"/>
      <c r="P41" s="45"/>
      <c r="Q41" s="30"/>
      <c r="R41" s="46"/>
      <c r="S41" s="47">
        <f>K41</f>
        <v>2</v>
      </c>
      <c r="T41" s="47"/>
      <c r="U41" s="47"/>
      <c r="V41" s="48"/>
      <c r="W41" s="30"/>
      <c r="X41" s="49"/>
      <c r="Y41" s="50"/>
      <c r="Z41" s="50"/>
      <c r="AA41" s="50"/>
      <c r="AB41" s="51"/>
    </row>
    <row r="42" spans="2:29" ht="12" customHeight="1">
      <c r="D42" s="243">
        <v>3</v>
      </c>
      <c r="E42" s="126" t="s">
        <v>211</v>
      </c>
      <c r="F42" s="126" t="s">
        <v>26</v>
      </c>
      <c r="G42" s="146"/>
      <c r="H42" s="152"/>
      <c r="I42" s="153"/>
      <c r="J42" s="3"/>
      <c r="K42" s="44">
        <v>2</v>
      </c>
      <c r="L42" s="201"/>
      <c r="M42" s="30"/>
      <c r="N42" s="53"/>
      <c r="O42" s="32"/>
      <c r="P42" s="45"/>
      <c r="Q42" s="30"/>
      <c r="R42" s="46"/>
      <c r="S42" s="47">
        <f t="shared" ref="S42" si="0">K42</f>
        <v>2</v>
      </c>
      <c r="T42" s="47"/>
      <c r="U42" s="47"/>
      <c r="V42" s="48"/>
      <c r="W42" s="30"/>
      <c r="X42" s="49"/>
      <c r="Y42" s="50"/>
      <c r="Z42" s="50"/>
      <c r="AA42" s="50"/>
      <c r="AB42" s="51"/>
    </row>
    <row r="43" spans="2:29" ht="12" customHeight="1">
      <c r="D43" s="244">
        <v>4</v>
      </c>
      <c r="E43" s="127" t="s">
        <v>212</v>
      </c>
      <c r="F43" s="127" t="s">
        <v>26</v>
      </c>
      <c r="G43" s="147"/>
      <c r="H43" s="154"/>
      <c r="I43" s="155"/>
      <c r="J43" s="3"/>
      <c r="K43" s="297">
        <v>4</v>
      </c>
      <c r="L43" s="201"/>
      <c r="M43" s="30"/>
      <c r="N43" s="53"/>
      <c r="O43" s="32"/>
      <c r="P43" s="45"/>
      <c r="Q43" s="30"/>
      <c r="R43" s="46"/>
      <c r="S43" s="47">
        <f>K43</f>
        <v>4</v>
      </c>
      <c r="T43" s="47"/>
      <c r="U43" s="47"/>
      <c r="V43" s="48"/>
      <c r="W43" s="30"/>
      <c r="X43" s="49"/>
      <c r="Y43" s="50"/>
      <c r="Z43" s="50"/>
      <c r="AA43" s="50"/>
      <c r="AB43" s="51"/>
    </row>
    <row r="44" spans="2:29" s="67" customFormat="1" ht="12" customHeight="1">
      <c r="B44" s="54"/>
      <c r="C44" s="55"/>
      <c r="D44" s="133"/>
      <c r="E44" s="124"/>
      <c r="F44" s="128" t="s">
        <v>2</v>
      </c>
      <c r="G44" s="129"/>
      <c r="H44" s="148"/>
      <c r="I44" s="149"/>
      <c r="J44" s="61"/>
      <c r="K44" s="29">
        <f>SUM(K40:K43)</f>
        <v>12</v>
      </c>
      <c r="L44" s="205"/>
      <c r="M44" s="62"/>
      <c r="N44" s="31"/>
      <c r="O44" s="61"/>
      <c r="P44" s="63"/>
      <c r="Q44" s="62"/>
      <c r="R44" s="64">
        <f>SUM(R40:R43)</f>
        <v>4</v>
      </c>
      <c r="S44" s="64">
        <f>SUM(S40:S43)</f>
        <v>8</v>
      </c>
      <c r="T44" s="64">
        <f>SUM(T40:T43)</f>
        <v>0</v>
      </c>
      <c r="U44" s="64">
        <f>SUM(U40:U43)</f>
        <v>0</v>
      </c>
      <c r="V44" s="266">
        <f>SUM(V40:V43)</f>
        <v>0</v>
      </c>
      <c r="W44" s="82"/>
      <c r="X44" s="65"/>
      <c r="Y44" s="59"/>
      <c r="Z44" s="59"/>
      <c r="AA44" s="59"/>
      <c r="AB44" s="66"/>
    </row>
    <row r="45" spans="2:29" ht="9" customHeight="1"/>
    <row r="46" spans="2:29" ht="12" customHeight="1">
      <c r="L46" s="1"/>
      <c r="O46" s="24"/>
      <c r="P46" s="84" t="s">
        <v>10</v>
      </c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2"/>
    </row>
    <row r="47" spans="2:29" ht="12" customHeight="1">
      <c r="E47" s="26" t="s">
        <v>28</v>
      </c>
      <c r="K47" s="137" t="s">
        <v>67</v>
      </c>
      <c r="L47" s="211" t="s">
        <v>66</v>
      </c>
      <c r="M47" s="24"/>
      <c r="N47" s="212" t="s">
        <v>11</v>
      </c>
      <c r="O47" s="24"/>
      <c r="P47" s="137">
        <v>2011</v>
      </c>
      <c r="Q47" s="5"/>
      <c r="R47" s="137">
        <f>P47+1</f>
        <v>2012</v>
      </c>
      <c r="S47" s="137">
        <f>R47+1</f>
        <v>2013</v>
      </c>
      <c r="T47" s="137">
        <f>S47+1</f>
        <v>2014</v>
      </c>
      <c r="U47" s="137">
        <f>T47+1</f>
        <v>2015</v>
      </c>
      <c r="V47" s="137">
        <f>U47+1</f>
        <v>2016</v>
      </c>
      <c r="W47" s="5"/>
      <c r="X47" s="139">
        <f>V47+1</f>
        <v>2017</v>
      </c>
      <c r="Y47" s="139">
        <f>X47+1</f>
        <v>2018</v>
      </c>
      <c r="Z47" s="139">
        <f>Y47+1</f>
        <v>2019</v>
      </c>
      <c r="AA47" s="139">
        <f>Z47+1</f>
        <v>2020</v>
      </c>
      <c r="AB47" s="139">
        <f>AA47+1</f>
        <v>2021</v>
      </c>
    </row>
    <row r="48" spans="2:29" ht="4.5" customHeight="1"/>
    <row r="49" spans="2:28" ht="12" customHeight="1">
      <c r="D49" s="242">
        <v>1</v>
      </c>
      <c r="E49" s="125" t="s">
        <v>209</v>
      </c>
      <c r="F49" s="125" t="s">
        <v>213</v>
      </c>
      <c r="G49" s="299">
        <f>(3*1+2.5)/4</f>
        <v>1.375</v>
      </c>
      <c r="H49" s="78" t="s">
        <v>12</v>
      </c>
      <c r="I49" s="79" t="s">
        <v>13</v>
      </c>
      <c r="J49" s="3"/>
      <c r="K49" s="80">
        <f>K40</f>
        <v>4</v>
      </c>
      <c r="L49" s="225" t="s">
        <v>13</v>
      </c>
      <c r="M49" s="30"/>
      <c r="N49" s="156">
        <f>G49*K49</f>
        <v>5.5</v>
      </c>
      <c r="O49" s="32"/>
      <c r="P49" s="33"/>
      <c r="Q49" s="30"/>
      <c r="R49" s="81">
        <f t="shared" ref="R49:V52" si="1">$G49*R40</f>
        <v>5.5</v>
      </c>
      <c r="S49" s="81">
        <f t="shared" si="1"/>
        <v>0</v>
      </c>
      <c r="T49" s="81">
        <f t="shared" si="1"/>
        <v>0</v>
      </c>
      <c r="U49" s="81">
        <f t="shared" si="1"/>
        <v>0</v>
      </c>
      <c r="V49" s="81">
        <f t="shared" si="1"/>
        <v>0</v>
      </c>
      <c r="W49" s="30"/>
      <c r="X49" s="37"/>
      <c r="Y49" s="38"/>
      <c r="Z49" s="38"/>
      <c r="AA49" s="38"/>
      <c r="AB49" s="39"/>
    </row>
    <row r="50" spans="2:28" ht="12" customHeight="1">
      <c r="D50" s="243">
        <v>2</v>
      </c>
      <c r="E50" s="126" t="s">
        <v>222</v>
      </c>
      <c r="F50" s="126" t="s">
        <v>214</v>
      </c>
      <c r="G50" s="300">
        <f>(2.3+2.7)/2</f>
        <v>2.5</v>
      </c>
      <c r="H50" s="42" t="s">
        <v>12</v>
      </c>
      <c r="I50" s="43" t="s">
        <v>13</v>
      </c>
      <c r="J50" s="3"/>
      <c r="K50" s="52">
        <f>K41</f>
        <v>2</v>
      </c>
      <c r="L50" s="226" t="s">
        <v>13</v>
      </c>
      <c r="M50" s="30"/>
      <c r="N50" s="157">
        <f>G50*K50</f>
        <v>5</v>
      </c>
      <c r="O50" s="32"/>
      <c r="P50" s="45"/>
      <c r="Q50" s="30"/>
      <c r="R50" s="81">
        <f t="shared" si="1"/>
        <v>0</v>
      </c>
      <c r="S50" s="81">
        <f t="shared" si="1"/>
        <v>5</v>
      </c>
      <c r="T50" s="81">
        <f t="shared" si="1"/>
        <v>0</v>
      </c>
      <c r="U50" s="81">
        <f t="shared" si="1"/>
        <v>0</v>
      </c>
      <c r="V50" s="81">
        <f t="shared" si="1"/>
        <v>0</v>
      </c>
      <c r="W50" s="30"/>
      <c r="X50" s="49"/>
      <c r="Y50" s="50"/>
      <c r="Z50" s="50"/>
      <c r="AA50" s="50"/>
      <c r="AB50" s="51"/>
    </row>
    <row r="51" spans="2:28" ht="12" customHeight="1">
      <c r="D51" s="243">
        <v>3</v>
      </c>
      <c r="E51" s="126" t="s">
        <v>211</v>
      </c>
      <c r="F51" s="126" t="s">
        <v>26</v>
      </c>
      <c r="G51" s="300">
        <f>(17.5+22)/2</f>
        <v>19.75</v>
      </c>
      <c r="H51" s="42" t="s">
        <v>12</v>
      </c>
      <c r="I51" s="43" t="s">
        <v>13</v>
      </c>
      <c r="J51" s="3"/>
      <c r="K51" s="52">
        <f>K42</f>
        <v>2</v>
      </c>
      <c r="L51" s="226" t="s">
        <v>13</v>
      </c>
      <c r="M51" s="30"/>
      <c r="N51" s="157">
        <f>G51*K51</f>
        <v>39.5</v>
      </c>
      <c r="O51" s="32"/>
      <c r="P51" s="45"/>
      <c r="Q51" s="30"/>
      <c r="R51" s="81">
        <f t="shared" si="1"/>
        <v>0</v>
      </c>
      <c r="S51" s="81">
        <f t="shared" si="1"/>
        <v>39.5</v>
      </c>
      <c r="T51" s="81">
        <f t="shared" si="1"/>
        <v>0</v>
      </c>
      <c r="U51" s="81">
        <f t="shared" si="1"/>
        <v>0</v>
      </c>
      <c r="V51" s="81">
        <f t="shared" si="1"/>
        <v>0</v>
      </c>
      <c r="W51" s="30"/>
      <c r="X51" s="49"/>
      <c r="Y51" s="50"/>
      <c r="Z51" s="50"/>
      <c r="AA51" s="50"/>
      <c r="AB51" s="51"/>
    </row>
    <row r="52" spans="2:28" ht="12" customHeight="1">
      <c r="D52" s="244">
        <v>4</v>
      </c>
      <c r="E52" s="127" t="s">
        <v>212</v>
      </c>
      <c r="F52" s="127" t="s">
        <v>26</v>
      </c>
      <c r="G52" s="300">
        <f>(3*13.7+11.8)/4</f>
        <v>13.224999999999998</v>
      </c>
      <c r="H52" s="42" t="s">
        <v>12</v>
      </c>
      <c r="I52" s="43" t="s">
        <v>13</v>
      </c>
      <c r="J52" s="3"/>
      <c r="K52" s="52">
        <f>K43</f>
        <v>4</v>
      </c>
      <c r="L52" s="227" t="s">
        <v>13</v>
      </c>
      <c r="M52" s="30"/>
      <c r="N52" s="157">
        <f>G52*K52</f>
        <v>52.899999999999991</v>
      </c>
      <c r="O52" s="32"/>
      <c r="P52" s="45"/>
      <c r="Q52" s="30"/>
      <c r="R52" s="81">
        <f t="shared" si="1"/>
        <v>0</v>
      </c>
      <c r="S52" s="81">
        <f t="shared" si="1"/>
        <v>52.899999999999991</v>
      </c>
      <c r="T52" s="81">
        <f t="shared" si="1"/>
        <v>0</v>
      </c>
      <c r="U52" s="81">
        <f t="shared" si="1"/>
        <v>0</v>
      </c>
      <c r="V52" s="81">
        <f t="shared" si="1"/>
        <v>0</v>
      </c>
      <c r="W52" s="30"/>
      <c r="X52" s="49"/>
      <c r="Y52" s="50"/>
      <c r="Z52" s="50"/>
      <c r="AA52" s="50"/>
      <c r="AB52" s="51"/>
    </row>
    <row r="53" spans="2:28" s="67" customFormat="1" ht="12" customHeight="1">
      <c r="B53" s="54"/>
      <c r="C53" s="55"/>
      <c r="D53" s="133"/>
      <c r="E53" s="56"/>
      <c r="F53" s="57" t="s">
        <v>14</v>
      </c>
      <c r="G53" s="58"/>
      <c r="H53" s="59"/>
      <c r="I53" s="60"/>
      <c r="J53" s="61"/>
      <c r="K53" s="82"/>
      <c r="L53" s="206"/>
      <c r="M53" s="62"/>
      <c r="N53" s="180">
        <f>SUM(N49:N52)</f>
        <v>102.89999999999999</v>
      </c>
      <c r="O53" s="61"/>
      <c r="P53" s="63"/>
      <c r="Q53" s="62"/>
      <c r="R53" s="83">
        <f>SUM(R49:R52)</f>
        <v>5.5</v>
      </c>
      <c r="S53" s="83">
        <f>SUM(S49:S52)</f>
        <v>97.399999999999991</v>
      </c>
      <c r="T53" s="83">
        <f>SUM(T49:T52)</f>
        <v>0</v>
      </c>
      <c r="U53" s="83">
        <f>SUM(U49:U52)</f>
        <v>0</v>
      </c>
      <c r="V53" s="83">
        <f>SUM(V49:V52)</f>
        <v>0</v>
      </c>
      <c r="W53" s="62"/>
      <c r="X53" s="65"/>
      <c r="Y53" s="59"/>
      <c r="Z53" s="59"/>
      <c r="AA53" s="59"/>
      <c r="AB53" s="66"/>
    </row>
    <row r="54" spans="2:28" ht="5.15" customHeight="1"/>
    <row r="55" spans="2:28" ht="15" customHeight="1">
      <c r="E55" s="26" t="s">
        <v>15</v>
      </c>
      <c r="F55" s="84" t="s">
        <v>16</v>
      </c>
      <c r="G55" s="85"/>
      <c r="H55" s="215" t="s">
        <v>4</v>
      </c>
      <c r="I55" s="241" t="s">
        <v>76</v>
      </c>
      <c r="K55" s="137" t="s">
        <v>67</v>
      </c>
      <c r="L55" s="211" t="s">
        <v>66</v>
      </c>
      <c r="N55" s="212" t="s">
        <v>11</v>
      </c>
      <c r="P55" s="73">
        <v>2011</v>
      </c>
      <c r="Q55" s="74"/>
      <c r="R55" s="75">
        <f>P55+1</f>
        <v>2012</v>
      </c>
      <c r="S55" s="75">
        <f>R55+1</f>
        <v>2013</v>
      </c>
      <c r="T55" s="75">
        <f>S55+1</f>
        <v>2014</v>
      </c>
      <c r="U55" s="75">
        <f>T55+1</f>
        <v>2015</v>
      </c>
      <c r="V55" s="75">
        <f>U55+1</f>
        <v>2016</v>
      </c>
      <c r="W55" s="74"/>
      <c r="X55" s="76">
        <f>V55+1</f>
        <v>2017</v>
      </c>
      <c r="Y55" s="76">
        <f>X55+1</f>
        <v>2018</v>
      </c>
      <c r="Z55" s="76">
        <f>Y55+1</f>
        <v>2019</v>
      </c>
      <c r="AA55" s="76">
        <f>Z55+1</f>
        <v>2020</v>
      </c>
      <c r="AB55" s="76">
        <f>AA55+1</f>
        <v>2021</v>
      </c>
    </row>
    <row r="56" spans="2:28" ht="4" customHeight="1"/>
    <row r="57" spans="2:28" ht="12" customHeight="1">
      <c r="C57" s="28"/>
      <c r="E57" s="77" t="s">
        <v>218</v>
      </c>
      <c r="F57" s="158" t="s">
        <v>219</v>
      </c>
      <c r="G57" s="86"/>
      <c r="H57" s="213" t="s">
        <v>71</v>
      </c>
      <c r="I57" s="216">
        <v>0.5</v>
      </c>
      <c r="J57" s="3"/>
      <c r="K57" s="298">
        <v>13</v>
      </c>
      <c r="L57" s="229" t="s">
        <v>73</v>
      </c>
      <c r="M57" s="30"/>
      <c r="N57" s="176">
        <f>I57*K57</f>
        <v>6.5</v>
      </c>
      <c r="O57" s="32"/>
      <c r="P57" s="88"/>
      <c r="Q57" s="30"/>
      <c r="R57" s="90"/>
      <c r="S57" s="91">
        <f>N57</f>
        <v>6.5</v>
      </c>
      <c r="T57" s="91"/>
      <c r="U57" s="91"/>
      <c r="V57" s="92"/>
      <c r="W57" s="30"/>
      <c r="X57" s="90"/>
      <c r="Y57" s="91"/>
      <c r="Z57" s="91"/>
      <c r="AA57" s="91"/>
      <c r="AB57" s="92"/>
    </row>
    <row r="58" spans="2:28" ht="12" customHeight="1">
      <c r="C58" s="28"/>
      <c r="E58" s="77" t="s">
        <v>215</v>
      </c>
      <c r="F58" s="158" t="s">
        <v>70</v>
      </c>
      <c r="G58" s="86"/>
      <c r="H58" s="213" t="s">
        <v>71</v>
      </c>
      <c r="I58" s="216">
        <v>0.25</v>
      </c>
      <c r="J58" s="3"/>
      <c r="K58" s="228">
        <v>5.7</v>
      </c>
      <c r="L58" s="229" t="s">
        <v>72</v>
      </c>
      <c r="M58" s="30"/>
      <c r="N58" s="176">
        <f>I58*K58</f>
        <v>1.425</v>
      </c>
      <c r="O58" s="32"/>
      <c r="P58" s="88"/>
      <c r="Q58" s="30"/>
      <c r="R58" s="90">
        <f>N58</f>
        <v>1.425</v>
      </c>
      <c r="S58" s="91"/>
      <c r="T58" s="91"/>
      <c r="U58" s="91"/>
      <c r="V58" s="92"/>
      <c r="W58" s="30"/>
      <c r="X58" s="90"/>
      <c r="Y58" s="91"/>
      <c r="Z58" s="91"/>
      <c r="AA58" s="91"/>
      <c r="AB58" s="92"/>
    </row>
    <row r="59" spans="2:28" ht="12" customHeight="1">
      <c r="C59" s="28"/>
      <c r="E59" s="105"/>
      <c r="F59" s="41" t="s">
        <v>17</v>
      </c>
      <c r="G59" s="93"/>
      <c r="H59" s="94"/>
      <c r="I59" s="217">
        <v>0.1</v>
      </c>
      <c r="J59" s="3"/>
      <c r="K59" s="174">
        <v>7</v>
      </c>
      <c r="L59" s="226" t="s">
        <v>73</v>
      </c>
      <c r="M59" s="30"/>
      <c r="N59" s="177">
        <f>I59*K59</f>
        <v>0.70000000000000007</v>
      </c>
      <c r="O59" s="32"/>
      <c r="P59" s="96"/>
      <c r="Q59" s="30"/>
      <c r="R59" s="97">
        <f>N59</f>
        <v>0.70000000000000007</v>
      </c>
      <c r="S59" s="98"/>
      <c r="T59" s="98"/>
      <c r="U59" s="98"/>
      <c r="V59" s="99"/>
      <c r="W59" s="30"/>
      <c r="X59" s="97"/>
      <c r="Y59" s="98"/>
      <c r="Z59" s="98"/>
      <c r="AA59" s="98"/>
      <c r="AB59" s="99"/>
    </row>
    <row r="60" spans="2:28" ht="12" customHeight="1">
      <c r="C60" s="28"/>
      <c r="E60" s="105" t="s">
        <v>216</v>
      </c>
      <c r="F60" s="41" t="s">
        <v>217</v>
      </c>
      <c r="G60" s="100"/>
      <c r="H60" s="94"/>
      <c r="I60" s="217">
        <f>0.25</f>
        <v>0.25</v>
      </c>
      <c r="J60" s="3"/>
      <c r="K60" s="200">
        <f>11*3</f>
        <v>33</v>
      </c>
      <c r="L60" s="230" t="s">
        <v>72</v>
      </c>
      <c r="M60" s="30"/>
      <c r="N60" s="177">
        <f>I60*K60</f>
        <v>8.25</v>
      </c>
      <c r="O60" s="32"/>
      <c r="P60" s="96"/>
      <c r="Q60" s="30"/>
      <c r="R60" s="257"/>
      <c r="S60" s="214">
        <f>N60</f>
        <v>8.25</v>
      </c>
      <c r="T60" s="214"/>
      <c r="U60" s="103"/>
      <c r="V60" s="104"/>
      <c r="W60" s="30"/>
      <c r="X60" s="102"/>
      <c r="Y60" s="103"/>
      <c r="Z60" s="103"/>
      <c r="AA60" s="103"/>
      <c r="AB60" s="104"/>
    </row>
    <row r="61" spans="2:28" ht="12" customHeight="1">
      <c r="C61" s="28"/>
      <c r="E61" s="105"/>
      <c r="F61" s="253" t="s">
        <v>17</v>
      </c>
      <c r="G61" s="100"/>
      <c r="H61" s="94"/>
      <c r="I61" s="217">
        <v>0.1</v>
      </c>
      <c r="J61" s="3"/>
      <c r="K61" s="174">
        <v>11</v>
      </c>
      <c r="L61" s="226" t="s">
        <v>73</v>
      </c>
      <c r="M61" s="30"/>
      <c r="N61" s="177">
        <f>I61*K61</f>
        <v>1.1000000000000001</v>
      </c>
      <c r="O61" s="32"/>
      <c r="P61" s="96"/>
      <c r="Q61" s="30"/>
      <c r="R61" s="257"/>
      <c r="S61" s="214">
        <f>N61</f>
        <v>1.1000000000000001</v>
      </c>
      <c r="T61" s="214"/>
      <c r="U61" s="103"/>
      <c r="V61" s="104"/>
      <c r="W61" s="30"/>
      <c r="X61" s="102"/>
      <c r="Y61" s="103"/>
      <c r="Z61" s="103"/>
      <c r="AA61" s="103"/>
      <c r="AB61" s="104"/>
    </row>
    <row r="62" spans="2:28" ht="12" customHeight="1">
      <c r="C62" s="28"/>
      <c r="E62" s="183" t="s">
        <v>33</v>
      </c>
      <c r="F62" s="254"/>
      <c r="G62" s="184"/>
      <c r="H62" s="94"/>
      <c r="I62" s="95"/>
      <c r="J62" s="3"/>
      <c r="K62" s="174"/>
      <c r="L62" s="226"/>
      <c r="M62" s="30"/>
      <c r="N62" s="177"/>
      <c r="O62" s="32"/>
      <c r="P62" s="96"/>
      <c r="Q62" s="30"/>
      <c r="R62" s="257"/>
      <c r="S62" s="214"/>
      <c r="T62" s="214"/>
      <c r="U62" s="103"/>
      <c r="V62" s="104"/>
      <c r="W62" s="30"/>
      <c r="X62" s="102"/>
      <c r="Y62" s="103"/>
      <c r="Z62" s="103"/>
      <c r="AA62" s="103"/>
      <c r="AB62" s="104"/>
    </row>
    <row r="63" spans="2:28" ht="12" customHeight="1">
      <c r="C63" s="28"/>
      <c r="E63" s="107" t="s">
        <v>35</v>
      </c>
      <c r="F63" s="248" t="s">
        <v>36</v>
      </c>
      <c r="G63" s="185"/>
      <c r="H63" s="94" t="s">
        <v>25</v>
      </c>
      <c r="I63" s="159">
        <v>1</v>
      </c>
      <c r="J63" s="3"/>
      <c r="K63" s="174">
        <v>1</v>
      </c>
      <c r="L63" s="226"/>
      <c r="M63" s="30"/>
      <c r="N63" s="177">
        <f>I63*K63</f>
        <v>1</v>
      </c>
      <c r="O63" s="32"/>
      <c r="P63" s="96"/>
      <c r="Q63" s="30"/>
      <c r="R63" s="257">
        <f>1*N63</f>
        <v>1</v>
      </c>
      <c r="S63" s="214"/>
      <c r="T63" s="214"/>
      <c r="U63" s="103"/>
      <c r="V63" s="104"/>
      <c r="W63" s="30"/>
      <c r="X63" s="102"/>
      <c r="Y63" s="103"/>
      <c r="Z63" s="103"/>
      <c r="AA63" s="103"/>
      <c r="AB63" s="104"/>
    </row>
    <row r="64" spans="2:28" ht="12" customHeight="1">
      <c r="C64" s="28"/>
      <c r="E64" s="107" t="s">
        <v>37</v>
      </c>
      <c r="F64" s="248" t="s">
        <v>32</v>
      </c>
      <c r="G64" s="184"/>
      <c r="H64" s="94" t="s">
        <v>25</v>
      </c>
      <c r="I64" s="95">
        <v>1</v>
      </c>
      <c r="J64" s="3"/>
      <c r="K64" s="174">
        <v>1</v>
      </c>
      <c r="L64" s="226"/>
      <c r="M64" s="30"/>
      <c r="N64" s="178">
        <f>I64*K64</f>
        <v>1</v>
      </c>
      <c r="O64" s="32"/>
      <c r="P64" s="96"/>
      <c r="Q64" s="30"/>
      <c r="R64" s="257">
        <f t="shared" ref="R64:R67" si="2">1*N64</f>
        <v>1</v>
      </c>
      <c r="S64" s="214"/>
      <c r="T64" s="214"/>
      <c r="U64" s="103"/>
      <c r="V64" s="104"/>
      <c r="W64" s="30"/>
      <c r="X64" s="102"/>
      <c r="Y64" s="103"/>
      <c r="Z64" s="103"/>
      <c r="AA64" s="103"/>
      <c r="AB64" s="104"/>
    </row>
    <row r="65" spans="2:28" ht="12" customHeight="1">
      <c r="C65" s="28"/>
      <c r="E65" s="107" t="s">
        <v>39</v>
      </c>
      <c r="F65" s="248" t="s">
        <v>40</v>
      </c>
      <c r="G65" s="184"/>
      <c r="H65" s="94" t="s">
        <v>25</v>
      </c>
      <c r="I65" s="95">
        <v>1</v>
      </c>
      <c r="J65" s="3"/>
      <c r="K65" s="174">
        <v>1</v>
      </c>
      <c r="L65" s="226"/>
      <c r="M65" s="30"/>
      <c r="N65" s="178">
        <f>I65*K65</f>
        <v>1</v>
      </c>
      <c r="O65" s="32"/>
      <c r="P65" s="96"/>
      <c r="Q65" s="30"/>
      <c r="R65" s="257">
        <f t="shared" si="2"/>
        <v>1</v>
      </c>
      <c r="S65" s="214"/>
      <c r="T65" s="214"/>
      <c r="U65" s="103"/>
      <c r="V65" s="104"/>
      <c r="W65" s="30"/>
      <c r="X65" s="102"/>
      <c r="Y65" s="103"/>
      <c r="Z65" s="103"/>
      <c r="AA65" s="103"/>
      <c r="AB65" s="104"/>
    </row>
    <row r="66" spans="2:28" ht="12" customHeight="1">
      <c r="C66" s="28"/>
      <c r="E66" s="107" t="s">
        <v>38</v>
      </c>
      <c r="F66" s="248" t="s">
        <v>74</v>
      </c>
      <c r="G66" s="184"/>
      <c r="H66" s="94" t="s">
        <v>18</v>
      </c>
      <c r="I66" s="95">
        <v>2</v>
      </c>
      <c r="J66" s="3"/>
      <c r="K66" s="174">
        <v>1</v>
      </c>
      <c r="L66" s="226"/>
      <c r="M66" s="30"/>
      <c r="N66" s="178">
        <f>I66*K66</f>
        <v>2</v>
      </c>
      <c r="O66" s="32"/>
      <c r="P66" s="96"/>
      <c r="Q66" s="30"/>
      <c r="R66" s="257">
        <f t="shared" si="2"/>
        <v>2</v>
      </c>
      <c r="S66" s="214"/>
      <c r="T66" s="214"/>
      <c r="U66" s="103"/>
      <c r="V66" s="104"/>
      <c r="W66" s="30"/>
      <c r="X66" s="102"/>
      <c r="Y66" s="103"/>
      <c r="Z66" s="103"/>
      <c r="AA66" s="103"/>
      <c r="AB66" s="104"/>
    </row>
    <row r="67" spans="2:28" ht="12" customHeight="1">
      <c r="C67" s="28"/>
      <c r="E67" s="107" t="s">
        <v>47</v>
      </c>
      <c r="F67" s="255"/>
      <c r="G67" s="184"/>
      <c r="H67" s="94" t="s">
        <v>25</v>
      </c>
      <c r="I67" s="43">
        <v>0.25</v>
      </c>
      <c r="J67" s="3"/>
      <c r="K67" s="174">
        <v>1</v>
      </c>
      <c r="L67" s="226"/>
      <c r="M67" s="30"/>
      <c r="N67" s="178">
        <f>I67*K67</f>
        <v>0.25</v>
      </c>
      <c r="O67" s="32"/>
      <c r="P67" s="96"/>
      <c r="Q67" s="30"/>
      <c r="R67" s="257">
        <f t="shared" si="2"/>
        <v>0.25</v>
      </c>
      <c r="S67" s="214"/>
      <c r="T67" s="214"/>
      <c r="U67" s="103"/>
      <c r="V67" s="104"/>
      <c r="W67" s="30"/>
      <c r="X67" s="102"/>
      <c r="Y67" s="103"/>
      <c r="Z67" s="103"/>
      <c r="AA67" s="103"/>
      <c r="AB67" s="104"/>
    </row>
    <row r="68" spans="2:28" ht="12" customHeight="1">
      <c r="C68" s="28"/>
      <c r="E68" s="188" t="s">
        <v>34</v>
      </c>
      <c r="F68" s="191"/>
      <c r="G68" s="184"/>
      <c r="H68" s="94"/>
      <c r="I68" s="43"/>
      <c r="J68" s="3"/>
      <c r="K68" s="174"/>
      <c r="L68" s="226"/>
      <c r="M68" s="30"/>
      <c r="N68" s="178"/>
      <c r="O68" s="32"/>
      <c r="P68" s="96"/>
      <c r="Q68" s="30"/>
      <c r="R68" s="257"/>
      <c r="S68" s="214"/>
      <c r="T68" s="214"/>
      <c r="U68" s="103"/>
      <c r="V68" s="104"/>
      <c r="W68" s="30"/>
      <c r="X68" s="102"/>
      <c r="Y68" s="103"/>
      <c r="Z68" s="103"/>
      <c r="AA68" s="103"/>
      <c r="AB68" s="104"/>
    </row>
    <row r="69" spans="2:28" ht="12" customHeight="1">
      <c r="C69" s="28"/>
      <c r="E69" s="107" t="s">
        <v>118</v>
      </c>
      <c r="F69" s="249" t="s">
        <v>136</v>
      </c>
      <c r="G69" s="184"/>
      <c r="H69" s="94" t="s">
        <v>18</v>
      </c>
      <c r="I69" s="43">
        <v>7</v>
      </c>
      <c r="J69" s="3"/>
      <c r="K69" s="174">
        <v>1</v>
      </c>
      <c r="L69" s="226"/>
      <c r="M69" s="30"/>
      <c r="N69" s="178">
        <f>I69*K69</f>
        <v>7</v>
      </c>
      <c r="O69" s="32"/>
      <c r="P69" s="96"/>
      <c r="Q69" s="30"/>
      <c r="R69" s="257">
        <f>0.1*N69</f>
        <v>0.70000000000000007</v>
      </c>
      <c r="S69" s="214">
        <f t="shared" ref="S69:S74" si="3">0.5*N69</f>
        <v>3.5</v>
      </c>
      <c r="T69" s="214">
        <f>0.4*N69</f>
        <v>2.8000000000000003</v>
      </c>
      <c r="U69" s="103"/>
      <c r="V69" s="104"/>
      <c r="W69" s="30"/>
      <c r="X69" s="102"/>
      <c r="Y69" s="103"/>
      <c r="Z69" s="103"/>
      <c r="AA69" s="103"/>
      <c r="AB69" s="104"/>
    </row>
    <row r="70" spans="2:28" ht="12" customHeight="1">
      <c r="C70" s="28"/>
      <c r="E70" s="107" t="s">
        <v>137</v>
      </c>
      <c r="F70" s="249" t="s">
        <v>138</v>
      </c>
      <c r="G70" s="184"/>
      <c r="H70" s="94" t="s">
        <v>18</v>
      </c>
      <c r="I70" s="43"/>
      <c r="J70" s="3"/>
      <c r="K70" s="200"/>
      <c r="L70" s="230" t="s">
        <v>75</v>
      </c>
      <c r="M70" s="30"/>
      <c r="N70" s="177">
        <f>I70*K70</f>
        <v>0</v>
      </c>
      <c r="O70" s="32"/>
      <c r="P70" s="96"/>
      <c r="Q70" s="30"/>
      <c r="R70" s="257">
        <f t="shared" ref="R70:R74" si="4">0.1*N70</f>
        <v>0</v>
      </c>
      <c r="S70" s="214">
        <f t="shared" si="3"/>
        <v>0</v>
      </c>
      <c r="T70" s="214">
        <f t="shared" ref="T70:T74" si="5">0.4*N70</f>
        <v>0</v>
      </c>
      <c r="U70" s="103"/>
      <c r="V70" s="104"/>
      <c r="W70" s="30"/>
      <c r="X70" s="102"/>
      <c r="Y70" s="103"/>
      <c r="Z70" s="103"/>
      <c r="AA70" s="103"/>
      <c r="AB70" s="104"/>
    </row>
    <row r="71" spans="2:28" ht="12" customHeight="1">
      <c r="C71" s="28"/>
      <c r="E71" s="107" t="s">
        <v>44</v>
      </c>
      <c r="F71" s="247" t="s">
        <v>46</v>
      </c>
      <c r="G71" s="184"/>
      <c r="H71" s="94" t="s">
        <v>18</v>
      </c>
      <c r="I71" s="43">
        <v>65</v>
      </c>
      <c r="J71" s="3"/>
      <c r="K71" s="174">
        <v>1</v>
      </c>
      <c r="L71" s="226"/>
      <c r="M71" s="30"/>
      <c r="N71" s="177">
        <f>I71*K71</f>
        <v>65</v>
      </c>
      <c r="O71" s="32"/>
      <c r="P71" s="96"/>
      <c r="Q71" s="30"/>
      <c r="R71" s="257">
        <f t="shared" si="4"/>
        <v>6.5</v>
      </c>
      <c r="S71" s="214">
        <f t="shared" si="3"/>
        <v>32.5</v>
      </c>
      <c r="T71" s="214">
        <f t="shared" si="5"/>
        <v>26</v>
      </c>
      <c r="U71" s="103"/>
      <c r="V71" s="104"/>
      <c r="W71" s="30"/>
      <c r="X71" s="102"/>
      <c r="Y71" s="103"/>
      <c r="Z71" s="103"/>
      <c r="AA71" s="103"/>
      <c r="AB71" s="104"/>
    </row>
    <row r="72" spans="2:28" ht="12" customHeight="1">
      <c r="C72" s="28"/>
      <c r="E72" s="107"/>
      <c r="F72" s="247" t="s">
        <v>45</v>
      </c>
      <c r="G72" s="184"/>
      <c r="H72" s="94" t="s">
        <v>18</v>
      </c>
      <c r="I72" s="43">
        <v>0.12</v>
      </c>
      <c r="J72" s="3"/>
      <c r="K72" s="200">
        <f>36*8</f>
        <v>288</v>
      </c>
      <c r="L72" s="230" t="s">
        <v>75</v>
      </c>
      <c r="M72" s="30"/>
      <c r="N72" s="177">
        <f>I72*K72</f>
        <v>34.56</v>
      </c>
      <c r="O72" s="32"/>
      <c r="P72" s="96"/>
      <c r="Q72" s="30"/>
      <c r="R72" s="257">
        <f t="shared" si="4"/>
        <v>3.4560000000000004</v>
      </c>
      <c r="S72" s="214">
        <f t="shared" si="3"/>
        <v>17.28</v>
      </c>
      <c r="T72" s="214">
        <f t="shared" si="5"/>
        <v>13.824000000000002</v>
      </c>
      <c r="U72" s="103"/>
      <c r="V72" s="104"/>
      <c r="W72" s="30"/>
      <c r="X72" s="102"/>
      <c r="Y72" s="103"/>
      <c r="Z72" s="103"/>
      <c r="AA72" s="103"/>
      <c r="AB72" s="104"/>
    </row>
    <row r="73" spans="2:28" ht="12" customHeight="1">
      <c r="C73" s="28"/>
      <c r="E73" s="107" t="s">
        <v>48</v>
      </c>
      <c r="F73" s="247" t="s">
        <v>166</v>
      </c>
      <c r="G73" s="184"/>
      <c r="H73" s="94"/>
      <c r="I73" s="43">
        <v>0.12</v>
      </c>
      <c r="J73" s="3"/>
      <c r="K73" s="200">
        <f>30*12</f>
        <v>360</v>
      </c>
      <c r="L73" s="230" t="s">
        <v>75</v>
      </c>
      <c r="M73" s="30"/>
      <c r="N73" s="177">
        <f>I73*K73</f>
        <v>43.199999999999996</v>
      </c>
      <c r="O73" s="32"/>
      <c r="P73" s="96"/>
      <c r="Q73" s="30"/>
      <c r="R73" s="257">
        <f t="shared" si="4"/>
        <v>4.3199999999999994</v>
      </c>
      <c r="S73" s="214">
        <f t="shared" si="3"/>
        <v>21.599999999999998</v>
      </c>
      <c r="T73" s="214">
        <f t="shared" si="5"/>
        <v>17.279999999999998</v>
      </c>
      <c r="U73" s="103"/>
      <c r="V73" s="104"/>
      <c r="W73" s="30"/>
      <c r="X73" s="102"/>
      <c r="Y73" s="103"/>
      <c r="Z73" s="103"/>
      <c r="AA73" s="103"/>
      <c r="AB73" s="104"/>
    </row>
    <row r="74" spans="2:28" ht="12" customHeight="1">
      <c r="C74" s="28"/>
      <c r="E74" s="189" t="s">
        <v>59</v>
      </c>
      <c r="F74" s="256" t="s">
        <v>139</v>
      </c>
      <c r="G74" s="190"/>
      <c r="H74" s="94"/>
      <c r="I74" s="43"/>
      <c r="J74" s="3"/>
      <c r="K74" s="175"/>
      <c r="L74" s="231"/>
      <c r="M74" s="30"/>
      <c r="N74" s="234">
        <f>SUM(N57:N73)*0.1</f>
        <v>17.298500000000001</v>
      </c>
      <c r="O74" s="32"/>
      <c r="P74" s="109"/>
      <c r="Q74" s="30"/>
      <c r="R74" s="258">
        <f t="shared" si="4"/>
        <v>1.7298500000000001</v>
      </c>
      <c r="S74" s="259">
        <f t="shared" si="3"/>
        <v>8.6492500000000003</v>
      </c>
      <c r="T74" s="259">
        <f t="shared" si="5"/>
        <v>6.9194000000000004</v>
      </c>
      <c r="U74" s="111"/>
      <c r="V74" s="112"/>
      <c r="W74" s="30"/>
      <c r="X74" s="110"/>
      <c r="Y74" s="111"/>
      <c r="Z74" s="111"/>
      <c r="AA74" s="111"/>
      <c r="AB74" s="112"/>
    </row>
    <row r="75" spans="2:28" ht="4" customHeight="1">
      <c r="E75" s="3"/>
      <c r="J75" s="3"/>
    </row>
    <row r="76" spans="2:28" ht="15" customHeight="1">
      <c r="F76" s="113" t="s">
        <v>19</v>
      </c>
      <c r="G76" s="114"/>
      <c r="H76" s="114"/>
      <c r="I76" s="85"/>
      <c r="K76" s="22"/>
      <c r="L76" s="207"/>
      <c r="M76" s="20"/>
      <c r="N76" s="179">
        <f>SUM(N57:N74)</f>
        <v>190.28349999999998</v>
      </c>
      <c r="O76" s="20"/>
      <c r="P76" s="22"/>
      <c r="Q76" s="20"/>
      <c r="R76" s="180">
        <f>SUM(R58:R74)</f>
        <v>24.080849999999998</v>
      </c>
      <c r="S76" s="181">
        <f>SUM(S58:S74)</f>
        <v>92.879249999999999</v>
      </c>
      <c r="T76" s="181">
        <f>SUM(T58:T74)</f>
        <v>66.823399999999992</v>
      </c>
      <c r="U76" s="182">
        <f>SUM(U58:U74)</f>
        <v>0</v>
      </c>
      <c r="V76" s="180">
        <f>SUM(V58:V74)</f>
        <v>0</v>
      </c>
      <c r="W76" s="115"/>
      <c r="X76" s="160">
        <f>SUM(X58:X74)</f>
        <v>0</v>
      </c>
      <c r="Y76" s="161">
        <f>SUM(Y58:Y74)</f>
        <v>0</v>
      </c>
      <c r="Z76" s="161">
        <f>SUM(Z58:Z74)</f>
        <v>0</v>
      </c>
      <c r="AA76" s="161">
        <f>SUM(AA58:AA74)</f>
        <v>0</v>
      </c>
      <c r="AB76" s="161">
        <f>SUM(AB58:AB74)</f>
        <v>0</v>
      </c>
    </row>
    <row r="77" spans="2:28" ht="12" customHeight="1">
      <c r="F77" s="192"/>
      <c r="G77" s="193"/>
      <c r="H77" s="193"/>
      <c r="I77" s="193"/>
      <c r="K77" s="168"/>
      <c r="L77" s="208"/>
      <c r="M77" s="168"/>
      <c r="N77" s="168"/>
      <c r="O77" s="168"/>
      <c r="P77" s="168"/>
      <c r="Q77" s="168"/>
      <c r="R77" s="168"/>
      <c r="S77" s="168"/>
      <c r="T77" s="168"/>
      <c r="U77" s="168"/>
      <c r="V77" s="196"/>
      <c r="W77" s="194"/>
      <c r="X77" s="195"/>
      <c r="Y77" s="195"/>
      <c r="Z77" s="195"/>
      <c r="AA77" s="195"/>
      <c r="AB77" s="195"/>
    </row>
    <row r="78" spans="2:28" ht="15" customHeight="1">
      <c r="B78" s="164" t="s">
        <v>31</v>
      </c>
      <c r="C78" s="6"/>
      <c r="E78" s="116" t="s">
        <v>20</v>
      </c>
    </row>
    <row r="79" spans="2:28" ht="15" customHeight="1">
      <c r="B79" s="6"/>
      <c r="C79" s="263" t="s">
        <v>5</v>
      </c>
      <c r="E79" s="267" t="s">
        <v>125</v>
      </c>
      <c r="F79" s="237"/>
      <c r="G79" s="240"/>
      <c r="K79" s="333" t="s">
        <v>9</v>
      </c>
      <c r="L79" s="334"/>
      <c r="M79" s="334"/>
      <c r="N79" s="335"/>
      <c r="O79" s="24"/>
      <c r="P79" s="68" t="s">
        <v>10</v>
      </c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70"/>
    </row>
    <row r="80" spans="2:28" ht="15" customHeight="1">
      <c r="E80" s="26" t="s">
        <v>21</v>
      </c>
      <c r="F80" s="84" t="s">
        <v>22</v>
      </c>
      <c r="G80" s="85"/>
      <c r="H80" s="73" t="s">
        <v>4</v>
      </c>
      <c r="I80" s="75" t="s">
        <v>23</v>
      </c>
      <c r="K80" s="71"/>
      <c r="M80" s="24"/>
      <c r="N80" s="72" t="s">
        <v>11</v>
      </c>
      <c r="O80" s="24"/>
      <c r="P80" s="73">
        <v>2011</v>
      </c>
      <c r="Q80" s="74"/>
      <c r="R80" s="75">
        <f>P80+1</f>
        <v>2012</v>
      </c>
      <c r="S80" s="75">
        <f>R80+1</f>
        <v>2013</v>
      </c>
      <c r="T80" s="75">
        <f>S80+1</f>
        <v>2014</v>
      </c>
      <c r="U80" s="75">
        <f>T80+1</f>
        <v>2015</v>
      </c>
      <c r="V80" s="75">
        <f>U80+1</f>
        <v>2016</v>
      </c>
      <c r="W80" s="74"/>
      <c r="X80" s="76">
        <f>V80+1</f>
        <v>2017</v>
      </c>
      <c r="Y80" s="76">
        <f>X80+1</f>
        <v>2018</v>
      </c>
      <c r="Z80" s="76">
        <f>Y80+1</f>
        <v>2019</v>
      </c>
      <c r="AA80" s="76">
        <f>Z80+1</f>
        <v>2020</v>
      </c>
      <c r="AB80" s="76">
        <f>AA80+1</f>
        <v>2021</v>
      </c>
    </row>
    <row r="81" spans="2:28" ht="4" customHeight="1"/>
    <row r="82" spans="2:28" ht="12" customHeight="1">
      <c r="C82" s="28"/>
      <c r="E82" s="77" t="s">
        <v>3</v>
      </c>
      <c r="F82" s="197" t="s">
        <v>224</v>
      </c>
      <c r="G82" s="117"/>
      <c r="H82" s="73"/>
      <c r="I82" s="75"/>
      <c r="J82" s="3"/>
      <c r="K82" s="87"/>
      <c r="L82" s="204"/>
      <c r="M82" s="30"/>
      <c r="N82" s="176">
        <f>N53</f>
        <v>102.89999999999999</v>
      </c>
      <c r="O82" s="32"/>
      <c r="P82" s="88"/>
      <c r="Q82" s="30"/>
      <c r="R82" s="89">
        <f>R53</f>
        <v>5.5</v>
      </c>
      <c r="S82" s="89">
        <f>S53</f>
        <v>97.399999999999991</v>
      </c>
      <c r="T82" s="89">
        <f>T53</f>
        <v>0</v>
      </c>
      <c r="U82" s="89">
        <f>U53</f>
        <v>0</v>
      </c>
      <c r="V82" s="220">
        <f>V53</f>
        <v>0</v>
      </c>
      <c r="X82" s="199"/>
      <c r="Y82" s="118"/>
      <c r="Z82" s="118"/>
      <c r="AA82" s="118"/>
      <c r="AB82" s="119"/>
    </row>
    <row r="83" spans="2:28" ht="12" customHeight="1">
      <c r="C83" s="28"/>
      <c r="E83" s="105" t="s">
        <v>218</v>
      </c>
      <c r="F83" s="41" t="s">
        <v>221</v>
      </c>
      <c r="G83" s="100"/>
      <c r="H83" s="94"/>
      <c r="I83" s="43"/>
      <c r="J83" s="3"/>
      <c r="K83" s="101"/>
      <c r="L83" s="204"/>
      <c r="M83" s="30"/>
      <c r="N83" s="178">
        <f>N57</f>
        <v>6.5</v>
      </c>
      <c r="O83" s="32"/>
      <c r="P83" s="96"/>
      <c r="Q83" s="30"/>
      <c r="R83" s="157">
        <f>R57</f>
        <v>0</v>
      </c>
      <c r="S83" s="157">
        <f t="shared" ref="S83:V83" si="6">S57</f>
        <v>6.5</v>
      </c>
      <c r="T83" s="157">
        <f t="shared" si="6"/>
        <v>0</v>
      </c>
      <c r="U83" s="157">
        <f t="shared" si="6"/>
        <v>0</v>
      </c>
      <c r="V83" s="157">
        <f t="shared" si="6"/>
        <v>0</v>
      </c>
      <c r="W83" s="30"/>
      <c r="X83" s="102"/>
      <c r="Y83" s="103"/>
      <c r="Z83" s="103"/>
      <c r="AA83" s="103"/>
      <c r="AB83" s="104"/>
    </row>
    <row r="84" spans="2:28" ht="12" customHeight="1">
      <c r="C84" s="28"/>
      <c r="E84" s="105" t="s">
        <v>29</v>
      </c>
      <c r="F84" s="41" t="s">
        <v>220</v>
      </c>
      <c r="G84" s="100"/>
      <c r="H84" s="94"/>
      <c r="I84" s="43"/>
      <c r="J84" s="3"/>
      <c r="K84" s="101"/>
      <c r="L84" s="204"/>
      <c r="M84" s="30"/>
      <c r="N84" s="178">
        <f>SUM(N58:N61)</f>
        <v>11.475</v>
      </c>
      <c r="O84" s="32"/>
      <c r="P84" s="96"/>
      <c r="Q84" s="30"/>
      <c r="R84" s="157">
        <f>SUM(R58:R61)</f>
        <v>2.125</v>
      </c>
      <c r="S84" s="157">
        <f t="shared" ref="S84:V84" si="7">SUM(S58:S61)</f>
        <v>9.35</v>
      </c>
      <c r="T84" s="157">
        <f t="shared" si="7"/>
        <v>0</v>
      </c>
      <c r="U84" s="157">
        <f t="shared" si="7"/>
        <v>0</v>
      </c>
      <c r="V84" s="157">
        <f t="shared" si="7"/>
        <v>0</v>
      </c>
      <c r="W84" s="30"/>
      <c r="X84" s="102"/>
      <c r="Y84" s="103"/>
      <c r="Z84" s="103"/>
      <c r="AA84" s="103"/>
      <c r="AB84" s="104"/>
    </row>
    <row r="85" spans="2:28" ht="12" customHeight="1">
      <c r="C85" s="28"/>
      <c r="E85" s="105" t="s">
        <v>49</v>
      </c>
      <c r="F85" s="41" t="s">
        <v>50</v>
      </c>
      <c r="G85" s="100"/>
      <c r="H85" s="94"/>
      <c r="I85" s="43"/>
      <c r="J85" s="3"/>
      <c r="K85" s="101"/>
      <c r="L85" s="204"/>
      <c r="M85" s="30"/>
      <c r="N85" s="178">
        <f>SUM(N63:N67)</f>
        <v>5.25</v>
      </c>
      <c r="O85" s="32"/>
      <c r="P85" s="96"/>
      <c r="Q85" s="30"/>
      <c r="R85" s="178">
        <f>SUM(R63:R67)</f>
        <v>5.25</v>
      </c>
      <c r="S85" s="178">
        <f t="shared" ref="S85:V85" si="8">SUM(S63:S67)</f>
        <v>0</v>
      </c>
      <c r="T85" s="178">
        <f t="shared" si="8"/>
        <v>0</v>
      </c>
      <c r="U85" s="178">
        <f t="shared" si="8"/>
        <v>0</v>
      </c>
      <c r="V85" s="178">
        <f t="shared" si="8"/>
        <v>0</v>
      </c>
      <c r="W85" s="30"/>
      <c r="X85" s="102"/>
      <c r="Y85" s="103"/>
      <c r="Z85" s="103"/>
      <c r="AA85" s="103"/>
      <c r="AB85" s="104"/>
    </row>
    <row r="86" spans="2:28" ht="12" customHeight="1">
      <c r="C86" s="28"/>
      <c r="E86" s="105" t="s">
        <v>52</v>
      </c>
      <c r="F86" s="41" t="s">
        <v>51</v>
      </c>
      <c r="G86" s="100"/>
      <c r="H86" s="94"/>
      <c r="I86" s="43"/>
      <c r="J86" s="3"/>
      <c r="K86" s="101"/>
      <c r="L86" s="204"/>
      <c r="M86" s="30"/>
      <c r="N86" s="178">
        <f>SUM(N69:N70)</f>
        <v>7</v>
      </c>
      <c r="O86" s="32"/>
      <c r="P86" s="96"/>
      <c r="Q86" s="30"/>
      <c r="R86" s="178">
        <f>SUM(R69:R70)</f>
        <v>0.70000000000000007</v>
      </c>
      <c r="S86" s="178">
        <f t="shared" ref="S86:V86" si="9">SUM(S69:S70)</f>
        <v>3.5</v>
      </c>
      <c r="T86" s="178">
        <f t="shared" si="9"/>
        <v>2.8000000000000003</v>
      </c>
      <c r="U86" s="178">
        <f t="shared" si="9"/>
        <v>0</v>
      </c>
      <c r="V86" s="178">
        <f t="shared" si="9"/>
        <v>0</v>
      </c>
      <c r="W86" s="30"/>
      <c r="X86" s="102"/>
      <c r="Y86" s="103"/>
      <c r="Z86" s="103"/>
      <c r="AA86" s="103"/>
      <c r="AB86" s="104"/>
    </row>
    <row r="87" spans="2:28" ht="12" customHeight="1">
      <c r="C87" s="28"/>
      <c r="E87" s="105" t="s">
        <v>53</v>
      </c>
      <c r="F87" s="41" t="s">
        <v>54</v>
      </c>
      <c r="G87" s="100"/>
      <c r="H87" s="94"/>
      <c r="I87" s="43"/>
      <c r="J87" s="3"/>
      <c r="K87" s="101"/>
      <c r="L87" s="204"/>
      <c r="M87" s="30"/>
      <c r="N87" s="178">
        <f>SUM(N71:N72)</f>
        <v>99.56</v>
      </c>
      <c r="O87" s="32"/>
      <c r="P87" s="96"/>
      <c r="Q87" s="30"/>
      <c r="R87" s="178">
        <f>SUM(R71:R72)</f>
        <v>9.9559999999999995</v>
      </c>
      <c r="S87" s="178">
        <f t="shared" ref="S87:V87" si="10">SUM(S71:S72)</f>
        <v>49.78</v>
      </c>
      <c r="T87" s="178">
        <f t="shared" si="10"/>
        <v>39.823999999999998</v>
      </c>
      <c r="U87" s="178">
        <f t="shared" si="10"/>
        <v>0</v>
      </c>
      <c r="V87" s="178">
        <f t="shared" si="10"/>
        <v>0</v>
      </c>
      <c r="W87" s="30"/>
      <c r="X87" s="102"/>
      <c r="Y87" s="103"/>
      <c r="Z87" s="103"/>
      <c r="AA87" s="103"/>
      <c r="AB87" s="104"/>
    </row>
    <row r="88" spans="2:28" ht="12" customHeight="1">
      <c r="C88" s="28"/>
      <c r="E88" s="105" t="s">
        <v>55</v>
      </c>
      <c r="F88" s="41" t="s">
        <v>165</v>
      </c>
      <c r="G88" s="100"/>
      <c r="H88" s="94"/>
      <c r="I88" s="43"/>
      <c r="J88" s="3"/>
      <c r="K88" s="101"/>
      <c r="L88" s="204"/>
      <c r="M88" s="30"/>
      <c r="N88" s="178">
        <f>SUM(N73:N73)</f>
        <v>43.199999999999996</v>
      </c>
      <c r="O88" s="32"/>
      <c r="P88" s="96"/>
      <c r="Q88" s="30"/>
      <c r="R88" s="178">
        <f>SUM(R73:R73)</f>
        <v>4.3199999999999994</v>
      </c>
      <c r="S88" s="178">
        <f>SUM(S73:S73)</f>
        <v>21.599999999999998</v>
      </c>
      <c r="T88" s="178">
        <f>SUM(T73:T73)</f>
        <v>17.279999999999998</v>
      </c>
      <c r="U88" s="178">
        <f>SUM(U73:U73)</f>
        <v>0</v>
      </c>
      <c r="V88" s="178">
        <f>SUM(V73:V73)</f>
        <v>0</v>
      </c>
      <c r="W88" s="30"/>
      <c r="X88" s="102"/>
      <c r="Y88" s="103"/>
      <c r="Z88" s="103"/>
      <c r="AA88" s="103"/>
      <c r="AB88" s="104"/>
    </row>
    <row r="89" spans="2:28" ht="12" customHeight="1">
      <c r="C89" s="28"/>
      <c r="E89" s="108" t="s">
        <v>59</v>
      </c>
      <c r="F89" s="256" t="s">
        <v>139</v>
      </c>
      <c r="G89" s="120"/>
      <c r="H89" s="94"/>
      <c r="I89" s="43"/>
      <c r="J89" s="3"/>
      <c r="K89" s="121"/>
      <c r="L89" s="204"/>
      <c r="M89" s="30"/>
      <c r="N89" s="234">
        <f>N74</f>
        <v>17.298500000000001</v>
      </c>
      <c r="O89" s="32"/>
      <c r="P89" s="109"/>
      <c r="Q89" s="30"/>
      <c r="R89" s="163">
        <f t="shared" ref="R89:V89" si="11">R74</f>
        <v>1.7298500000000001</v>
      </c>
      <c r="S89" s="163">
        <f t="shared" si="11"/>
        <v>8.6492500000000003</v>
      </c>
      <c r="T89" s="163">
        <f t="shared" si="11"/>
        <v>6.9194000000000004</v>
      </c>
      <c r="U89" s="163">
        <f t="shared" si="11"/>
        <v>0</v>
      </c>
      <c r="V89" s="163">
        <f t="shared" si="11"/>
        <v>0</v>
      </c>
      <c r="W89" s="30"/>
      <c r="X89" s="218"/>
      <c r="Y89" s="111"/>
      <c r="Z89" s="111"/>
      <c r="AA89" s="111"/>
      <c r="AB89" s="112"/>
    </row>
    <row r="90" spans="2:28" ht="4" customHeight="1">
      <c r="E90" s="3"/>
      <c r="J90" s="3"/>
    </row>
    <row r="91" spans="2:28" ht="15" customHeight="1">
      <c r="F91" s="122" t="s">
        <v>24</v>
      </c>
      <c r="G91" s="114"/>
      <c r="H91" s="114"/>
      <c r="I91" s="85"/>
      <c r="K91" s="22"/>
      <c r="L91" s="207"/>
      <c r="M91" s="20"/>
      <c r="N91" s="162">
        <f>SUM(N82:N89)</f>
        <v>293.18349999999998</v>
      </c>
      <c r="O91" s="20"/>
      <c r="P91" s="22"/>
      <c r="Q91" s="20"/>
      <c r="R91" s="198">
        <f>SUM(R82:R89)</f>
        <v>29.580849999999998</v>
      </c>
      <c r="S91" s="198">
        <f>SUM(S82:S89)</f>
        <v>196.77924999999996</v>
      </c>
      <c r="T91" s="198">
        <f>SUM(T82:T89)</f>
        <v>66.823399999999992</v>
      </c>
      <c r="U91" s="198">
        <f>SUM(U82:U89)</f>
        <v>0</v>
      </c>
      <c r="V91" s="198">
        <f>SUM(V82:V89)</f>
        <v>0</v>
      </c>
      <c r="W91" s="115"/>
      <c r="X91" s="160">
        <f>SUM(X82:X89)</f>
        <v>0</v>
      </c>
      <c r="Y91" s="160">
        <f>SUM(Y82:Y89)</f>
        <v>0</v>
      </c>
      <c r="Z91" s="160">
        <f>SUM(Z82:Z89)</f>
        <v>0</v>
      </c>
      <c r="AA91" s="160">
        <f>SUM(AA82:AA89)</f>
        <v>0</v>
      </c>
      <c r="AB91" s="160">
        <f>SUM(AB82:AB89)</f>
        <v>0</v>
      </c>
    </row>
    <row r="92" spans="2:28" ht="10" customHeight="1">
      <c r="F92" s="250"/>
      <c r="G92" s="193"/>
      <c r="H92" s="193"/>
      <c r="I92" s="193"/>
      <c r="K92" s="16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195"/>
      <c r="Z92" s="195"/>
      <c r="AA92" s="195"/>
      <c r="AB92" s="195"/>
    </row>
    <row r="93" spans="2:28" ht="12" customHeight="1" thickBot="1">
      <c r="F93" s="250"/>
      <c r="G93" s="193"/>
      <c r="H93" s="193"/>
      <c r="I93" s="193"/>
      <c r="K93" s="16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195"/>
      <c r="Z93" s="195"/>
      <c r="AA93" s="195"/>
      <c r="AB93" s="195"/>
    </row>
    <row r="94" spans="2:28" ht="18" customHeight="1" thickBot="1">
      <c r="B94" s="315" t="s">
        <v>77</v>
      </c>
      <c r="C94" s="316"/>
      <c r="D94" s="316"/>
      <c r="E94" s="316"/>
      <c r="F94" s="316"/>
      <c r="G94" s="316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  <c r="AB94" s="317"/>
    </row>
    <row r="95" spans="2:28" ht="10" customHeight="1" thickBot="1"/>
    <row r="96" spans="2:28" ht="15" customHeight="1" thickBot="1">
      <c r="B96" s="164" t="s">
        <v>31</v>
      </c>
      <c r="C96" s="6"/>
      <c r="D96" s="132"/>
      <c r="E96" s="252" t="s">
        <v>30</v>
      </c>
      <c r="F96" s="7"/>
      <c r="G96" s="8"/>
    </row>
    <row r="97" spans="2:29" ht="45" customHeight="1">
      <c r="B97" s="6"/>
      <c r="C97" s="262" t="s">
        <v>143</v>
      </c>
      <c r="D97" s="130"/>
      <c r="E97" s="263" t="s">
        <v>157</v>
      </c>
      <c r="F97" s="268" t="s">
        <v>142</v>
      </c>
      <c r="G97" s="11"/>
    </row>
    <row r="98" spans="2:29" ht="15" customHeight="1">
      <c r="B98" s="6"/>
      <c r="C98" s="6"/>
      <c r="D98" s="132"/>
      <c r="E98" s="12"/>
      <c r="F98" s="26" t="s">
        <v>159</v>
      </c>
      <c r="G98" s="11"/>
      <c r="H98" s="138"/>
      <c r="I98" s="11"/>
    </row>
    <row r="99" spans="2:29" ht="12" customHeight="1">
      <c r="B99" s="6"/>
      <c r="C99" s="6"/>
      <c r="D99" s="132"/>
      <c r="E99" s="12"/>
      <c r="F99" s="13" t="s">
        <v>7</v>
      </c>
      <c r="G99" s="14">
        <v>2014</v>
      </c>
      <c r="P99" s="137">
        <v>2011</v>
      </c>
      <c r="Q99" s="138"/>
      <c r="R99" s="137">
        <f>P99+1</f>
        <v>2012</v>
      </c>
      <c r="S99" s="137">
        <f>R99+1</f>
        <v>2013</v>
      </c>
      <c r="T99" s="137">
        <f>S99+1</f>
        <v>2014</v>
      </c>
      <c r="U99" s="137">
        <f>T99+1</f>
        <v>2015</v>
      </c>
      <c r="V99" s="137">
        <f>U99+1</f>
        <v>2016</v>
      </c>
      <c r="W99" s="138"/>
      <c r="X99" s="139">
        <f>V99+1</f>
        <v>2017</v>
      </c>
      <c r="Y99" s="139">
        <f>X99+1</f>
        <v>2018</v>
      </c>
      <c r="Z99" s="139">
        <f>Y99+1</f>
        <v>2019</v>
      </c>
      <c r="AA99" s="139">
        <f>Z99+1</f>
        <v>2020</v>
      </c>
      <c r="AB99" s="139">
        <f>AA99+1</f>
        <v>2021</v>
      </c>
    </row>
    <row r="100" spans="2:29" ht="12" customHeight="1">
      <c r="F100" s="1"/>
      <c r="G100" s="209" t="s">
        <v>68</v>
      </c>
      <c r="H100" s="18"/>
      <c r="I100" s="18"/>
      <c r="K100" s="19"/>
      <c r="L100" s="203"/>
      <c r="M100" s="20"/>
      <c r="N100" s="21" t="s">
        <v>0</v>
      </c>
      <c r="O100" s="20"/>
      <c r="P100" s="22"/>
      <c r="Q100" s="20"/>
      <c r="R100" s="140"/>
      <c r="S100" s="141"/>
      <c r="T100" s="142">
        <v>23.7</v>
      </c>
      <c r="U100" s="140">
        <v>33.799999999999997</v>
      </c>
      <c r="V100" s="143">
        <v>30.5</v>
      </c>
      <c r="W100" s="23"/>
      <c r="X100" s="144">
        <v>28.3</v>
      </c>
      <c r="Y100" s="144">
        <v>25.700000000000003</v>
      </c>
      <c r="Z100" s="144">
        <v>19.100000000000001</v>
      </c>
      <c r="AA100" s="144">
        <v>15.1</v>
      </c>
      <c r="AB100" s="144">
        <v>15.1</v>
      </c>
    </row>
    <row r="101" spans="2:29" ht="12" customHeight="1">
      <c r="F101" s="1"/>
      <c r="G101" s="210" t="s">
        <v>69</v>
      </c>
      <c r="H101" s="18"/>
      <c r="I101" s="18"/>
      <c r="K101" s="19"/>
      <c r="L101" s="203"/>
      <c r="M101" s="20"/>
      <c r="N101" s="21" t="s">
        <v>1</v>
      </c>
      <c r="O101" s="20"/>
      <c r="P101" s="22"/>
      <c r="Q101" s="20"/>
      <c r="R101" s="140"/>
      <c r="S101" s="141"/>
      <c r="T101" s="142">
        <v>11.600000000000001</v>
      </c>
      <c r="U101" s="140">
        <v>16.600000000000001</v>
      </c>
      <c r="V101" s="143">
        <v>15.899999999999999</v>
      </c>
      <c r="W101" s="23"/>
      <c r="X101" s="144">
        <v>15.1</v>
      </c>
      <c r="Y101" s="144">
        <v>14.100000000000001</v>
      </c>
      <c r="Z101" s="144">
        <v>10.600000000000001</v>
      </c>
      <c r="AA101" s="144">
        <v>7.9</v>
      </c>
      <c r="AB101" s="144">
        <v>7.9</v>
      </c>
    </row>
    <row r="102" spans="2:29" ht="10" customHeight="1">
      <c r="F102" s="1"/>
      <c r="G102" s="165"/>
      <c r="H102" s="166"/>
      <c r="I102" s="166"/>
      <c r="K102" s="167"/>
      <c r="L102" s="204"/>
      <c r="M102" s="168"/>
      <c r="N102" s="169"/>
      <c r="O102" s="168"/>
      <c r="P102" s="168"/>
      <c r="Q102" s="168"/>
      <c r="R102" s="170"/>
      <c r="S102" s="170"/>
      <c r="T102" s="170"/>
      <c r="U102" s="170"/>
      <c r="V102" s="170"/>
      <c r="W102" s="171"/>
      <c r="X102" s="172"/>
      <c r="Y102" s="172"/>
      <c r="Z102" s="172"/>
      <c r="AA102" s="172"/>
      <c r="AB102" s="172"/>
    </row>
    <row r="103" spans="2:29" ht="12" customHeight="1">
      <c r="E103" s="26" t="s">
        <v>8</v>
      </c>
      <c r="F103" s="27" t="s">
        <v>27</v>
      </c>
      <c r="O103" s="24"/>
      <c r="P103" s="134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6"/>
    </row>
    <row r="104" spans="2:29" ht="12" customHeight="1">
      <c r="C104" s="25"/>
      <c r="F104" s="1"/>
      <c r="G104" s="5"/>
      <c r="O104" s="24"/>
      <c r="P104" s="15">
        <v>2011</v>
      </c>
      <c r="Q104" s="16"/>
      <c r="R104" s="16">
        <f>P104+1</f>
        <v>2012</v>
      </c>
      <c r="S104" s="16">
        <f>R104+1</f>
        <v>2013</v>
      </c>
      <c r="T104" s="16">
        <f>S104+1</f>
        <v>2014</v>
      </c>
      <c r="U104" s="16">
        <f>T104+1</f>
        <v>2015</v>
      </c>
      <c r="V104" s="16">
        <f>U104+1</f>
        <v>2016</v>
      </c>
      <c r="W104" s="16"/>
      <c r="X104" s="17">
        <f>V104+1</f>
        <v>2017</v>
      </c>
      <c r="Y104" s="17">
        <f>X104+1</f>
        <v>2018</v>
      </c>
      <c r="Z104" s="17">
        <f>Y104+1</f>
        <v>2019</v>
      </c>
      <c r="AA104" s="17">
        <f>Z104+1</f>
        <v>2020</v>
      </c>
      <c r="AB104" s="17">
        <f>AA104+1</f>
        <v>2021</v>
      </c>
      <c r="AC104" s="24"/>
    </row>
    <row r="105" spans="2:29" ht="4" customHeight="1"/>
    <row r="106" spans="2:29" ht="12" customHeight="1">
      <c r="D106" s="242">
        <v>1</v>
      </c>
      <c r="E106" s="125" t="s">
        <v>209</v>
      </c>
      <c r="F106" s="125" t="s">
        <v>210</v>
      </c>
      <c r="G106" s="145"/>
      <c r="H106" s="150"/>
      <c r="I106" s="151"/>
      <c r="J106" s="3"/>
      <c r="K106" s="295">
        <v>4</v>
      </c>
      <c r="L106" s="201"/>
      <c r="M106" s="30"/>
      <c r="N106" s="87"/>
      <c r="O106" s="32"/>
      <c r="P106" s="33"/>
      <c r="Q106" s="30"/>
      <c r="R106" s="34"/>
      <c r="S106" s="35">
        <f>K106</f>
        <v>4</v>
      </c>
      <c r="T106" s="35"/>
      <c r="U106" s="35"/>
      <c r="V106" s="36"/>
      <c r="W106" s="30"/>
      <c r="X106" s="37"/>
      <c r="Y106" s="38"/>
      <c r="Z106" s="38"/>
      <c r="AA106" s="38"/>
      <c r="AB106" s="39"/>
    </row>
    <row r="107" spans="2:29" ht="12" customHeight="1">
      <c r="D107" s="243">
        <v>2</v>
      </c>
      <c r="E107" s="126" t="s">
        <v>222</v>
      </c>
      <c r="F107" s="126" t="s">
        <v>223</v>
      </c>
      <c r="G107" s="146"/>
      <c r="H107" s="152"/>
      <c r="I107" s="153"/>
      <c r="J107" s="3"/>
      <c r="K107" s="296">
        <v>2</v>
      </c>
      <c r="L107" s="201"/>
      <c r="M107" s="30"/>
      <c r="N107" s="101"/>
      <c r="O107" s="32"/>
      <c r="P107" s="45"/>
      <c r="Q107" s="30"/>
      <c r="R107" s="46"/>
      <c r="S107" s="47">
        <f>K107</f>
        <v>2</v>
      </c>
      <c r="T107" s="47"/>
      <c r="U107" s="47"/>
      <c r="V107" s="48"/>
      <c r="W107" s="30"/>
      <c r="X107" s="49"/>
      <c r="Y107" s="50"/>
      <c r="Z107" s="50"/>
      <c r="AA107" s="50"/>
      <c r="AB107" s="51"/>
    </row>
    <row r="108" spans="2:29" ht="12" customHeight="1">
      <c r="D108" s="243">
        <v>3</v>
      </c>
      <c r="E108" s="126" t="s">
        <v>211</v>
      </c>
      <c r="F108" s="126" t="s">
        <v>26</v>
      </c>
      <c r="G108" s="146"/>
      <c r="H108" s="152"/>
      <c r="I108" s="153"/>
      <c r="J108" s="3"/>
      <c r="K108" s="44">
        <v>2</v>
      </c>
      <c r="L108" s="201"/>
      <c r="M108" s="30"/>
      <c r="N108" s="53"/>
      <c r="O108" s="32"/>
      <c r="P108" s="45"/>
      <c r="Q108" s="30"/>
      <c r="R108" s="46"/>
      <c r="S108" s="47">
        <f t="shared" ref="S108" si="12">K108</f>
        <v>2</v>
      </c>
      <c r="T108" s="47"/>
      <c r="U108" s="47"/>
      <c r="V108" s="48"/>
      <c r="W108" s="30"/>
      <c r="X108" s="49"/>
      <c r="Y108" s="50"/>
      <c r="Z108" s="50"/>
      <c r="AA108" s="50"/>
      <c r="AB108" s="51"/>
    </row>
    <row r="109" spans="2:29" ht="12" customHeight="1">
      <c r="D109" s="244">
        <v>4</v>
      </c>
      <c r="E109" s="127" t="s">
        <v>212</v>
      </c>
      <c r="F109" s="127" t="s">
        <v>26</v>
      </c>
      <c r="G109" s="147"/>
      <c r="H109" s="154"/>
      <c r="I109" s="155"/>
      <c r="J109" s="3"/>
      <c r="K109" s="297">
        <v>4</v>
      </c>
      <c r="L109" s="201"/>
      <c r="M109" s="30"/>
      <c r="N109" s="53"/>
      <c r="O109" s="32"/>
      <c r="P109" s="45"/>
      <c r="Q109" s="30"/>
      <c r="R109" s="46"/>
      <c r="S109" s="47">
        <f>K109</f>
        <v>4</v>
      </c>
      <c r="T109" s="47"/>
      <c r="U109" s="47"/>
      <c r="V109" s="48"/>
      <c r="W109" s="30"/>
      <c r="X109" s="49"/>
      <c r="Y109" s="50"/>
      <c r="Z109" s="50"/>
      <c r="AA109" s="50"/>
      <c r="AB109" s="51"/>
    </row>
    <row r="110" spans="2:29" s="67" customFormat="1" ht="12" customHeight="1">
      <c r="B110" s="54"/>
      <c r="C110" s="55"/>
      <c r="D110" s="133"/>
      <c r="E110" s="124"/>
      <c r="F110" s="128" t="s">
        <v>2</v>
      </c>
      <c r="G110" s="129"/>
      <c r="H110" s="148"/>
      <c r="I110" s="149"/>
      <c r="J110" s="61"/>
      <c r="K110" s="29">
        <f>SUM(K106:K109)</f>
        <v>12</v>
      </c>
      <c r="L110" s="205"/>
      <c r="M110" s="62"/>
      <c r="N110" s="31"/>
      <c r="O110" s="61"/>
      <c r="P110" s="63"/>
      <c r="Q110" s="62"/>
      <c r="R110" s="64">
        <f>SUM(R106:R109)</f>
        <v>0</v>
      </c>
      <c r="S110" s="64">
        <f>SUM(S106:S109)</f>
        <v>12</v>
      </c>
      <c r="T110" s="64">
        <f>SUM(T106:T109)</f>
        <v>0</v>
      </c>
      <c r="U110" s="64">
        <f>SUM(U106:U109)</f>
        <v>0</v>
      </c>
      <c r="V110" s="64">
        <f>SUM(V106:V109)</f>
        <v>0</v>
      </c>
      <c r="W110" s="62"/>
      <c r="X110" s="65"/>
      <c r="Y110" s="59"/>
      <c r="Z110" s="59"/>
      <c r="AA110" s="59"/>
      <c r="AB110" s="66"/>
    </row>
    <row r="111" spans="2:29" ht="9" customHeight="1"/>
    <row r="112" spans="2:29" ht="14.15" customHeight="1">
      <c r="L112" s="1"/>
      <c r="O112" s="24"/>
      <c r="P112" s="84" t="s">
        <v>10</v>
      </c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  <c r="AB112" s="222"/>
    </row>
    <row r="113" spans="2:28" ht="15" customHeight="1">
      <c r="E113" s="26" t="s">
        <v>28</v>
      </c>
      <c r="K113" s="137" t="s">
        <v>67</v>
      </c>
      <c r="L113" s="211" t="s">
        <v>66</v>
      </c>
      <c r="M113" s="24"/>
      <c r="N113" s="212" t="s">
        <v>11</v>
      </c>
      <c r="O113" s="24"/>
      <c r="P113" s="137">
        <v>2011</v>
      </c>
      <c r="Q113" s="5"/>
      <c r="R113" s="137">
        <f>P113+1</f>
        <v>2012</v>
      </c>
      <c r="S113" s="137">
        <f>R113+1</f>
        <v>2013</v>
      </c>
      <c r="T113" s="137">
        <f>S113+1</f>
        <v>2014</v>
      </c>
      <c r="U113" s="137">
        <f>T113+1</f>
        <v>2015</v>
      </c>
      <c r="V113" s="137">
        <f>U113+1</f>
        <v>2016</v>
      </c>
      <c r="W113" s="5"/>
      <c r="X113" s="139">
        <f>V113+1</f>
        <v>2017</v>
      </c>
      <c r="Y113" s="139">
        <f>X113+1</f>
        <v>2018</v>
      </c>
      <c r="Z113" s="139">
        <f>Y113+1</f>
        <v>2019</v>
      </c>
      <c r="AA113" s="139">
        <f>Z113+1</f>
        <v>2020</v>
      </c>
      <c r="AB113" s="139">
        <f>AA113+1</f>
        <v>2021</v>
      </c>
    </row>
    <row r="114" spans="2:28" ht="4.5" customHeight="1"/>
    <row r="115" spans="2:28" ht="12" customHeight="1">
      <c r="D115" s="242">
        <v>1</v>
      </c>
      <c r="E115" s="125" t="s">
        <v>209</v>
      </c>
      <c r="F115" s="125" t="s">
        <v>213</v>
      </c>
      <c r="G115" s="299">
        <f>(3*1+2.5)/4</f>
        <v>1.375</v>
      </c>
      <c r="H115" s="78" t="s">
        <v>12</v>
      </c>
      <c r="I115" s="79" t="s">
        <v>13</v>
      </c>
      <c r="J115" s="3"/>
      <c r="K115" s="80">
        <f>K106</f>
        <v>4</v>
      </c>
      <c r="L115" s="225" t="s">
        <v>13</v>
      </c>
      <c r="M115" s="30"/>
      <c r="N115" s="156">
        <f>G115*K115</f>
        <v>5.5</v>
      </c>
      <c r="O115" s="32"/>
      <c r="P115" s="33"/>
      <c r="Q115" s="30"/>
      <c r="R115" s="81">
        <f t="shared" ref="R115:V118" si="13">$G115*R106</f>
        <v>0</v>
      </c>
      <c r="S115" s="81">
        <f t="shared" si="13"/>
        <v>5.5</v>
      </c>
      <c r="T115" s="81">
        <f t="shared" si="13"/>
        <v>0</v>
      </c>
      <c r="U115" s="81">
        <f t="shared" si="13"/>
        <v>0</v>
      </c>
      <c r="V115" s="81">
        <f t="shared" si="13"/>
        <v>0</v>
      </c>
      <c r="W115" s="30"/>
      <c r="X115" s="37"/>
      <c r="Y115" s="38"/>
      <c r="Z115" s="38"/>
      <c r="AA115" s="38"/>
      <c r="AB115" s="39"/>
    </row>
    <row r="116" spans="2:28" ht="12" customHeight="1">
      <c r="D116" s="243">
        <v>2</v>
      </c>
      <c r="E116" s="126" t="s">
        <v>222</v>
      </c>
      <c r="F116" s="126" t="s">
        <v>214</v>
      </c>
      <c r="G116" s="300">
        <f>(2.3+2.7)/2</f>
        <v>2.5</v>
      </c>
      <c r="H116" s="42" t="s">
        <v>12</v>
      </c>
      <c r="I116" s="43" t="s">
        <v>13</v>
      </c>
      <c r="J116" s="3"/>
      <c r="K116" s="52">
        <f>K107</f>
        <v>2</v>
      </c>
      <c r="L116" s="226" t="s">
        <v>13</v>
      </c>
      <c r="M116" s="30"/>
      <c r="N116" s="157">
        <f>G116*K116</f>
        <v>5</v>
      </c>
      <c r="O116" s="32"/>
      <c r="P116" s="45"/>
      <c r="Q116" s="30"/>
      <c r="R116" s="81">
        <f t="shared" si="13"/>
        <v>0</v>
      </c>
      <c r="S116" s="81">
        <f t="shared" si="13"/>
        <v>5</v>
      </c>
      <c r="T116" s="81">
        <f t="shared" si="13"/>
        <v>0</v>
      </c>
      <c r="U116" s="81">
        <f t="shared" si="13"/>
        <v>0</v>
      </c>
      <c r="V116" s="81">
        <f t="shared" si="13"/>
        <v>0</v>
      </c>
      <c r="W116" s="30"/>
      <c r="X116" s="49"/>
      <c r="Y116" s="50"/>
      <c r="Z116" s="50"/>
      <c r="AA116" s="50"/>
      <c r="AB116" s="51"/>
    </row>
    <row r="117" spans="2:28" ht="12" customHeight="1">
      <c r="D117" s="243">
        <v>3</v>
      </c>
      <c r="E117" s="126" t="s">
        <v>211</v>
      </c>
      <c r="F117" s="126" t="s">
        <v>26</v>
      </c>
      <c r="G117" s="300">
        <f>(17.5+22)/2</f>
        <v>19.75</v>
      </c>
      <c r="H117" s="42" t="s">
        <v>12</v>
      </c>
      <c r="I117" s="43" t="s">
        <v>13</v>
      </c>
      <c r="J117" s="3"/>
      <c r="K117" s="52">
        <f>K108</f>
        <v>2</v>
      </c>
      <c r="L117" s="226" t="s">
        <v>13</v>
      </c>
      <c r="M117" s="30"/>
      <c r="N117" s="157">
        <f>G117*K117</f>
        <v>39.5</v>
      </c>
      <c r="O117" s="32"/>
      <c r="P117" s="45"/>
      <c r="Q117" s="30"/>
      <c r="R117" s="81">
        <f t="shared" si="13"/>
        <v>0</v>
      </c>
      <c r="S117" s="81">
        <f t="shared" si="13"/>
        <v>39.5</v>
      </c>
      <c r="T117" s="81">
        <f t="shared" si="13"/>
        <v>0</v>
      </c>
      <c r="U117" s="81">
        <f t="shared" si="13"/>
        <v>0</v>
      </c>
      <c r="V117" s="81">
        <f t="shared" si="13"/>
        <v>0</v>
      </c>
      <c r="W117" s="30"/>
      <c r="X117" s="49"/>
      <c r="Y117" s="50"/>
      <c r="Z117" s="50"/>
      <c r="AA117" s="50"/>
      <c r="AB117" s="51"/>
    </row>
    <row r="118" spans="2:28" ht="12" customHeight="1">
      <c r="D118" s="244">
        <v>4</v>
      </c>
      <c r="E118" s="127" t="s">
        <v>212</v>
      </c>
      <c r="F118" s="127" t="s">
        <v>26</v>
      </c>
      <c r="G118" s="300">
        <f>(3*13.7+11.8)/4</f>
        <v>13.224999999999998</v>
      </c>
      <c r="H118" s="42" t="s">
        <v>12</v>
      </c>
      <c r="I118" s="43" t="s">
        <v>13</v>
      </c>
      <c r="J118" s="3"/>
      <c r="K118" s="52">
        <f>K109</f>
        <v>4</v>
      </c>
      <c r="L118" s="227" t="s">
        <v>13</v>
      </c>
      <c r="M118" s="30"/>
      <c r="N118" s="157">
        <f>G118*K118</f>
        <v>52.899999999999991</v>
      </c>
      <c r="O118" s="32"/>
      <c r="P118" s="45"/>
      <c r="Q118" s="30"/>
      <c r="R118" s="81">
        <f t="shared" si="13"/>
        <v>0</v>
      </c>
      <c r="S118" s="81">
        <f t="shared" si="13"/>
        <v>52.899999999999991</v>
      </c>
      <c r="T118" s="81">
        <f t="shared" si="13"/>
        <v>0</v>
      </c>
      <c r="U118" s="81">
        <f t="shared" si="13"/>
        <v>0</v>
      </c>
      <c r="V118" s="81">
        <f t="shared" si="13"/>
        <v>0</v>
      </c>
      <c r="W118" s="30"/>
      <c r="X118" s="49"/>
      <c r="Y118" s="50"/>
      <c r="Z118" s="50"/>
      <c r="AA118" s="50"/>
      <c r="AB118" s="51"/>
    </row>
    <row r="119" spans="2:28" s="67" customFormat="1" ht="15" customHeight="1">
      <c r="B119" s="54"/>
      <c r="C119" s="55"/>
      <c r="D119" s="133"/>
      <c r="E119" s="56"/>
      <c r="F119" s="57" t="s">
        <v>14</v>
      </c>
      <c r="G119" s="58"/>
      <c r="H119" s="59"/>
      <c r="I119" s="60"/>
      <c r="J119" s="61"/>
      <c r="K119" s="82"/>
      <c r="L119" s="206"/>
      <c r="M119" s="62"/>
      <c r="N119" s="180">
        <f>SUM(N115:N118)</f>
        <v>102.89999999999999</v>
      </c>
      <c r="O119" s="61"/>
      <c r="P119" s="63"/>
      <c r="Q119" s="62"/>
      <c r="R119" s="83">
        <f>SUM(R115:R118)</f>
        <v>0</v>
      </c>
      <c r="S119" s="83">
        <f>SUM(S115:S118)</f>
        <v>102.89999999999999</v>
      </c>
      <c r="T119" s="83">
        <f>SUM(T115:T118)</f>
        <v>0</v>
      </c>
      <c r="U119" s="83">
        <f>SUM(U115:U118)</f>
        <v>0</v>
      </c>
      <c r="V119" s="83">
        <f>SUM(V115:V118)</f>
        <v>0</v>
      </c>
      <c r="W119" s="62"/>
      <c r="X119" s="65"/>
      <c r="Y119" s="59"/>
      <c r="Z119" s="59"/>
      <c r="AA119" s="59"/>
      <c r="AB119" s="66"/>
    </row>
    <row r="120" spans="2:28" ht="5.15" customHeight="1"/>
    <row r="121" spans="2:28" ht="20.149999999999999" customHeight="1">
      <c r="E121" s="26" t="s">
        <v>15</v>
      </c>
      <c r="F121" s="84" t="s">
        <v>16</v>
      </c>
      <c r="G121" s="85"/>
      <c r="H121" s="215" t="s">
        <v>4</v>
      </c>
      <c r="I121" s="232" t="s">
        <v>76</v>
      </c>
      <c r="K121" s="137" t="s">
        <v>67</v>
      </c>
      <c r="L121" s="211" t="s">
        <v>66</v>
      </c>
      <c r="N121" s="212" t="s">
        <v>11</v>
      </c>
      <c r="P121" s="73">
        <v>2011</v>
      </c>
      <c r="Q121" s="74"/>
      <c r="R121" s="75">
        <f>P121+1</f>
        <v>2012</v>
      </c>
      <c r="S121" s="75">
        <f>R121+1</f>
        <v>2013</v>
      </c>
      <c r="T121" s="75">
        <f>S121+1</f>
        <v>2014</v>
      </c>
      <c r="U121" s="75">
        <f>T121+1</f>
        <v>2015</v>
      </c>
      <c r="V121" s="75">
        <f>U121+1</f>
        <v>2016</v>
      </c>
      <c r="W121" s="74"/>
      <c r="X121" s="76">
        <f>V121+1</f>
        <v>2017</v>
      </c>
      <c r="Y121" s="76">
        <f>X121+1</f>
        <v>2018</v>
      </c>
      <c r="Z121" s="76">
        <f>Y121+1</f>
        <v>2019</v>
      </c>
      <c r="AA121" s="76">
        <f>Z121+1</f>
        <v>2020</v>
      </c>
      <c r="AB121" s="76">
        <f>AA121+1</f>
        <v>2021</v>
      </c>
    </row>
    <row r="122" spans="2:28" ht="4" customHeight="1"/>
    <row r="123" spans="2:28" ht="12" customHeight="1">
      <c r="C123" s="28"/>
      <c r="E123" s="77" t="s">
        <v>218</v>
      </c>
      <c r="F123" s="158" t="s">
        <v>219</v>
      </c>
      <c r="G123" s="86"/>
      <c r="H123" s="213" t="s">
        <v>71</v>
      </c>
      <c r="I123" s="216">
        <v>0.5</v>
      </c>
      <c r="J123" s="3"/>
      <c r="K123" s="298">
        <v>13</v>
      </c>
      <c r="L123" s="229" t="s">
        <v>73</v>
      </c>
      <c r="M123" s="30"/>
      <c r="N123" s="176">
        <f>I123*K123</f>
        <v>6.5</v>
      </c>
      <c r="O123" s="32"/>
      <c r="P123" s="88"/>
      <c r="Q123" s="30"/>
      <c r="R123" s="90"/>
      <c r="S123" s="91">
        <f>N123</f>
        <v>6.5</v>
      </c>
      <c r="T123" s="91"/>
      <c r="U123" s="91"/>
      <c r="V123" s="92"/>
      <c r="W123" s="30"/>
      <c r="X123" s="90"/>
      <c r="Y123" s="91"/>
      <c r="Z123" s="91"/>
      <c r="AA123" s="91"/>
      <c r="AB123" s="92"/>
    </row>
    <row r="124" spans="2:28" ht="12" customHeight="1">
      <c r="C124" s="28"/>
      <c r="E124" s="77" t="s">
        <v>215</v>
      </c>
      <c r="F124" s="158" t="s">
        <v>70</v>
      </c>
      <c r="G124" s="86"/>
      <c r="H124" s="213" t="s">
        <v>71</v>
      </c>
      <c r="I124" s="216">
        <v>0.25</v>
      </c>
      <c r="J124" s="3"/>
      <c r="K124" s="228">
        <v>5.7</v>
      </c>
      <c r="L124" s="229" t="s">
        <v>72</v>
      </c>
      <c r="M124" s="30"/>
      <c r="N124" s="176">
        <f>I124*K124</f>
        <v>1.425</v>
      </c>
      <c r="O124" s="32"/>
      <c r="P124" s="88"/>
      <c r="Q124" s="30"/>
      <c r="R124" s="90"/>
      <c r="S124" s="91">
        <f>N124</f>
        <v>1.425</v>
      </c>
      <c r="T124" s="91"/>
      <c r="U124" s="91"/>
      <c r="V124" s="92"/>
      <c r="W124" s="30"/>
      <c r="X124" s="90"/>
      <c r="Y124" s="91"/>
      <c r="Z124" s="91"/>
      <c r="AA124" s="91"/>
      <c r="AB124" s="92"/>
    </row>
    <row r="125" spans="2:28" ht="12" customHeight="1">
      <c r="C125" s="28"/>
      <c r="E125" s="105"/>
      <c r="F125" s="41" t="s">
        <v>17</v>
      </c>
      <c r="G125" s="93"/>
      <c r="H125" s="94"/>
      <c r="I125" s="217">
        <v>0.1</v>
      </c>
      <c r="J125" s="3"/>
      <c r="K125" s="174">
        <v>7</v>
      </c>
      <c r="L125" s="226" t="s">
        <v>73</v>
      </c>
      <c r="M125" s="30"/>
      <c r="N125" s="177">
        <f>I125*K125</f>
        <v>0.70000000000000007</v>
      </c>
      <c r="O125" s="32"/>
      <c r="P125" s="96"/>
      <c r="Q125" s="30"/>
      <c r="R125" s="97"/>
      <c r="S125" s="98">
        <f>N125</f>
        <v>0.70000000000000007</v>
      </c>
      <c r="T125" s="98"/>
      <c r="U125" s="98"/>
      <c r="V125" s="99"/>
      <c r="W125" s="30"/>
      <c r="X125" s="97"/>
      <c r="Y125" s="98"/>
      <c r="Z125" s="98"/>
      <c r="AA125" s="98"/>
      <c r="AB125" s="99"/>
    </row>
    <row r="126" spans="2:28" ht="12" customHeight="1">
      <c r="C126" s="28"/>
      <c r="E126" s="105" t="s">
        <v>216</v>
      </c>
      <c r="F126" s="41" t="s">
        <v>217</v>
      </c>
      <c r="G126" s="100"/>
      <c r="H126" s="94"/>
      <c r="I126" s="217">
        <f>0.25</f>
        <v>0.25</v>
      </c>
      <c r="J126" s="3"/>
      <c r="K126" s="200">
        <f>11*3</f>
        <v>33</v>
      </c>
      <c r="L126" s="230" t="s">
        <v>72</v>
      </c>
      <c r="M126" s="30"/>
      <c r="N126" s="177">
        <f>I126*K126</f>
        <v>8.25</v>
      </c>
      <c r="O126" s="32"/>
      <c r="P126" s="96"/>
      <c r="Q126" s="30"/>
      <c r="R126" s="257"/>
      <c r="S126" s="214">
        <f>N126</f>
        <v>8.25</v>
      </c>
      <c r="T126" s="214"/>
      <c r="U126" s="103"/>
      <c r="V126" s="104"/>
      <c r="W126" s="30"/>
      <c r="X126" s="102"/>
      <c r="Y126" s="103"/>
      <c r="Z126" s="103"/>
      <c r="AA126" s="103"/>
      <c r="AB126" s="104"/>
    </row>
    <row r="127" spans="2:28" ht="12" customHeight="1">
      <c r="C127" s="28"/>
      <c r="E127" s="105"/>
      <c r="F127" s="253" t="s">
        <v>17</v>
      </c>
      <c r="G127" s="100"/>
      <c r="H127" s="94"/>
      <c r="I127" s="217">
        <v>0.1</v>
      </c>
      <c r="J127" s="3"/>
      <c r="K127" s="174">
        <v>11</v>
      </c>
      <c r="L127" s="226" t="s">
        <v>73</v>
      </c>
      <c r="M127" s="30"/>
      <c r="N127" s="177">
        <f>I127*K127</f>
        <v>1.1000000000000001</v>
      </c>
      <c r="O127" s="32"/>
      <c r="P127" s="96"/>
      <c r="Q127" s="30"/>
      <c r="R127" s="257"/>
      <c r="S127" s="214">
        <f>N127</f>
        <v>1.1000000000000001</v>
      </c>
      <c r="T127" s="214"/>
      <c r="U127" s="103"/>
      <c r="V127" s="104"/>
      <c r="W127" s="30"/>
      <c r="X127" s="102"/>
      <c r="Y127" s="103"/>
      <c r="Z127" s="103"/>
      <c r="AA127" s="103"/>
      <c r="AB127" s="104"/>
    </row>
    <row r="128" spans="2:28" ht="12" customHeight="1">
      <c r="C128" s="28"/>
      <c r="E128" s="302" t="s">
        <v>33</v>
      </c>
      <c r="F128" s="254"/>
      <c r="G128" s="184"/>
      <c r="H128" s="94"/>
      <c r="I128" s="95"/>
      <c r="J128" s="3"/>
      <c r="K128" s="174"/>
      <c r="L128" s="226"/>
      <c r="M128" s="30"/>
      <c r="N128" s="177"/>
      <c r="O128" s="32"/>
      <c r="P128" s="96"/>
      <c r="Q128" s="30"/>
      <c r="R128" s="257"/>
      <c r="S128" s="214"/>
      <c r="T128" s="214"/>
      <c r="U128" s="103"/>
      <c r="V128" s="104"/>
      <c r="W128" s="30"/>
      <c r="X128" s="102"/>
      <c r="Y128" s="103"/>
      <c r="Z128" s="103"/>
      <c r="AA128" s="103"/>
      <c r="AB128" s="104"/>
    </row>
    <row r="129" spans="2:28" ht="10" customHeight="1">
      <c r="C129" s="28"/>
      <c r="E129" s="107" t="s">
        <v>35</v>
      </c>
      <c r="F129" s="301" t="s">
        <v>36</v>
      </c>
      <c r="G129" s="185"/>
      <c r="H129" s="94" t="s">
        <v>25</v>
      </c>
      <c r="I129" s="159">
        <v>1</v>
      </c>
      <c r="J129" s="3"/>
      <c r="K129" s="174"/>
      <c r="L129" s="226"/>
      <c r="M129" s="30"/>
      <c r="N129" s="177">
        <f>I129*K129</f>
        <v>0</v>
      </c>
      <c r="O129" s="32"/>
      <c r="P129" s="96"/>
      <c r="Q129" s="30"/>
      <c r="R129" s="257">
        <f>1*N129</f>
        <v>0</v>
      </c>
      <c r="S129" s="214"/>
      <c r="T129" s="214"/>
      <c r="U129" s="103"/>
      <c r="V129" s="104"/>
      <c r="W129" s="30"/>
      <c r="X129" s="102"/>
      <c r="Y129" s="103"/>
      <c r="Z129" s="103"/>
      <c r="AA129" s="103"/>
      <c r="AB129" s="104"/>
    </row>
    <row r="130" spans="2:28" ht="10" customHeight="1">
      <c r="C130" s="28"/>
      <c r="E130" s="107" t="s">
        <v>37</v>
      </c>
      <c r="F130" s="301" t="s">
        <v>32</v>
      </c>
      <c r="G130" s="184"/>
      <c r="H130" s="94" t="s">
        <v>25</v>
      </c>
      <c r="I130" s="95">
        <v>1</v>
      </c>
      <c r="J130" s="3"/>
      <c r="K130" s="174"/>
      <c r="L130" s="226"/>
      <c r="M130" s="30"/>
      <c r="N130" s="178">
        <f>I130*K130</f>
        <v>0</v>
      </c>
      <c r="O130" s="32"/>
      <c r="P130" s="96"/>
      <c r="Q130" s="30"/>
      <c r="R130" s="257">
        <f t="shared" ref="R130:R133" si="14">1*N130</f>
        <v>0</v>
      </c>
      <c r="S130" s="214"/>
      <c r="T130" s="214"/>
      <c r="U130" s="103"/>
      <c r="V130" s="104"/>
      <c r="W130" s="30"/>
      <c r="X130" s="102"/>
      <c r="Y130" s="103"/>
      <c r="Z130" s="103"/>
      <c r="AA130" s="103"/>
      <c r="AB130" s="104"/>
    </row>
    <row r="131" spans="2:28" ht="10" customHeight="1">
      <c r="C131" s="28"/>
      <c r="E131" s="107" t="s">
        <v>39</v>
      </c>
      <c r="F131" s="301" t="s">
        <v>40</v>
      </c>
      <c r="G131" s="184"/>
      <c r="H131" s="94" t="s">
        <v>25</v>
      </c>
      <c r="I131" s="95">
        <v>1</v>
      </c>
      <c r="J131" s="3"/>
      <c r="K131" s="174"/>
      <c r="L131" s="226"/>
      <c r="M131" s="30"/>
      <c r="N131" s="178">
        <f>I131*K131</f>
        <v>0</v>
      </c>
      <c r="O131" s="32"/>
      <c r="P131" s="96"/>
      <c r="Q131" s="30"/>
      <c r="R131" s="257">
        <f t="shared" si="14"/>
        <v>0</v>
      </c>
      <c r="S131" s="214"/>
      <c r="T131" s="214"/>
      <c r="U131" s="103"/>
      <c r="V131" s="104"/>
      <c r="W131" s="30"/>
      <c r="X131" s="102"/>
      <c r="Y131" s="103"/>
      <c r="Z131" s="103"/>
      <c r="AA131" s="103"/>
      <c r="AB131" s="104"/>
    </row>
    <row r="132" spans="2:28" ht="10" customHeight="1">
      <c r="C132" s="28"/>
      <c r="E132" s="107" t="s">
        <v>38</v>
      </c>
      <c r="F132" s="301" t="s">
        <v>74</v>
      </c>
      <c r="G132" s="184"/>
      <c r="H132" s="94" t="s">
        <v>18</v>
      </c>
      <c r="I132" s="95">
        <v>2</v>
      </c>
      <c r="J132" s="3"/>
      <c r="K132" s="174"/>
      <c r="L132" s="226"/>
      <c r="M132" s="30"/>
      <c r="N132" s="178">
        <f>I132*K132</f>
        <v>0</v>
      </c>
      <c r="O132" s="32"/>
      <c r="P132" s="96"/>
      <c r="Q132" s="30"/>
      <c r="R132" s="257">
        <f t="shared" si="14"/>
        <v>0</v>
      </c>
      <c r="S132" s="214"/>
      <c r="T132" s="214"/>
      <c r="U132" s="103"/>
      <c r="V132" s="104"/>
      <c r="W132" s="30"/>
      <c r="X132" s="102"/>
      <c r="Y132" s="103"/>
      <c r="Z132" s="103"/>
      <c r="AA132" s="103"/>
      <c r="AB132" s="104"/>
    </row>
    <row r="133" spans="2:28" ht="10" customHeight="1">
      <c r="C133" s="28"/>
      <c r="E133" s="107" t="s">
        <v>47</v>
      </c>
      <c r="F133" s="255"/>
      <c r="G133" s="184"/>
      <c r="H133" s="94" t="s">
        <v>25</v>
      </c>
      <c r="I133" s="43">
        <v>0.25</v>
      </c>
      <c r="J133" s="3"/>
      <c r="K133" s="174"/>
      <c r="L133" s="226"/>
      <c r="M133" s="30"/>
      <c r="N133" s="178">
        <f>I133*K133</f>
        <v>0</v>
      </c>
      <c r="O133" s="32"/>
      <c r="P133" s="96"/>
      <c r="Q133" s="30"/>
      <c r="R133" s="257">
        <f t="shared" si="14"/>
        <v>0</v>
      </c>
      <c r="S133" s="214"/>
      <c r="T133" s="214"/>
      <c r="U133" s="103"/>
      <c r="V133" s="104"/>
      <c r="W133" s="30"/>
      <c r="X133" s="102"/>
      <c r="Y133" s="103"/>
      <c r="Z133" s="103"/>
      <c r="AA133" s="103"/>
      <c r="AB133" s="104"/>
    </row>
    <row r="134" spans="2:28" ht="12" customHeight="1">
      <c r="C134" s="28"/>
      <c r="E134" s="188" t="s">
        <v>34</v>
      </c>
      <c r="F134" s="191"/>
      <c r="G134" s="184"/>
      <c r="H134" s="94"/>
      <c r="I134" s="43"/>
      <c r="J134" s="3"/>
      <c r="K134" s="174"/>
      <c r="L134" s="226"/>
      <c r="M134" s="30"/>
      <c r="N134" s="178"/>
      <c r="O134" s="32"/>
      <c r="P134" s="96"/>
      <c r="Q134" s="30"/>
      <c r="R134" s="257"/>
      <c r="S134" s="214"/>
      <c r="T134" s="214"/>
      <c r="U134" s="103"/>
      <c r="V134" s="104"/>
      <c r="W134" s="30"/>
      <c r="X134" s="102"/>
      <c r="Y134" s="103"/>
      <c r="Z134" s="103"/>
      <c r="AA134" s="103"/>
      <c r="AB134" s="104"/>
    </row>
    <row r="135" spans="2:28" ht="12" customHeight="1">
      <c r="C135" s="28"/>
      <c r="E135" s="107" t="s">
        <v>118</v>
      </c>
      <c r="F135" s="249" t="s">
        <v>136</v>
      </c>
      <c r="G135" s="184"/>
      <c r="H135" s="94" t="s">
        <v>18</v>
      </c>
      <c r="I135" s="43">
        <v>7</v>
      </c>
      <c r="J135" s="3"/>
      <c r="K135" s="174">
        <v>1</v>
      </c>
      <c r="L135" s="226"/>
      <c r="M135" s="30"/>
      <c r="N135" s="178">
        <f>I135*K135</f>
        <v>7</v>
      </c>
      <c r="O135" s="32"/>
      <c r="P135" s="96"/>
      <c r="Q135" s="30"/>
      <c r="R135" s="257">
        <f>0.1*N135</f>
        <v>0.70000000000000007</v>
      </c>
      <c r="S135" s="214">
        <f t="shared" ref="S135:S140" si="15">0.5*N135</f>
        <v>3.5</v>
      </c>
      <c r="T135" s="214">
        <f>0.4*N135</f>
        <v>2.8000000000000003</v>
      </c>
      <c r="U135" s="103"/>
      <c r="V135" s="104"/>
      <c r="W135" s="30"/>
      <c r="X135" s="102"/>
      <c r="Y135" s="103"/>
      <c r="Z135" s="103"/>
      <c r="AA135" s="103"/>
      <c r="AB135" s="104"/>
    </row>
    <row r="136" spans="2:28" ht="12" customHeight="1">
      <c r="C136" s="28"/>
      <c r="E136" s="107" t="s">
        <v>41</v>
      </c>
      <c r="F136" s="249" t="s">
        <v>122</v>
      </c>
      <c r="G136" s="184"/>
      <c r="H136" s="94" t="s">
        <v>18</v>
      </c>
      <c r="I136" s="43">
        <v>0.12</v>
      </c>
      <c r="J136" s="3"/>
      <c r="K136" s="200">
        <f>36*10</f>
        <v>360</v>
      </c>
      <c r="L136" s="230" t="s">
        <v>75</v>
      </c>
      <c r="M136" s="30"/>
      <c r="N136" s="177">
        <f>I136*K136</f>
        <v>43.199999999999996</v>
      </c>
      <c r="O136" s="32"/>
      <c r="P136" s="96"/>
      <c r="Q136" s="30"/>
      <c r="R136" s="257">
        <f t="shared" ref="R136:R140" si="16">0.1*N136</f>
        <v>4.3199999999999994</v>
      </c>
      <c r="S136" s="214">
        <f t="shared" si="15"/>
        <v>21.599999999999998</v>
      </c>
      <c r="T136" s="214">
        <f t="shared" ref="T136:T140" si="17">0.4*N136</f>
        <v>17.279999999999998</v>
      </c>
      <c r="U136" s="103"/>
      <c r="V136" s="104"/>
      <c r="W136" s="30"/>
      <c r="X136" s="102"/>
      <c r="Y136" s="103"/>
      <c r="Z136" s="103"/>
      <c r="AA136" s="103"/>
      <c r="AB136" s="104"/>
    </row>
    <row r="137" spans="2:28" ht="12" customHeight="1">
      <c r="C137" s="28"/>
      <c r="E137" s="107" t="s">
        <v>44</v>
      </c>
      <c r="F137" s="247" t="s">
        <v>46</v>
      </c>
      <c r="G137" s="184"/>
      <c r="H137" s="94" t="s">
        <v>18</v>
      </c>
      <c r="I137" s="43">
        <v>65</v>
      </c>
      <c r="J137" s="3"/>
      <c r="K137" s="174">
        <v>1</v>
      </c>
      <c r="L137" s="226"/>
      <c r="M137" s="30"/>
      <c r="N137" s="177">
        <f>I137*K137</f>
        <v>65</v>
      </c>
      <c r="O137" s="32"/>
      <c r="P137" s="96"/>
      <c r="Q137" s="30"/>
      <c r="R137" s="257">
        <f t="shared" si="16"/>
        <v>6.5</v>
      </c>
      <c r="S137" s="214">
        <f t="shared" si="15"/>
        <v>32.5</v>
      </c>
      <c r="T137" s="214">
        <f t="shared" si="17"/>
        <v>26</v>
      </c>
      <c r="U137" s="103"/>
      <c r="V137" s="104"/>
      <c r="W137" s="30"/>
      <c r="X137" s="102"/>
      <c r="Y137" s="103"/>
      <c r="Z137" s="103"/>
      <c r="AA137" s="103"/>
      <c r="AB137" s="104"/>
    </row>
    <row r="138" spans="2:28" ht="12" customHeight="1">
      <c r="C138" s="28"/>
      <c r="E138" s="107"/>
      <c r="F138" s="247" t="s">
        <v>45</v>
      </c>
      <c r="G138" s="184"/>
      <c r="H138" s="94" t="s">
        <v>18</v>
      </c>
      <c r="I138" s="43">
        <v>0.12</v>
      </c>
      <c r="J138" s="3"/>
      <c r="K138" s="200">
        <f>36*8</f>
        <v>288</v>
      </c>
      <c r="L138" s="230" t="s">
        <v>75</v>
      </c>
      <c r="M138" s="30"/>
      <c r="N138" s="177">
        <f>I138*K138</f>
        <v>34.56</v>
      </c>
      <c r="O138" s="32"/>
      <c r="P138" s="96"/>
      <c r="Q138" s="30"/>
      <c r="R138" s="257">
        <f t="shared" si="16"/>
        <v>3.4560000000000004</v>
      </c>
      <c r="S138" s="214">
        <f t="shared" si="15"/>
        <v>17.28</v>
      </c>
      <c r="T138" s="214">
        <f t="shared" si="17"/>
        <v>13.824000000000002</v>
      </c>
      <c r="U138" s="103"/>
      <c r="V138" s="104"/>
      <c r="W138" s="30"/>
      <c r="X138" s="102"/>
      <c r="Y138" s="103"/>
      <c r="Z138" s="103"/>
      <c r="AA138" s="103"/>
      <c r="AB138" s="104"/>
    </row>
    <row r="139" spans="2:28" ht="12" customHeight="1">
      <c r="C139" s="28"/>
      <c r="E139" s="107" t="s">
        <v>48</v>
      </c>
      <c r="F139" s="247" t="s">
        <v>57</v>
      </c>
      <c r="G139" s="184"/>
      <c r="H139" s="94"/>
      <c r="I139" s="43">
        <v>0.12</v>
      </c>
      <c r="J139" s="3"/>
      <c r="K139" s="200">
        <f>30*12</f>
        <v>360</v>
      </c>
      <c r="L139" s="230" t="s">
        <v>75</v>
      </c>
      <c r="M139" s="30"/>
      <c r="N139" s="177">
        <f>I139*K139</f>
        <v>43.199999999999996</v>
      </c>
      <c r="O139" s="32"/>
      <c r="P139" s="96"/>
      <c r="Q139" s="30"/>
      <c r="R139" s="257">
        <f t="shared" si="16"/>
        <v>4.3199999999999994</v>
      </c>
      <c r="S139" s="214">
        <f t="shared" si="15"/>
        <v>21.599999999999998</v>
      </c>
      <c r="T139" s="214">
        <f t="shared" si="17"/>
        <v>17.279999999999998</v>
      </c>
      <c r="U139" s="103"/>
      <c r="V139" s="104"/>
      <c r="W139" s="30"/>
      <c r="X139" s="102"/>
      <c r="Y139" s="103"/>
      <c r="Z139" s="103"/>
      <c r="AA139" s="103"/>
      <c r="AB139" s="104"/>
    </row>
    <row r="140" spans="2:28" ht="12" customHeight="1">
      <c r="C140" s="28"/>
      <c r="E140" s="189" t="s">
        <v>59</v>
      </c>
      <c r="F140" s="256" t="s">
        <v>139</v>
      </c>
      <c r="G140" s="190"/>
      <c r="H140" s="94"/>
      <c r="I140" s="43"/>
      <c r="J140" s="3"/>
      <c r="K140" s="175"/>
      <c r="L140" s="231"/>
      <c r="M140" s="30"/>
      <c r="N140" s="234">
        <f>SUM(N123:N139)*0.1</f>
        <v>21.093500000000002</v>
      </c>
      <c r="O140" s="32"/>
      <c r="P140" s="109"/>
      <c r="Q140" s="30"/>
      <c r="R140" s="258">
        <f t="shared" si="16"/>
        <v>2.1093500000000005</v>
      </c>
      <c r="S140" s="259">
        <f t="shared" si="15"/>
        <v>10.546750000000001</v>
      </c>
      <c r="T140" s="259">
        <f t="shared" si="17"/>
        <v>8.437400000000002</v>
      </c>
      <c r="U140" s="111"/>
      <c r="V140" s="112"/>
      <c r="W140" s="30"/>
      <c r="X140" s="110"/>
      <c r="Y140" s="111"/>
      <c r="Z140" s="111"/>
      <c r="AA140" s="111"/>
      <c r="AB140" s="112"/>
    </row>
    <row r="141" spans="2:28" ht="4" customHeight="1">
      <c r="E141" s="3"/>
      <c r="J141" s="3"/>
    </row>
    <row r="142" spans="2:28" ht="15" customHeight="1">
      <c r="F142" s="113" t="s">
        <v>19</v>
      </c>
      <c r="G142" s="114"/>
      <c r="H142" s="114"/>
      <c r="I142" s="85"/>
      <c r="K142" s="22"/>
      <c r="L142" s="207"/>
      <c r="M142" s="20"/>
      <c r="N142" s="179">
        <f>SUM(N123:N140)</f>
        <v>232.02850000000001</v>
      </c>
      <c r="O142" s="20"/>
      <c r="P142" s="22"/>
      <c r="Q142" s="20"/>
      <c r="R142" s="180">
        <f>SUM(R124:R140)</f>
        <v>21.405349999999999</v>
      </c>
      <c r="S142" s="181">
        <f>SUM(S124:S140)</f>
        <v>118.50174999999999</v>
      </c>
      <c r="T142" s="181">
        <f>SUM(T124:T140)</f>
        <v>85.621399999999994</v>
      </c>
      <c r="U142" s="182">
        <f>SUM(U124:U140)</f>
        <v>0</v>
      </c>
      <c r="V142" s="180">
        <f>SUM(V124:V140)</f>
        <v>0</v>
      </c>
      <c r="W142" s="115"/>
      <c r="X142" s="160">
        <f>SUM(X124:X140)</f>
        <v>0</v>
      </c>
      <c r="Y142" s="161">
        <f>SUM(Y124:Y140)</f>
        <v>0</v>
      </c>
      <c r="Z142" s="161">
        <f>SUM(Z124:Z140)</f>
        <v>0</v>
      </c>
      <c r="AA142" s="161">
        <f>SUM(AA124:AA140)</f>
        <v>0</v>
      </c>
      <c r="AB142" s="161">
        <f>SUM(AB124:AB140)</f>
        <v>0</v>
      </c>
    </row>
    <row r="143" spans="2:28" ht="10" customHeight="1">
      <c r="F143" s="192"/>
      <c r="G143" s="193"/>
      <c r="H143" s="193"/>
      <c r="I143" s="193"/>
      <c r="K143" s="168"/>
      <c r="L143" s="20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94"/>
      <c r="X143" s="195"/>
      <c r="Y143" s="195"/>
      <c r="Z143" s="195"/>
      <c r="AA143" s="195"/>
      <c r="AB143" s="195"/>
    </row>
    <row r="144" spans="2:28" ht="15" customHeight="1">
      <c r="B144" s="164" t="s">
        <v>31</v>
      </c>
      <c r="C144" s="6"/>
      <c r="E144" s="116" t="s">
        <v>20</v>
      </c>
    </row>
    <row r="145" spans="2:28" ht="15" customHeight="1">
      <c r="B145" s="6"/>
      <c r="C145" s="262" t="s">
        <v>6</v>
      </c>
      <c r="E145" s="277" t="s">
        <v>126</v>
      </c>
      <c r="F145" s="237"/>
      <c r="K145" s="333" t="s">
        <v>9</v>
      </c>
      <c r="L145" s="334"/>
      <c r="M145" s="334"/>
      <c r="N145" s="335"/>
      <c r="O145" s="24"/>
      <c r="P145" s="68" t="s">
        <v>10</v>
      </c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70"/>
    </row>
    <row r="146" spans="2:28" ht="15" customHeight="1">
      <c r="E146" s="26" t="s">
        <v>21</v>
      </c>
      <c r="F146" s="84" t="s">
        <v>22</v>
      </c>
      <c r="G146" s="85"/>
      <c r="H146" s="73" t="s">
        <v>4</v>
      </c>
      <c r="I146" s="75" t="s">
        <v>23</v>
      </c>
      <c r="K146" s="71"/>
      <c r="M146" s="24"/>
      <c r="N146" s="72" t="s">
        <v>11</v>
      </c>
      <c r="O146" s="24"/>
      <c r="P146" s="73">
        <v>2011</v>
      </c>
      <c r="Q146" s="74"/>
      <c r="R146" s="75">
        <f>P146+1</f>
        <v>2012</v>
      </c>
      <c r="S146" s="75">
        <f>R146+1</f>
        <v>2013</v>
      </c>
      <c r="T146" s="75">
        <f>S146+1</f>
        <v>2014</v>
      </c>
      <c r="U146" s="75">
        <f>T146+1</f>
        <v>2015</v>
      </c>
      <c r="V146" s="75">
        <f>U146+1</f>
        <v>2016</v>
      </c>
      <c r="W146" s="74"/>
      <c r="X146" s="76">
        <f>V146+1</f>
        <v>2017</v>
      </c>
      <c r="Y146" s="76">
        <f>X146+1</f>
        <v>2018</v>
      </c>
      <c r="Z146" s="76">
        <f>Y146+1</f>
        <v>2019</v>
      </c>
      <c r="AA146" s="76">
        <f>Z146+1</f>
        <v>2020</v>
      </c>
      <c r="AB146" s="76">
        <f>AA146+1</f>
        <v>2021</v>
      </c>
    </row>
    <row r="147" spans="2:28" ht="4" customHeight="1"/>
    <row r="148" spans="2:28" ht="12" customHeight="1">
      <c r="C148" s="28"/>
      <c r="E148" s="77" t="s">
        <v>3</v>
      </c>
      <c r="F148" s="197" t="s">
        <v>224</v>
      </c>
      <c r="G148" s="117"/>
      <c r="H148" s="73"/>
      <c r="I148" s="75"/>
      <c r="J148" s="3"/>
      <c r="K148" s="87"/>
      <c r="L148" s="204"/>
      <c r="M148" s="30"/>
      <c r="N148" s="176">
        <f>N119</f>
        <v>102.89999999999999</v>
      </c>
      <c r="O148" s="32"/>
      <c r="P148" s="88"/>
      <c r="Q148" s="30"/>
      <c r="R148" s="89">
        <f>R119</f>
        <v>0</v>
      </c>
      <c r="S148" s="89">
        <f>S119</f>
        <v>102.89999999999999</v>
      </c>
      <c r="T148" s="89">
        <f>T119</f>
        <v>0</v>
      </c>
      <c r="U148" s="89">
        <f>U119</f>
        <v>0</v>
      </c>
      <c r="V148" s="220">
        <f>V119</f>
        <v>0</v>
      </c>
      <c r="X148" s="199"/>
      <c r="Y148" s="118"/>
      <c r="Z148" s="118"/>
      <c r="AA148" s="118"/>
      <c r="AB148" s="119"/>
    </row>
    <row r="149" spans="2:28" ht="12" customHeight="1">
      <c r="C149" s="28"/>
      <c r="E149" s="105" t="s">
        <v>218</v>
      </c>
      <c r="F149" s="41" t="s">
        <v>221</v>
      </c>
      <c r="G149" s="100"/>
      <c r="H149" s="94"/>
      <c r="I149" s="43"/>
      <c r="J149" s="3"/>
      <c r="K149" s="101"/>
      <c r="L149" s="204"/>
      <c r="M149" s="30"/>
      <c r="N149" s="178">
        <f>N123</f>
        <v>6.5</v>
      </c>
      <c r="O149" s="32"/>
      <c r="P149" s="96"/>
      <c r="Q149" s="30"/>
      <c r="R149" s="157">
        <f>R123</f>
        <v>0</v>
      </c>
      <c r="S149" s="157">
        <f>S123</f>
        <v>6.5</v>
      </c>
      <c r="T149" s="157">
        <f t="shared" ref="T149:V149" si="18">T123</f>
        <v>0</v>
      </c>
      <c r="U149" s="157">
        <f t="shared" si="18"/>
        <v>0</v>
      </c>
      <c r="V149" s="157">
        <f t="shared" si="18"/>
        <v>0</v>
      </c>
      <c r="W149" s="30"/>
      <c r="X149" s="102"/>
      <c r="Y149" s="103"/>
      <c r="Z149" s="103"/>
      <c r="AA149" s="103"/>
      <c r="AB149" s="104"/>
    </row>
    <row r="150" spans="2:28" ht="12" customHeight="1">
      <c r="C150" s="28"/>
      <c r="E150" s="105" t="s">
        <v>29</v>
      </c>
      <c r="F150" s="41" t="s">
        <v>220</v>
      </c>
      <c r="G150" s="100"/>
      <c r="H150" s="94"/>
      <c r="I150" s="43"/>
      <c r="J150" s="3"/>
      <c r="K150" s="101"/>
      <c r="L150" s="204"/>
      <c r="M150" s="30"/>
      <c r="N150" s="178">
        <f>SUM(N124:N127)</f>
        <v>11.475</v>
      </c>
      <c r="O150" s="32"/>
      <c r="P150" s="96"/>
      <c r="Q150" s="30"/>
      <c r="R150" s="157">
        <f>SUM(R124:R127)</f>
        <v>0</v>
      </c>
      <c r="S150" s="157">
        <f t="shared" ref="S150:V150" si="19">SUM(S124:S127)</f>
        <v>11.475</v>
      </c>
      <c r="T150" s="157">
        <f>SUM(T124:T127)</f>
        <v>0</v>
      </c>
      <c r="U150" s="157">
        <f t="shared" si="19"/>
        <v>0</v>
      </c>
      <c r="V150" s="157">
        <f t="shared" si="19"/>
        <v>0</v>
      </c>
      <c r="W150" s="30"/>
      <c r="X150" s="102"/>
      <c r="Y150" s="103"/>
      <c r="Z150" s="103"/>
      <c r="AA150" s="103"/>
      <c r="AB150" s="104"/>
    </row>
    <row r="151" spans="2:28" ht="12" customHeight="1">
      <c r="C151" s="28"/>
      <c r="E151" s="105" t="s">
        <v>49</v>
      </c>
      <c r="F151" s="41" t="s">
        <v>50</v>
      </c>
      <c r="G151" s="100"/>
      <c r="H151" s="94"/>
      <c r="I151" s="43"/>
      <c r="J151" s="3"/>
      <c r="K151" s="101"/>
      <c r="L151" s="204"/>
      <c r="M151" s="30"/>
      <c r="N151" s="178">
        <f>SUM(N129:N133)</f>
        <v>0</v>
      </c>
      <c r="O151" s="32"/>
      <c r="P151" s="96"/>
      <c r="Q151" s="30"/>
      <c r="R151" s="178">
        <f>SUM(R129:R133)</f>
        <v>0</v>
      </c>
      <c r="S151" s="178">
        <f t="shared" ref="S151:V151" si="20">SUM(S129:S133)</f>
        <v>0</v>
      </c>
      <c r="T151" s="178">
        <f t="shared" si="20"/>
        <v>0</v>
      </c>
      <c r="U151" s="178">
        <f t="shared" si="20"/>
        <v>0</v>
      </c>
      <c r="V151" s="178">
        <f t="shared" si="20"/>
        <v>0</v>
      </c>
      <c r="W151" s="30"/>
      <c r="X151" s="102"/>
      <c r="Y151" s="103"/>
      <c r="Z151" s="103"/>
      <c r="AA151" s="103"/>
      <c r="AB151" s="104"/>
    </row>
    <row r="152" spans="2:28" ht="12" customHeight="1">
      <c r="C152" s="28"/>
      <c r="E152" s="105" t="s">
        <v>167</v>
      </c>
      <c r="F152" s="41" t="s">
        <v>51</v>
      </c>
      <c r="G152" s="100"/>
      <c r="H152" s="94"/>
      <c r="I152" s="43"/>
      <c r="J152" s="3"/>
      <c r="K152" s="101"/>
      <c r="L152" s="204"/>
      <c r="M152" s="30"/>
      <c r="N152" s="178">
        <f>SUM(N135:N136)</f>
        <v>50.199999999999996</v>
      </c>
      <c r="O152" s="32"/>
      <c r="P152" s="96"/>
      <c r="Q152" s="30"/>
      <c r="R152" s="178">
        <f>SUM(R135:R136)</f>
        <v>5.0199999999999996</v>
      </c>
      <c r="S152" s="178">
        <f t="shared" ref="S152:V152" si="21">SUM(S135:S136)</f>
        <v>25.099999999999998</v>
      </c>
      <c r="T152" s="178">
        <f t="shared" si="21"/>
        <v>20.079999999999998</v>
      </c>
      <c r="U152" s="178">
        <f t="shared" si="21"/>
        <v>0</v>
      </c>
      <c r="V152" s="178">
        <f t="shared" si="21"/>
        <v>0</v>
      </c>
      <c r="W152" s="30"/>
      <c r="X152" s="102"/>
      <c r="Y152" s="103"/>
      <c r="Z152" s="103"/>
      <c r="AA152" s="103"/>
      <c r="AB152" s="104"/>
    </row>
    <row r="153" spans="2:28" ht="12" customHeight="1">
      <c r="C153" s="28"/>
      <c r="E153" s="105" t="s">
        <v>53</v>
      </c>
      <c r="F153" s="41" t="s">
        <v>54</v>
      </c>
      <c r="G153" s="100"/>
      <c r="H153" s="94"/>
      <c r="I153" s="43"/>
      <c r="J153" s="3"/>
      <c r="K153" s="101"/>
      <c r="L153" s="204"/>
      <c r="M153" s="30"/>
      <c r="N153" s="178">
        <f>SUM(N137:N138)</f>
        <v>99.56</v>
      </c>
      <c r="O153" s="32"/>
      <c r="P153" s="96"/>
      <c r="Q153" s="30"/>
      <c r="R153" s="178">
        <f>SUM(R137:R138)</f>
        <v>9.9559999999999995</v>
      </c>
      <c r="S153" s="178">
        <f t="shared" ref="S153:V153" si="22">SUM(S137:S138)</f>
        <v>49.78</v>
      </c>
      <c r="T153" s="178">
        <f t="shared" si="22"/>
        <v>39.823999999999998</v>
      </c>
      <c r="U153" s="178">
        <f t="shared" si="22"/>
        <v>0</v>
      </c>
      <c r="V153" s="178">
        <f t="shared" si="22"/>
        <v>0</v>
      </c>
      <c r="W153" s="30"/>
      <c r="X153" s="102"/>
      <c r="Y153" s="103"/>
      <c r="Z153" s="103"/>
      <c r="AA153" s="103"/>
      <c r="AB153" s="104"/>
    </row>
    <row r="154" spans="2:28" ht="12" customHeight="1">
      <c r="C154" s="28"/>
      <c r="E154" s="105" t="s">
        <v>55</v>
      </c>
      <c r="F154" s="41" t="s">
        <v>165</v>
      </c>
      <c r="G154" s="100"/>
      <c r="H154" s="94"/>
      <c r="I154" s="43"/>
      <c r="J154" s="3"/>
      <c r="K154" s="101"/>
      <c r="L154" s="204"/>
      <c r="M154" s="30"/>
      <c r="N154" s="178">
        <f>SUM(N139:N139)</f>
        <v>43.199999999999996</v>
      </c>
      <c r="O154" s="32"/>
      <c r="P154" s="96"/>
      <c r="Q154" s="30"/>
      <c r="R154" s="178">
        <f>SUM(R139:R139)</f>
        <v>4.3199999999999994</v>
      </c>
      <c r="S154" s="178">
        <f>SUM(S139:S139)</f>
        <v>21.599999999999998</v>
      </c>
      <c r="T154" s="178">
        <f>SUM(T139:T139)</f>
        <v>17.279999999999998</v>
      </c>
      <c r="U154" s="178">
        <f>SUM(U139:U139)</f>
        <v>0</v>
      </c>
      <c r="V154" s="178">
        <f>SUM(V139:V139)</f>
        <v>0</v>
      </c>
      <c r="W154" s="30"/>
      <c r="X154" s="102"/>
      <c r="Y154" s="103"/>
      <c r="Z154" s="103"/>
      <c r="AA154" s="103"/>
      <c r="AB154" s="104"/>
    </row>
    <row r="155" spans="2:28" ht="12" customHeight="1">
      <c r="C155" s="28"/>
      <c r="E155" s="108" t="s">
        <v>59</v>
      </c>
      <c r="F155" s="256" t="s">
        <v>139</v>
      </c>
      <c r="G155" s="120"/>
      <c r="H155" s="94"/>
      <c r="I155" s="43"/>
      <c r="J155" s="3"/>
      <c r="K155" s="121"/>
      <c r="L155" s="204"/>
      <c r="M155" s="30"/>
      <c r="N155" s="234">
        <f>N140</f>
        <v>21.093500000000002</v>
      </c>
      <c r="O155" s="32"/>
      <c r="P155" s="109"/>
      <c r="Q155" s="30"/>
      <c r="R155" s="163">
        <f t="shared" ref="R155:V155" si="23">R140</f>
        <v>2.1093500000000005</v>
      </c>
      <c r="S155" s="163">
        <f t="shared" si="23"/>
        <v>10.546750000000001</v>
      </c>
      <c r="T155" s="163">
        <f t="shared" si="23"/>
        <v>8.437400000000002</v>
      </c>
      <c r="U155" s="163">
        <f t="shared" si="23"/>
        <v>0</v>
      </c>
      <c r="V155" s="163">
        <f t="shared" si="23"/>
        <v>0</v>
      </c>
      <c r="W155" s="30"/>
      <c r="X155" s="218"/>
      <c r="Y155" s="111"/>
      <c r="Z155" s="111"/>
      <c r="AA155" s="111"/>
      <c r="AB155" s="112"/>
    </row>
    <row r="156" spans="2:28" ht="4" customHeight="1">
      <c r="E156" s="3"/>
      <c r="J156" s="3"/>
    </row>
    <row r="157" spans="2:28" ht="15" customHeight="1">
      <c r="F157" s="122" t="s">
        <v>24</v>
      </c>
      <c r="G157" s="114"/>
      <c r="H157" s="114"/>
      <c r="I157" s="85"/>
      <c r="K157" s="22"/>
      <c r="L157" s="207"/>
      <c r="M157" s="20"/>
      <c r="N157" s="162">
        <f>SUM(N148:N155)</f>
        <v>334.92849999999999</v>
      </c>
      <c r="O157" s="20"/>
      <c r="P157" s="22"/>
      <c r="Q157" s="20"/>
      <c r="R157" s="198">
        <f>SUM(R148:R155)</f>
        <v>21.405349999999999</v>
      </c>
      <c r="S157" s="198">
        <f>SUM(S148:S155)</f>
        <v>227.90174999999999</v>
      </c>
      <c r="T157" s="198">
        <f>SUM(T148:T155)</f>
        <v>85.621399999999994</v>
      </c>
      <c r="U157" s="198">
        <f>SUM(U148:U155)</f>
        <v>0</v>
      </c>
      <c r="V157" s="198">
        <f>SUM(V148:V155)</f>
        <v>0</v>
      </c>
      <c r="W157" s="115"/>
      <c r="X157" s="160">
        <f>SUM(X148:X155)</f>
        <v>0</v>
      </c>
      <c r="Y157" s="160">
        <f>SUM(Y148:Y155)</f>
        <v>0</v>
      </c>
      <c r="Z157" s="160">
        <f>SUM(Z148:Z155)</f>
        <v>0</v>
      </c>
      <c r="AA157" s="160">
        <f>SUM(AA148:AA155)</f>
        <v>0</v>
      </c>
      <c r="AB157" s="160">
        <f>SUM(AB148:AB155)</f>
        <v>0</v>
      </c>
    </row>
    <row r="158" spans="2:28" ht="10" customHeight="1"/>
    <row r="159" spans="2:28" ht="12" customHeight="1" thickBot="1"/>
    <row r="160" spans="2:28" ht="18" customHeight="1" thickBot="1">
      <c r="B160" s="315" t="s">
        <v>77</v>
      </c>
      <c r="C160" s="316"/>
      <c r="D160" s="316"/>
      <c r="E160" s="316"/>
      <c r="F160" s="316"/>
      <c r="G160" s="316"/>
      <c r="H160" s="316"/>
      <c r="I160" s="316"/>
      <c r="J160" s="316"/>
      <c r="K160" s="316"/>
      <c r="L160" s="316"/>
      <c r="M160" s="316"/>
      <c r="N160" s="316"/>
      <c r="O160" s="316"/>
      <c r="P160" s="316"/>
      <c r="Q160" s="316"/>
      <c r="R160" s="316"/>
      <c r="S160" s="316"/>
      <c r="T160" s="316"/>
      <c r="U160" s="316"/>
      <c r="V160" s="316"/>
      <c r="W160" s="316"/>
      <c r="X160" s="316"/>
      <c r="Y160" s="316"/>
      <c r="Z160" s="316"/>
      <c r="AA160" s="316"/>
      <c r="AB160" s="317"/>
    </row>
    <row r="161" spans="2:29" ht="10" customHeight="1" thickBot="1"/>
    <row r="162" spans="2:29" ht="15" customHeight="1" thickBot="1">
      <c r="B162" s="164" t="s">
        <v>79</v>
      </c>
      <c r="C162" s="6"/>
      <c r="D162" s="132"/>
      <c r="E162" s="252" t="s">
        <v>80</v>
      </c>
      <c r="F162" s="7"/>
      <c r="G162" s="8"/>
    </row>
    <row r="163" spans="2:29" ht="36" customHeight="1">
      <c r="B163" s="6"/>
      <c r="C163" s="9"/>
      <c r="D163" s="130"/>
      <c r="E163" s="263" t="s">
        <v>144</v>
      </c>
      <c r="F163" s="272" t="s">
        <v>145</v>
      </c>
      <c r="G163" s="11"/>
    </row>
    <row r="164" spans="2:29" ht="12" customHeight="1">
      <c r="B164" s="6"/>
      <c r="C164" s="6"/>
      <c r="D164" s="132"/>
      <c r="E164" s="12"/>
      <c r="F164" s="26" t="s">
        <v>160</v>
      </c>
      <c r="G164" s="11"/>
    </row>
    <row r="165" spans="2:29" ht="12" customHeight="1">
      <c r="B165" s="6"/>
      <c r="C165" s="6"/>
      <c r="D165" s="132"/>
      <c r="E165" s="12"/>
      <c r="F165" s="273" t="s">
        <v>7</v>
      </c>
      <c r="G165" s="14">
        <v>2014</v>
      </c>
      <c r="P165" s="137">
        <v>2011</v>
      </c>
      <c r="Q165" s="138"/>
      <c r="R165" s="137">
        <f>P165+1</f>
        <v>2012</v>
      </c>
      <c r="S165" s="137">
        <f>R165+1</f>
        <v>2013</v>
      </c>
      <c r="T165" s="137">
        <f>S165+1</f>
        <v>2014</v>
      </c>
      <c r="U165" s="137">
        <f>T165+1</f>
        <v>2015</v>
      </c>
      <c r="V165" s="137">
        <f>U165+1</f>
        <v>2016</v>
      </c>
      <c r="W165" s="138"/>
      <c r="X165" s="139">
        <f>V165+1</f>
        <v>2017</v>
      </c>
      <c r="Y165" s="139">
        <f>X165+1</f>
        <v>2018</v>
      </c>
      <c r="Z165" s="139">
        <f>Y165+1</f>
        <v>2019</v>
      </c>
      <c r="AA165" s="139">
        <f>Z165+1</f>
        <v>2020</v>
      </c>
      <c r="AB165" s="139">
        <f>AA165+1</f>
        <v>2021</v>
      </c>
    </row>
    <row r="166" spans="2:29" ht="12" customHeight="1">
      <c r="F166" s="1"/>
      <c r="G166" s="209" t="s">
        <v>68</v>
      </c>
      <c r="H166" s="18"/>
      <c r="I166" s="18"/>
      <c r="K166" s="19"/>
      <c r="L166" s="203"/>
      <c r="M166" s="20"/>
      <c r="N166" s="21" t="s">
        <v>0</v>
      </c>
      <c r="O166" s="20"/>
      <c r="P166" s="22"/>
      <c r="Q166" s="20"/>
      <c r="R166" s="140"/>
      <c r="S166" s="141"/>
      <c r="T166" s="142">
        <v>23.7</v>
      </c>
      <c r="U166" s="140">
        <v>33.799999999999997</v>
      </c>
      <c r="V166" s="143">
        <v>30.5</v>
      </c>
      <c r="W166" s="23"/>
      <c r="X166" s="144">
        <v>28.3</v>
      </c>
      <c r="Y166" s="144">
        <v>25.700000000000003</v>
      </c>
      <c r="Z166" s="144">
        <v>19.100000000000001</v>
      </c>
      <c r="AA166" s="144">
        <v>15.1</v>
      </c>
      <c r="AB166" s="144">
        <v>15.1</v>
      </c>
    </row>
    <row r="167" spans="2:29" ht="12" customHeight="1">
      <c r="F167" s="1"/>
      <c r="G167" s="210" t="s">
        <v>69</v>
      </c>
      <c r="H167" s="18"/>
      <c r="I167" s="18"/>
      <c r="K167" s="19"/>
      <c r="L167" s="203"/>
      <c r="M167" s="20"/>
      <c r="N167" s="21" t="s">
        <v>1</v>
      </c>
      <c r="O167" s="20"/>
      <c r="P167" s="22"/>
      <c r="Q167" s="20"/>
      <c r="R167" s="140"/>
      <c r="S167" s="141"/>
      <c r="T167" s="142">
        <v>11.600000000000001</v>
      </c>
      <c r="U167" s="140">
        <v>16.600000000000001</v>
      </c>
      <c r="V167" s="143">
        <v>15.899999999999999</v>
      </c>
      <c r="W167" s="23"/>
      <c r="X167" s="144">
        <v>15.1</v>
      </c>
      <c r="Y167" s="144">
        <v>14.100000000000001</v>
      </c>
      <c r="Z167" s="144">
        <v>10.600000000000001</v>
      </c>
      <c r="AA167" s="144">
        <v>7.9</v>
      </c>
      <c r="AB167" s="144">
        <v>7.9</v>
      </c>
    </row>
    <row r="168" spans="2:29" ht="10" customHeight="1">
      <c r="F168" s="1"/>
      <c r="G168" s="165"/>
      <c r="H168" s="166"/>
      <c r="I168" s="166"/>
      <c r="K168" s="167"/>
      <c r="L168" s="204"/>
      <c r="M168" s="168"/>
      <c r="N168" s="169"/>
      <c r="O168" s="168"/>
      <c r="P168" s="168"/>
      <c r="Q168" s="168"/>
      <c r="R168" s="170"/>
      <c r="S168" s="170"/>
      <c r="T168" s="170"/>
      <c r="U168" s="170"/>
      <c r="V168" s="170"/>
      <c r="W168" s="171"/>
      <c r="X168" s="172"/>
      <c r="Y168" s="172"/>
      <c r="Z168" s="172"/>
      <c r="AA168" s="172"/>
      <c r="AB168" s="172"/>
    </row>
    <row r="169" spans="2:29" ht="12" customHeight="1">
      <c r="E169" s="26" t="s">
        <v>8</v>
      </c>
      <c r="F169" s="27" t="s">
        <v>27</v>
      </c>
      <c r="O169" s="24"/>
      <c r="P169" s="134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6"/>
    </row>
    <row r="170" spans="2:29" ht="12" customHeight="1">
      <c r="C170" s="25"/>
      <c r="F170" s="1"/>
      <c r="G170" s="5"/>
      <c r="O170" s="24"/>
      <c r="P170" s="15">
        <v>2011</v>
      </c>
      <c r="Q170" s="16"/>
      <c r="R170" s="16">
        <f>P170+1</f>
        <v>2012</v>
      </c>
      <c r="S170" s="16">
        <f>R170+1</f>
        <v>2013</v>
      </c>
      <c r="T170" s="16">
        <f>S170+1</f>
        <v>2014</v>
      </c>
      <c r="U170" s="16">
        <f>T170+1</f>
        <v>2015</v>
      </c>
      <c r="V170" s="16">
        <f>U170+1</f>
        <v>2016</v>
      </c>
      <c r="W170" s="16"/>
      <c r="X170" s="17">
        <f>V170+1</f>
        <v>2017</v>
      </c>
      <c r="Y170" s="17">
        <f>X170+1</f>
        <v>2018</v>
      </c>
      <c r="Z170" s="17">
        <f>Y170+1</f>
        <v>2019</v>
      </c>
      <c r="AA170" s="17">
        <f>Z170+1</f>
        <v>2020</v>
      </c>
      <c r="AB170" s="17">
        <f>AA170+1</f>
        <v>2021</v>
      </c>
      <c r="AC170" s="24"/>
    </row>
    <row r="171" spans="2:29" ht="4" customHeight="1"/>
    <row r="172" spans="2:29" ht="12" customHeight="1">
      <c r="D172" s="242">
        <v>1</v>
      </c>
      <c r="E172" s="125" t="s">
        <v>209</v>
      </c>
      <c r="F172" s="125" t="s">
        <v>210</v>
      </c>
      <c r="G172" s="145"/>
      <c r="H172" s="150"/>
      <c r="I172" s="151"/>
      <c r="J172" s="3"/>
      <c r="K172" s="295">
        <v>4</v>
      </c>
      <c r="L172" s="201"/>
      <c r="M172" s="30"/>
      <c r="N172" s="87"/>
      <c r="O172" s="32"/>
      <c r="P172" s="33"/>
      <c r="Q172" s="30"/>
      <c r="R172" s="34"/>
      <c r="S172" s="35">
        <f>K172</f>
        <v>4</v>
      </c>
      <c r="T172" s="35"/>
      <c r="U172" s="35"/>
      <c r="V172" s="36"/>
      <c r="W172" s="30"/>
      <c r="X172" s="37"/>
      <c r="Y172" s="38"/>
      <c r="Z172" s="38"/>
      <c r="AA172" s="38"/>
      <c r="AB172" s="39"/>
    </row>
    <row r="173" spans="2:29" ht="12" customHeight="1">
      <c r="D173" s="243">
        <v>2</v>
      </c>
      <c r="E173" s="126" t="s">
        <v>222</v>
      </c>
      <c r="F173" s="126" t="s">
        <v>223</v>
      </c>
      <c r="G173" s="146"/>
      <c r="H173" s="152"/>
      <c r="I173" s="153"/>
      <c r="J173" s="3"/>
      <c r="K173" s="296">
        <v>2</v>
      </c>
      <c r="L173" s="201"/>
      <c r="M173" s="30"/>
      <c r="N173" s="101"/>
      <c r="O173" s="32"/>
      <c r="P173" s="45"/>
      <c r="Q173" s="30"/>
      <c r="R173" s="46"/>
      <c r="S173" s="47">
        <f>K173</f>
        <v>2</v>
      </c>
      <c r="T173" s="47"/>
      <c r="U173" s="47"/>
      <c r="V173" s="48"/>
      <c r="W173" s="30"/>
      <c r="X173" s="49"/>
      <c r="Y173" s="50"/>
      <c r="Z173" s="50"/>
      <c r="AA173" s="50"/>
      <c r="AB173" s="51"/>
    </row>
    <row r="174" spans="2:29" ht="12" customHeight="1">
      <c r="D174" s="243">
        <v>3</v>
      </c>
      <c r="E174" s="126" t="s">
        <v>211</v>
      </c>
      <c r="F174" s="126" t="s">
        <v>26</v>
      </c>
      <c r="G174" s="146"/>
      <c r="H174" s="152"/>
      <c r="I174" s="153"/>
      <c r="J174" s="3"/>
      <c r="K174" s="44">
        <v>2</v>
      </c>
      <c r="L174" s="201"/>
      <c r="M174" s="30"/>
      <c r="N174" s="53"/>
      <c r="O174" s="32"/>
      <c r="P174" s="45"/>
      <c r="Q174" s="30"/>
      <c r="R174" s="46"/>
      <c r="S174" s="47">
        <f t="shared" ref="S174" si="24">K174</f>
        <v>2</v>
      </c>
      <c r="T174" s="47"/>
      <c r="U174" s="47"/>
      <c r="V174" s="48"/>
      <c r="W174" s="30"/>
      <c r="X174" s="49"/>
      <c r="Y174" s="50"/>
      <c r="Z174" s="50"/>
      <c r="AA174" s="50"/>
      <c r="AB174" s="51"/>
    </row>
    <row r="175" spans="2:29" ht="12" customHeight="1">
      <c r="D175" s="244">
        <v>4</v>
      </c>
      <c r="E175" s="127" t="s">
        <v>212</v>
      </c>
      <c r="F175" s="127" t="s">
        <v>26</v>
      </c>
      <c r="G175" s="147"/>
      <c r="H175" s="154"/>
      <c r="I175" s="155"/>
      <c r="J175" s="3"/>
      <c r="K175" s="297">
        <v>4</v>
      </c>
      <c r="L175" s="201"/>
      <c r="M175" s="30"/>
      <c r="N175" s="53"/>
      <c r="O175" s="32"/>
      <c r="P175" s="45"/>
      <c r="Q175" s="30"/>
      <c r="R175" s="46"/>
      <c r="S175" s="47">
        <f>K175</f>
        <v>4</v>
      </c>
      <c r="T175" s="47"/>
      <c r="U175" s="47"/>
      <c r="V175" s="48"/>
      <c r="W175" s="30"/>
      <c r="X175" s="49"/>
      <c r="Y175" s="50"/>
      <c r="Z175" s="50"/>
      <c r="AA175" s="50"/>
      <c r="AB175" s="51"/>
    </row>
    <row r="176" spans="2:29" s="67" customFormat="1" ht="15" customHeight="1">
      <c r="B176" s="54"/>
      <c r="C176" s="55"/>
      <c r="D176" s="133"/>
      <c r="E176" s="124"/>
      <c r="F176" s="128" t="s">
        <v>2</v>
      </c>
      <c r="G176" s="129"/>
      <c r="H176" s="148"/>
      <c r="I176" s="149"/>
      <c r="J176" s="61"/>
      <c r="K176" s="29">
        <f>SUM(K172:K175)</f>
        <v>12</v>
      </c>
      <c r="L176" s="205"/>
      <c r="M176" s="62"/>
      <c r="N176" s="31"/>
      <c r="O176" s="61"/>
      <c r="P176" s="63"/>
      <c r="Q176" s="62"/>
      <c r="R176" s="64">
        <f>SUM(R172:R175)</f>
        <v>0</v>
      </c>
      <c r="S176" s="64">
        <f>SUM(S172:S175)</f>
        <v>12</v>
      </c>
      <c r="T176" s="64">
        <f>SUM(T172:T175)</f>
        <v>0</v>
      </c>
      <c r="U176" s="64">
        <f>SUM(U172:U175)</f>
        <v>0</v>
      </c>
      <c r="V176" s="64">
        <f>SUM(V172:V175)</f>
        <v>0</v>
      </c>
      <c r="W176" s="62"/>
      <c r="X176" s="65"/>
      <c r="Y176" s="59"/>
      <c r="Z176" s="59"/>
      <c r="AA176" s="59"/>
      <c r="AB176" s="66"/>
    </row>
    <row r="177" spans="2:28" ht="9" customHeight="1"/>
    <row r="178" spans="2:28" ht="14.15" customHeight="1">
      <c r="L178" s="1"/>
      <c r="O178" s="24"/>
      <c r="P178" s="84" t="s">
        <v>10</v>
      </c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  <c r="AB178" s="222"/>
    </row>
    <row r="179" spans="2:28" ht="15" customHeight="1">
      <c r="E179" s="26" t="s">
        <v>28</v>
      </c>
      <c r="K179" s="137" t="s">
        <v>67</v>
      </c>
      <c r="L179" s="211" t="s">
        <v>66</v>
      </c>
      <c r="M179" s="24"/>
      <c r="N179" s="212" t="s">
        <v>11</v>
      </c>
      <c r="O179" s="24"/>
      <c r="P179" s="137">
        <v>2011</v>
      </c>
      <c r="Q179" s="5"/>
      <c r="R179" s="137">
        <f>P179+1</f>
        <v>2012</v>
      </c>
      <c r="S179" s="137">
        <f>R179+1</f>
        <v>2013</v>
      </c>
      <c r="T179" s="137">
        <f>S179+1</f>
        <v>2014</v>
      </c>
      <c r="U179" s="137">
        <f>T179+1</f>
        <v>2015</v>
      </c>
      <c r="V179" s="137">
        <f>U179+1</f>
        <v>2016</v>
      </c>
      <c r="W179" s="5"/>
      <c r="X179" s="139">
        <f>V179+1</f>
        <v>2017</v>
      </c>
      <c r="Y179" s="139">
        <f>X179+1</f>
        <v>2018</v>
      </c>
      <c r="Z179" s="139">
        <f>Y179+1</f>
        <v>2019</v>
      </c>
      <c r="AA179" s="139">
        <f>Z179+1</f>
        <v>2020</v>
      </c>
      <c r="AB179" s="139">
        <f>AA179+1</f>
        <v>2021</v>
      </c>
    </row>
    <row r="180" spans="2:28" ht="4.5" customHeight="1"/>
    <row r="181" spans="2:28" ht="12" customHeight="1">
      <c r="D181" s="242">
        <v>1</v>
      </c>
      <c r="E181" s="125" t="s">
        <v>209</v>
      </c>
      <c r="F181" s="125" t="s">
        <v>213</v>
      </c>
      <c r="G181" s="299">
        <f>(3*1+2.5)/4</f>
        <v>1.375</v>
      </c>
      <c r="H181" s="78" t="s">
        <v>12</v>
      </c>
      <c r="I181" s="79" t="s">
        <v>13</v>
      </c>
      <c r="J181" s="3"/>
      <c r="K181" s="80">
        <f>K172</f>
        <v>4</v>
      </c>
      <c r="L181" s="225" t="s">
        <v>13</v>
      </c>
      <c r="M181" s="30"/>
      <c r="N181" s="156">
        <f>G181*K181</f>
        <v>5.5</v>
      </c>
      <c r="O181" s="32"/>
      <c r="P181" s="33"/>
      <c r="Q181" s="30"/>
      <c r="R181" s="81">
        <f t="shared" ref="R181:V184" si="25">$G181*R172</f>
        <v>0</v>
      </c>
      <c r="S181" s="81">
        <f t="shared" si="25"/>
        <v>5.5</v>
      </c>
      <c r="T181" s="81">
        <f t="shared" si="25"/>
        <v>0</v>
      </c>
      <c r="U181" s="81">
        <f t="shared" si="25"/>
        <v>0</v>
      </c>
      <c r="V181" s="81">
        <f t="shared" si="25"/>
        <v>0</v>
      </c>
      <c r="W181" s="30"/>
      <c r="X181" s="37"/>
      <c r="Y181" s="38"/>
      <c r="Z181" s="38"/>
      <c r="AA181" s="38"/>
      <c r="AB181" s="39"/>
    </row>
    <row r="182" spans="2:28" ht="12" customHeight="1">
      <c r="D182" s="243">
        <v>2</v>
      </c>
      <c r="E182" s="126" t="s">
        <v>222</v>
      </c>
      <c r="F182" s="126" t="s">
        <v>214</v>
      </c>
      <c r="G182" s="300">
        <f>(2.3+2.7)/2</f>
        <v>2.5</v>
      </c>
      <c r="H182" s="42" t="s">
        <v>12</v>
      </c>
      <c r="I182" s="43" t="s">
        <v>13</v>
      </c>
      <c r="J182" s="3"/>
      <c r="K182" s="52">
        <f>K173</f>
        <v>2</v>
      </c>
      <c r="L182" s="226" t="s">
        <v>13</v>
      </c>
      <c r="M182" s="30"/>
      <c r="N182" s="157">
        <f>G182*K182</f>
        <v>5</v>
      </c>
      <c r="O182" s="32"/>
      <c r="P182" s="45"/>
      <c r="Q182" s="30"/>
      <c r="R182" s="81">
        <f t="shared" si="25"/>
        <v>0</v>
      </c>
      <c r="S182" s="81">
        <f t="shared" si="25"/>
        <v>5</v>
      </c>
      <c r="T182" s="81">
        <f t="shared" si="25"/>
        <v>0</v>
      </c>
      <c r="U182" s="81">
        <f t="shared" si="25"/>
        <v>0</v>
      </c>
      <c r="V182" s="81">
        <f t="shared" si="25"/>
        <v>0</v>
      </c>
      <c r="W182" s="30"/>
      <c r="X182" s="49"/>
      <c r="Y182" s="50"/>
      <c r="Z182" s="50"/>
      <c r="AA182" s="50"/>
      <c r="AB182" s="51"/>
    </row>
    <row r="183" spans="2:28" ht="12" customHeight="1">
      <c r="D183" s="243">
        <v>3</v>
      </c>
      <c r="E183" s="126" t="s">
        <v>211</v>
      </c>
      <c r="F183" s="126" t="s">
        <v>26</v>
      </c>
      <c r="G183" s="300">
        <f>(17.5+22)/2</f>
        <v>19.75</v>
      </c>
      <c r="H183" s="42" t="s">
        <v>12</v>
      </c>
      <c r="I183" s="43" t="s">
        <v>13</v>
      </c>
      <c r="J183" s="3"/>
      <c r="K183" s="52">
        <f>K174</f>
        <v>2</v>
      </c>
      <c r="L183" s="226" t="s">
        <v>13</v>
      </c>
      <c r="M183" s="30"/>
      <c r="N183" s="157">
        <f>G183*K183</f>
        <v>39.5</v>
      </c>
      <c r="O183" s="32"/>
      <c r="P183" s="45"/>
      <c r="Q183" s="30"/>
      <c r="R183" s="81">
        <f t="shared" si="25"/>
        <v>0</v>
      </c>
      <c r="S183" s="81">
        <f t="shared" si="25"/>
        <v>39.5</v>
      </c>
      <c r="T183" s="81">
        <f t="shared" si="25"/>
        <v>0</v>
      </c>
      <c r="U183" s="81">
        <f t="shared" si="25"/>
        <v>0</v>
      </c>
      <c r="V183" s="81">
        <f t="shared" si="25"/>
        <v>0</v>
      </c>
      <c r="W183" s="30"/>
      <c r="X183" s="49"/>
      <c r="Y183" s="50"/>
      <c r="Z183" s="50"/>
      <c r="AA183" s="50"/>
      <c r="AB183" s="51"/>
    </row>
    <row r="184" spans="2:28" ht="12" customHeight="1">
      <c r="D184" s="244">
        <v>4</v>
      </c>
      <c r="E184" s="127" t="s">
        <v>212</v>
      </c>
      <c r="F184" s="127" t="s">
        <v>26</v>
      </c>
      <c r="G184" s="300">
        <f>(3*13.7+11.8)/4</f>
        <v>13.224999999999998</v>
      </c>
      <c r="H184" s="42" t="s">
        <v>12</v>
      </c>
      <c r="I184" s="43" t="s">
        <v>13</v>
      </c>
      <c r="J184" s="3"/>
      <c r="K184" s="52">
        <f>K175</f>
        <v>4</v>
      </c>
      <c r="L184" s="227" t="s">
        <v>13</v>
      </c>
      <c r="M184" s="30"/>
      <c r="N184" s="157">
        <f>G184*K184</f>
        <v>52.899999999999991</v>
      </c>
      <c r="O184" s="32"/>
      <c r="P184" s="45"/>
      <c r="Q184" s="30"/>
      <c r="R184" s="81">
        <f t="shared" si="25"/>
        <v>0</v>
      </c>
      <c r="S184" s="81">
        <f t="shared" si="25"/>
        <v>52.899999999999991</v>
      </c>
      <c r="T184" s="81">
        <f t="shared" si="25"/>
        <v>0</v>
      </c>
      <c r="U184" s="81">
        <f t="shared" si="25"/>
        <v>0</v>
      </c>
      <c r="V184" s="81">
        <f t="shared" si="25"/>
        <v>0</v>
      </c>
      <c r="W184" s="30"/>
      <c r="X184" s="49"/>
      <c r="Y184" s="50"/>
      <c r="Z184" s="50"/>
      <c r="AA184" s="50"/>
      <c r="AB184" s="51"/>
    </row>
    <row r="185" spans="2:28" s="67" customFormat="1" ht="15" customHeight="1">
      <c r="B185" s="54"/>
      <c r="C185" s="55"/>
      <c r="D185" s="133"/>
      <c r="E185" s="56"/>
      <c r="F185" s="57" t="s">
        <v>14</v>
      </c>
      <c r="G185" s="58"/>
      <c r="H185" s="59"/>
      <c r="I185" s="60"/>
      <c r="J185" s="61"/>
      <c r="K185" s="82"/>
      <c r="L185" s="206"/>
      <c r="M185" s="62"/>
      <c r="N185" s="180">
        <f>SUM(N181:N184)</f>
        <v>102.89999999999999</v>
      </c>
      <c r="O185" s="61"/>
      <c r="P185" s="63"/>
      <c r="Q185" s="62"/>
      <c r="R185" s="83">
        <f>SUM(R181:R184)</f>
        <v>0</v>
      </c>
      <c r="S185" s="83">
        <f>SUM(S181:S184)</f>
        <v>102.89999999999999</v>
      </c>
      <c r="T185" s="83">
        <f>SUM(T181:T184)</f>
        <v>0</v>
      </c>
      <c r="U185" s="83">
        <f>SUM(U181:U184)</f>
        <v>0</v>
      </c>
      <c r="V185" s="278">
        <f>SUM(V181:V184)</f>
        <v>0</v>
      </c>
      <c r="W185" s="62"/>
      <c r="X185" s="65"/>
      <c r="Y185" s="59"/>
      <c r="Z185" s="59"/>
      <c r="AA185" s="59"/>
      <c r="AB185" s="66"/>
    </row>
    <row r="186" spans="2:28" ht="5.15" customHeight="1"/>
    <row r="187" spans="2:28" ht="20.149999999999999" customHeight="1">
      <c r="E187" s="26" t="s">
        <v>15</v>
      </c>
      <c r="F187" s="84" t="s">
        <v>16</v>
      </c>
      <c r="G187" s="85"/>
      <c r="H187" s="215" t="s">
        <v>4</v>
      </c>
      <c r="I187" s="232" t="s">
        <v>76</v>
      </c>
      <c r="K187" s="137" t="s">
        <v>67</v>
      </c>
      <c r="L187" s="211" t="s">
        <v>66</v>
      </c>
      <c r="N187" s="212" t="s">
        <v>11</v>
      </c>
      <c r="P187" s="73">
        <v>2011</v>
      </c>
      <c r="Q187" s="74"/>
      <c r="R187" s="75">
        <f>P187+1</f>
        <v>2012</v>
      </c>
      <c r="S187" s="75">
        <f>R187+1</f>
        <v>2013</v>
      </c>
      <c r="T187" s="75">
        <f>S187+1</f>
        <v>2014</v>
      </c>
      <c r="U187" s="75">
        <f>T187+1</f>
        <v>2015</v>
      </c>
      <c r="V187" s="75">
        <f>U187+1</f>
        <v>2016</v>
      </c>
      <c r="W187" s="74"/>
      <c r="X187" s="76">
        <f>V187+1</f>
        <v>2017</v>
      </c>
      <c r="Y187" s="76">
        <f>X187+1</f>
        <v>2018</v>
      </c>
      <c r="Z187" s="76">
        <f>Y187+1</f>
        <v>2019</v>
      </c>
      <c r="AA187" s="76">
        <f>Z187+1</f>
        <v>2020</v>
      </c>
      <c r="AB187" s="76">
        <f>AA187+1</f>
        <v>2021</v>
      </c>
    </row>
    <row r="188" spans="2:28" ht="4" customHeight="1"/>
    <row r="189" spans="2:28" ht="12" customHeight="1">
      <c r="C189" s="28"/>
      <c r="E189" s="77" t="s">
        <v>218</v>
      </c>
      <c r="F189" s="158" t="s">
        <v>219</v>
      </c>
      <c r="G189" s="86"/>
      <c r="H189" s="213" t="s">
        <v>71</v>
      </c>
      <c r="I189" s="216">
        <v>0.5</v>
      </c>
      <c r="J189" s="3"/>
      <c r="K189" s="298">
        <v>13</v>
      </c>
      <c r="L189" s="229" t="s">
        <v>73</v>
      </c>
      <c r="M189" s="30"/>
      <c r="N189" s="176">
        <f>I189*K189</f>
        <v>6.5</v>
      </c>
      <c r="O189" s="32"/>
      <c r="P189" s="88"/>
      <c r="Q189" s="30"/>
      <c r="R189" s="90"/>
      <c r="S189" s="91">
        <f>N189</f>
        <v>6.5</v>
      </c>
      <c r="T189" s="91"/>
      <c r="U189" s="91"/>
      <c r="V189" s="92"/>
      <c r="W189" s="30"/>
      <c r="X189" s="90"/>
      <c r="Y189" s="91"/>
      <c r="Z189" s="91"/>
      <c r="AA189" s="91"/>
      <c r="AB189" s="92"/>
    </row>
    <row r="190" spans="2:28" ht="12" customHeight="1">
      <c r="C190" s="28"/>
      <c r="E190" s="77" t="s">
        <v>215</v>
      </c>
      <c r="F190" s="158" t="s">
        <v>70</v>
      </c>
      <c r="G190" s="86"/>
      <c r="H190" s="213" t="s">
        <v>71</v>
      </c>
      <c r="I190" s="216">
        <v>0.25</v>
      </c>
      <c r="J190" s="3"/>
      <c r="K190" s="228">
        <v>5.7</v>
      </c>
      <c r="L190" s="229" t="s">
        <v>72</v>
      </c>
      <c r="M190" s="30"/>
      <c r="N190" s="176">
        <f>I190*K190</f>
        <v>1.425</v>
      </c>
      <c r="O190" s="32"/>
      <c r="P190" s="88"/>
      <c r="Q190" s="30"/>
      <c r="R190" s="90"/>
      <c r="S190" s="91">
        <f>N190</f>
        <v>1.425</v>
      </c>
      <c r="T190" s="91"/>
      <c r="U190" s="91"/>
      <c r="V190" s="92"/>
      <c r="W190" s="30"/>
      <c r="X190" s="90"/>
      <c r="Y190" s="91"/>
      <c r="Z190" s="91"/>
      <c r="AA190" s="91"/>
      <c r="AB190" s="92"/>
    </row>
    <row r="191" spans="2:28" ht="12" customHeight="1">
      <c r="C191" s="28"/>
      <c r="E191" s="105"/>
      <c r="F191" s="41" t="s">
        <v>17</v>
      </c>
      <c r="G191" s="93"/>
      <c r="H191" s="94"/>
      <c r="I191" s="217">
        <v>0.1</v>
      </c>
      <c r="J191" s="3"/>
      <c r="K191" s="174">
        <v>7</v>
      </c>
      <c r="L191" s="226" t="s">
        <v>73</v>
      </c>
      <c r="M191" s="30"/>
      <c r="N191" s="177">
        <f>I191*K191</f>
        <v>0.70000000000000007</v>
      </c>
      <c r="O191" s="32"/>
      <c r="P191" s="96"/>
      <c r="Q191" s="30"/>
      <c r="R191" s="97"/>
      <c r="S191" s="98">
        <f>N191</f>
        <v>0.70000000000000007</v>
      </c>
      <c r="T191" s="98"/>
      <c r="U191" s="98"/>
      <c r="V191" s="99"/>
      <c r="W191" s="30"/>
      <c r="X191" s="97"/>
      <c r="Y191" s="98"/>
      <c r="Z191" s="98"/>
      <c r="AA191" s="98"/>
      <c r="AB191" s="99"/>
    </row>
    <row r="192" spans="2:28" ht="12" customHeight="1">
      <c r="C192" s="28"/>
      <c r="E192" s="105" t="s">
        <v>216</v>
      </c>
      <c r="F192" s="41" t="s">
        <v>217</v>
      </c>
      <c r="G192" s="100"/>
      <c r="H192" s="94"/>
      <c r="I192" s="217">
        <f>0.25</f>
        <v>0.25</v>
      </c>
      <c r="J192" s="3"/>
      <c r="K192" s="200">
        <f>11*3</f>
        <v>33</v>
      </c>
      <c r="L192" s="230" t="s">
        <v>72</v>
      </c>
      <c r="M192" s="30"/>
      <c r="N192" s="177">
        <f>I192*K192</f>
        <v>8.25</v>
      </c>
      <c r="O192" s="32"/>
      <c r="P192" s="96"/>
      <c r="Q192" s="30"/>
      <c r="R192" s="257"/>
      <c r="S192" s="214">
        <f>N192</f>
        <v>8.25</v>
      </c>
      <c r="T192" s="214"/>
      <c r="U192" s="103"/>
      <c r="V192" s="104"/>
      <c r="W192" s="30"/>
      <c r="X192" s="102"/>
      <c r="Y192" s="103"/>
      <c r="Z192" s="103"/>
      <c r="AA192" s="103"/>
      <c r="AB192" s="104"/>
    </row>
    <row r="193" spans="2:28" ht="12" customHeight="1">
      <c r="C193" s="28"/>
      <c r="E193" s="105"/>
      <c r="F193" s="253" t="s">
        <v>17</v>
      </c>
      <c r="G193" s="100"/>
      <c r="H193" s="94"/>
      <c r="I193" s="217">
        <v>0.1</v>
      </c>
      <c r="J193" s="3"/>
      <c r="K193" s="174">
        <v>11</v>
      </c>
      <c r="L193" s="226" t="s">
        <v>73</v>
      </c>
      <c r="M193" s="30"/>
      <c r="N193" s="177">
        <f>I193*K193</f>
        <v>1.1000000000000001</v>
      </c>
      <c r="O193" s="32"/>
      <c r="P193" s="96"/>
      <c r="Q193" s="30"/>
      <c r="R193" s="257"/>
      <c r="S193" s="214">
        <f>N193</f>
        <v>1.1000000000000001</v>
      </c>
      <c r="T193" s="214"/>
      <c r="U193" s="103"/>
      <c r="V193" s="104"/>
      <c r="W193" s="30"/>
      <c r="X193" s="102"/>
      <c r="Y193" s="103"/>
      <c r="Z193" s="103"/>
      <c r="AA193" s="103"/>
      <c r="AB193" s="104"/>
    </row>
    <row r="194" spans="2:28" ht="12" customHeight="1">
      <c r="C194" s="28"/>
      <c r="E194" s="183" t="s">
        <v>62</v>
      </c>
      <c r="F194" s="186"/>
      <c r="G194" s="184"/>
      <c r="H194" s="94"/>
      <c r="I194" s="95"/>
      <c r="J194" s="3"/>
      <c r="K194" s="174"/>
      <c r="L194" s="226"/>
      <c r="M194" s="30"/>
      <c r="N194" s="177"/>
      <c r="O194" s="32"/>
      <c r="P194" s="96"/>
      <c r="Q194" s="30"/>
      <c r="R194" s="257"/>
      <c r="S194" s="214"/>
      <c r="T194" s="214"/>
      <c r="U194" s="103"/>
      <c r="V194" s="104"/>
      <c r="W194" s="30"/>
      <c r="X194" s="102"/>
      <c r="Y194" s="103"/>
      <c r="Z194" s="103"/>
      <c r="AA194" s="103"/>
      <c r="AB194" s="104"/>
    </row>
    <row r="195" spans="2:28" ht="12" customHeight="1">
      <c r="C195" s="28"/>
      <c r="E195" s="107" t="s">
        <v>118</v>
      </c>
      <c r="F195" s="254" t="s">
        <v>136</v>
      </c>
      <c r="G195" s="185"/>
      <c r="H195" s="94" t="s">
        <v>18</v>
      </c>
      <c r="I195" s="43">
        <v>7</v>
      </c>
      <c r="J195" s="3"/>
      <c r="K195" s="174">
        <v>1</v>
      </c>
      <c r="L195" s="226"/>
      <c r="M195" s="30"/>
      <c r="N195" s="178">
        <f>I195*K195</f>
        <v>7</v>
      </c>
      <c r="O195" s="32"/>
      <c r="P195" s="96"/>
      <c r="Q195" s="30"/>
      <c r="R195" s="257">
        <f>0.1*N195</f>
        <v>0.70000000000000007</v>
      </c>
      <c r="S195" s="214">
        <f t="shared" ref="S195:S196" si="26">0.5*N195</f>
        <v>3.5</v>
      </c>
      <c r="T195" s="214">
        <f>0.4*N195</f>
        <v>2.8000000000000003</v>
      </c>
      <c r="U195" s="103"/>
      <c r="V195" s="104"/>
      <c r="W195" s="30"/>
      <c r="X195" s="102"/>
      <c r="Y195" s="103"/>
      <c r="Z195" s="103"/>
      <c r="AA195" s="103"/>
      <c r="AB195" s="104"/>
    </row>
    <row r="196" spans="2:28" ht="12" customHeight="1">
      <c r="C196" s="28"/>
      <c r="E196" s="107" t="s">
        <v>41</v>
      </c>
      <c r="F196" s="248" t="s">
        <v>124</v>
      </c>
      <c r="G196" s="184"/>
      <c r="H196" s="94" t="s">
        <v>18</v>
      </c>
      <c r="I196" s="43">
        <v>0.12</v>
      </c>
      <c r="J196" s="3"/>
      <c r="K196" s="200">
        <f>36*10</f>
        <v>360</v>
      </c>
      <c r="L196" s="230"/>
      <c r="M196" s="30"/>
      <c r="N196" s="177">
        <f>I196*K196</f>
        <v>43.199999999999996</v>
      </c>
      <c r="O196" s="32"/>
      <c r="P196" s="96"/>
      <c r="Q196" s="30"/>
      <c r="R196" s="257">
        <f t="shared" ref="R196" si="27">0.1*N196</f>
        <v>4.3199999999999994</v>
      </c>
      <c r="S196" s="214">
        <f t="shared" si="26"/>
        <v>21.599999999999998</v>
      </c>
      <c r="T196" s="214">
        <f t="shared" ref="T196" si="28">0.4*N196</f>
        <v>17.279999999999998</v>
      </c>
      <c r="U196" s="103"/>
      <c r="V196" s="104"/>
      <c r="W196" s="30"/>
      <c r="X196" s="102"/>
      <c r="Y196" s="103"/>
      <c r="Z196" s="103"/>
      <c r="AA196" s="103"/>
      <c r="AB196" s="104"/>
    </row>
    <row r="197" spans="2:28" ht="12" customHeight="1">
      <c r="C197" s="28"/>
      <c r="E197" s="245" t="s">
        <v>44</v>
      </c>
      <c r="F197" s="246"/>
      <c r="G197" s="184"/>
      <c r="H197" s="94"/>
      <c r="I197" s="43"/>
      <c r="J197" s="3"/>
      <c r="K197" s="200"/>
      <c r="L197" s="230"/>
      <c r="M197" s="30"/>
      <c r="N197" s="177"/>
      <c r="O197" s="32"/>
      <c r="P197" s="96"/>
      <c r="Q197" s="30"/>
      <c r="R197" s="257"/>
      <c r="S197" s="214"/>
      <c r="T197" s="214"/>
      <c r="U197" s="103"/>
      <c r="V197" s="104"/>
      <c r="W197" s="30"/>
      <c r="X197" s="102"/>
      <c r="Y197" s="103"/>
      <c r="Z197" s="103"/>
      <c r="AA197" s="103"/>
      <c r="AB197" s="104"/>
    </row>
    <row r="198" spans="2:28" ht="12" customHeight="1">
      <c r="C198" s="28"/>
      <c r="E198" s="107" t="s">
        <v>44</v>
      </c>
      <c r="F198" s="247" t="s">
        <v>46</v>
      </c>
      <c r="G198" s="184"/>
      <c r="H198" s="94" t="s">
        <v>18</v>
      </c>
      <c r="I198" s="43">
        <v>65</v>
      </c>
      <c r="J198" s="3"/>
      <c r="K198" s="174">
        <v>1</v>
      </c>
      <c r="L198" s="226"/>
      <c r="M198" s="30"/>
      <c r="N198" s="177">
        <f>I198*K198</f>
        <v>65</v>
      </c>
      <c r="O198" s="32"/>
      <c r="P198" s="96"/>
      <c r="Q198" s="30"/>
      <c r="R198" s="257">
        <f t="shared" ref="R198:R201" si="29">0.1*N198</f>
        <v>6.5</v>
      </c>
      <c r="S198" s="214">
        <f t="shared" ref="S198:S201" si="30">0.5*N198</f>
        <v>32.5</v>
      </c>
      <c r="T198" s="214">
        <f t="shared" ref="T198:T201" si="31">0.4*N198</f>
        <v>26</v>
      </c>
      <c r="U198" s="103"/>
      <c r="V198" s="104"/>
      <c r="W198" s="30"/>
      <c r="X198" s="102"/>
      <c r="Y198" s="103"/>
      <c r="Z198" s="103"/>
      <c r="AA198" s="103"/>
      <c r="AB198" s="104"/>
    </row>
    <row r="199" spans="2:28" ht="12" customHeight="1">
      <c r="C199" s="28"/>
      <c r="E199" s="107"/>
      <c r="F199" s="247" t="s">
        <v>81</v>
      </c>
      <c r="G199" s="184"/>
      <c r="H199" s="94" t="s">
        <v>18</v>
      </c>
      <c r="I199" s="43">
        <v>0.12</v>
      </c>
      <c r="J199" s="3"/>
      <c r="K199" s="200">
        <f>30*8</f>
        <v>240</v>
      </c>
      <c r="L199" s="230" t="s">
        <v>75</v>
      </c>
      <c r="M199" s="30"/>
      <c r="N199" s="177">
        <f>I199*K199</f>
        <v>28.799999999999997</v>
      </c>
      <c r="O199" s="32"/>
      <c r="P199" s="96"/>
      <c r="Q199" s="30"/>
      <c r="R199" s="257">
        <f t="shared" si="29"/>
        <v>2.88</v>
      </c>
      <c r="S199" s="214">
        <f t="shared" si="30"/>
        <v>14.399999999999999</v>
      </c>
      <c r="T199" s="214">
        <f t="shared" si="31"/>
        <v>11.52</v>
      </c>
      <c r="U199" s="103"/>
      <c r="V199" s="104"/>
      <c r="W199" s="30"/>
      <c r="X199" s="102"/>
      <c r="Y199" s="103"/>
      <c r="Z199" s="103"/>
      <c r="AA199" s="103"/>
      <c r="AB199" s="104"/>
    </row>
    <row r="200" spans="2:28" ht="12" customHeight="1">
      <c r="C200" s="28"/>
      <c r="E200" s="107" t="s">
        <v>48</v>
      </c>
      <c r="F200" s="247" t="s">
        <v>57</v>
      </c>
      <c r="G200" s="184"/>
      <c r="H200" s="94"/>
      <c r="I200" s="43">
        <v>0.12</v>
      </c>
      <c r="J200" s="3"/>
      <c r="K200" s="200">
        <f>30*12</f>
        <v>360</v>
      </c>
      <c r="L200" s="230" t="s">
        <v>75</v>
      </c>
      <c r="M200" s="30"/>
      <c r="N200" s="177">
        <f>I200*K200</f>
        <v>43.199999999999996</v>
      </c>
      <c r="O200" s="32"/>
      <c r="P200" s="96"/>
      <c r="Q200" s="30"/>
      <c r="R200" s="257">
        <f t="shared" si="29"/>
        <v>4.3199999999999994</v>
      </c>
      <c r="S200" s="214">
        <f t="shared" si="30"/>
        <v>21.599999999999998</v>
      </c>
      <c r="T200" s="214">
        <f t="shared" si="31"/>
        <v>17.279999999999998</v>
      </c>
      <c r="U200" s="103"/>
      <c r="V200" s="104"/>
      <c r="W200" s="30"/>
      <c r="X200" s="102"/>
      <c r="Y200" s="103"/>
      <c r="Z200" s="103"/>
      <c r="AA200" s="103"/>
      <c r="AB200" s="104"/>
    </row>
    <row r="201" spans="2:28" ht="12" customHeight="1">
      <c r="C201" s="28"/>
      <c r="E201" s="189" t="s">
        <v>59</v>
      </c>
      <c r="F201" s="256" t="s">
        <v>139</v>
      </c>
      <c r="G201" s="190"/>
      <c r="H201" s="94"/>
      <c r="I201" s="43"/>
      <c r="J201" s="3"/>
      <c r="K201" s="175"/>
      <c r="L201" s="231"/>
      <c r="M201" s="30"/>
      <c r="N201" s="234">
        <f>SUM(N189:N200)*0.1</f>
        <v>20.517500000000002</v>
      </c>
      <c r="O201" s="32"/>
      <c r="P201" s="109"/>
      <c r="Q201" s="30"/>
      <c r="R201" s="258">
        <f t="shared" si="29"/>
        <v>2.0517500000000002</v>
      </c>
      <c r="S201" s="259">
        <f t="shared" si="30"/>
        <v>10.258750000000001</v>
      </c>
      <c r="T201" s="259">
        <f t="shared" si="31"/>
        <v>8.2070000000000007</v>
      </c>
      <c r="U201" s="111"/>
      <c r="V201" s="112"/>
      <c r="W201" s="30"/>
      <c r="X201" s="110"/>
      <c r="Y201" s="111"/>
      <c r="Z201" s="111"/>
      <c r="AA201" s="111"/>
      <c r="AB201" s="112"/>
    </row>
    <row r="202" spans="2:28" ht="4" customHeight="1">
      <c r="E202" s="3"/>
      <c r="J202" s="3"/>
    </row>
    <row r="203" spans="2:28" ht="15" customHeight="1">
      <c r="F203" s="113" t="s">
        <v>19</v>
      </c>
      <c r="G203" s="114"/>
      <c r="H203" s="114"/>
      <c r="I203" s="85"/>
      <c r="K203" s="22"/>
      <c r="L203" s="207"/>
      <c r="M203" s="20"/>
      <c r="N203" s="179">
        <f>SUM(N189:N201)</f>
        <v>225.69250000000002</v>
      </c>
      <c r="O203" s="20"/>
      <c r="P203" s="22"/>
      <c r="Q203" s="20"/>
      <c r="R203" s="180">
        <f>SUM(R190:R201)</f>
        <v>20.771749999999997</v>
      </c>
      <c r="S203" s="181">
        <f>SUM(S190:S201)</f>
        <v>115.33374999999999</v>
      </c>
      <c r="T203" s="181">
        <f>SUM(T190:T201)</f>
        <v>83.086999999999989</v>
      </c>
      <c r="U203" s="182">
        <f>SUM(U190:U201)</f>
        <v>0</v>
      </c>
      <c r="V203" s="180">
        <f>SUM(V190:V201)</f>
        <v>0</v>
      </c>
      <c r="W203" s="115"/>
      <c r="X203" s="160">
        <f>SUM(X190:X201)</f>
        <v>0</v>
      </c>
      <c r="Y203" s="161">
        <f>SUM(Y190:Y201)</f>
        <v>0</v>
      </c>
      <c r="Z203" s="161">
        <f>SUM(Z190:Z201)</f>
        <v>0</v>
      </c>
      <c r="AA203" s="161">
        <f>SUM(AA190:AA201)</f>
        <v>0</v>
      </c>
      <c r="AB203" s="161">
        <f>SUM(AB190:AB201)</f>
        <v>0</v>
      </c>
    </row>
    <row r="204" spans="2:28" ht="10" customHeight="1">
      <c r="F204" s="192"/>
      <c r="G204" s="193"/>
      <c r="H204" s="193"/>
      <c r="I204" s="193"/>
      <c r="K204" s="168"/>
      <c r="L204" s="20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94"/>
      <c r="X204" s="195"/>
      <c r="Y204" s="195"/>
      <c r="Z204" s="195"/>
      <c r="AA204" s="195"/>
      <c r="AB204" s="195"/>
    </row>
    <row r="205" spans="2:28" ht="15" customHeight="1">
      <c r="B205" s="164" t="s">
        <v>79</v>
      </c>
      <c r="C205" s="6"/>
      <c r="E205" s="116" t="s">
        <v>20</v>
      </c>
    </row>
    <row r="206" spans="2:28" ht="25" customHeight="1">
      <c r="B206" s="6"/>
      <c r="C206" s="9"/>
      <c r="E206" s="262" t="s">
        <v>144</v>
      </c>
      <c r="F206" s="237"/>
      <c r="K206" s="333" t="s">
        <v>9</v>
      </c>
      <c r="L206" s="334"/>
      <c r="M206" s="334"/>
      <c r="N206" s="335"/>
      <c r="O206" s="24"/>
      <c r="P206" s="68" t="s">
        <v>10</v>
      </c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70"/>
    </row>
    <row r="207" spans="2:28" ht="15" customHeight="1">
      <c r="E207" s="26" t="s">
        <v>21</v>
      </c>
      <c r="F207" s="84" t="s">
        <v>22</v>
      </c>
      <c r="G207" s="85"/>
      <c r="H207" s="73" t="s">
        <v>4</v>
      </c>
      <c r="I207" s="75" t="s">
        <v>23</v>
      </c>
      <c r="K207" s="71"/>
      <c r="M207" s="24"/>
      <c r="N207" s="72" t="s">
        <v>11</v>
      </c>
      <c r="O207" s="24"/>
      <c r="P207" s="73">
        <v>2011</v>
      </c>
      <c r="Q207" s="74"/>
      <c r="R207" s="75">
        <f>P207+1</f>
        <v>2012</v>
      </c>
      <c r="S207" s="75">
        <f>R207+1</f>
        <v>2013</v>
      </c>
      <c r="T207" s="75">
        <f>S207+1</f>
        <v>2014</v>
      </c>
      <c r="U207" s="75">
        <f>T207+1</f>
        <v>2015</v>
      </c>
      <c r="V207" s="75">
        <f>U207+1</f>
        <v>2016</v>
      </c>
      <c r="W207" s="74"/>
      <c r="X207" s="76">
        <f>V207+1</f>
        <v>2017</v>
      </c>
      <c r="Y207" s="76">
        <f>X207+1</f>
        <v>2018</v>
      </c>
      <c r="Z207" s="76">
        <f>Y207+1</f>
        <v>2019</v>
      </c>
      <c r="AA207" s="76">
        <f>Z207+1</f>
        <v>2020</v>
      </c>
      <c r="AB207" s="76">
        <f>AA207+1</f>
        <v>2021</v>
      </c>
    </row>
    <row r="208" spans="2:28" ht="4" customHeight="1"/>
    <row r="209" spans="3:28" ht="12" customHeight="1">
      <c r="C209" s="28"/>
      <c r="E209" s="77" t="s">
        <v>3</v>
      </c>
      <c r="F209" s="197" t="s">
        <v>224</v>
      </c>
      <c r="G209" s="117"/>
      <c r="H209" s="73"/>
      <c r="I209" s="75"/>
      <c r="J209" s="3"/>
      <c r="K209" s="87"/>
      <c r="L209" s="204"/>
      <c r="M209" s="30"/>
      <c r="N209" s="176">
        <f>N185</f>
        <v>102.89999999999999</v>
      </c>
      <c r="O209" s="32"/>
      <c r="P209" s="88"/>
      <c r="Q209" s="30"/>
      <c r="R209" s="89">
        <f>R185</f>
        <v>0</v>
      </c>
      <c r="S209" s="89">
        <f>S185</f>
        <v>102.89999999999999</v>
      </c>
      <c r="T209" s="89">
        <f>T185</f>
        <v>0</v>
      </c>
      <c r="U209" s="89">
        <f>U185</f>
        <v>0</v>
      </c>
      <c r="V209" s="220">
        <f>V185</f>
        <v>0</v>
      </c>
      <c r="X209" s="199"/>
      <c r="Y209" s="118"/>
      <c r="Z209" s="118"/>
      <c r="AA209" s="118"/>
      <c r="AB209" s="119"/>
    </row>
    <row r="210" spans="3:28" ht="12" customHeight="1">
      <c r="C210" s="28"/>
      <c r="E210" s="105" t="s">
        <v>218</v>
      </c>
      <c r="F210" s="41" t="s">
        <v>221</v>
      </c>
      <c r="G210" s="100"/>
      <c r="H210" s="94"/>
      <c r="I210" s="43"/>
      <c r="J210" s="3"/>
      <c r="K210" s="101"/>
      <c r="L210" s="204"/>
      <c r="M210" s="30"/>
      <c r="N210" s="178">
        <f>N189</f>
        <v>6.5</v>
      </c>
      <c r="O210" s="32"/>
      <c r="P210" s="96"/>
      <c r="Q210" s="30"/>
      <c r="R210" s="157">
        <f>SUM(R184:R187)</f>
        <v>2012</v>
      </c>
      <c r="S210" s="157">
        <f t="shared" ref="S210:V210" si="32">SUM(S184:S187)</f>
        <v>2168.8000000000002</v>
      </c>
      <c r="T210" s="157">
        <f t="shared" si="32"/>
        <v>2014</v>
      </c>
      <c r="U210" s="157">
        <f t="shared" si="32"/>
        <v>2015</v>
      </c>
      <c r="V210" s="157">
        <f t="shared" si="32"/>
        <v>2016</v>
      </c>
      <c r="W210" s="30"/>
      <c r="X210" s="102"/>
      <c r="Y210" s="103"/>
      <c r="Z210" s="103"/>
      <c r="AA210" s="103"/>
      <c r="AB210" s="104"/>
    </row>
    <row r="211" spans="3:28" ht="12" customHeight="1">
      <c r="C211" s="28"/>
      <c r="E211" s="105" t="s">
        <v>29</v>
      </c>
      <c r="F211" s="41" t="s">
        <v>220</v>
      </c>
      <c r="G211" s="100"/>
      <c r="H211" s="94"/>
      <c r="I211" s="43"/>
      <c r="J211" s="3"/>
      <c r="K211" s="101"/>
      <c r="L211" s="204"/>
      <c r="M211" s="30"/>
      <c r="N211" s="178">
        <f>SUM(N190:N193)</f>
        <v>11.475</v>
      </c>
      <c r="O211" s="32"/>
      <c r="P211" s="96"/>
      <c r="Q211" s="30"/>
      <c r="R211" s="157">
        <f>SUM(R190:R193)</f>
        <v>0</v>
      </c>
      <c r="S211" s="157">
        <f t="shared" ref="S211:V211" si="33">SUM(S190:S193)</f>
        <v>11.475</v>
      </c>
      <c r="T211" s="157">
        <f t="shared" si="33"/>
        <v>0</v>
      </c>
      <c r="U211" s="157">
        <f t="shared" si="33"/>
        <v>0</v>
      </c>
      <c r="V211" s="157">
        <f t="shared" si="33"/>
        <v>0</v>
      </c>
      <c r="W211" s="30"/>
      <c r="X211" s="102"/>
      <c r="Y211" s="103"/>
      <c r="Z211" s="103"/>
      <c r="AA211" s="103"/>
      <c r="AB211" s="104"/>
    </row>
    <row r="212" spans="3:28" ht="12" customHeight="1">
      <c r="C212" s="28"/>
      <c r="E212" s="105" t="s">
        <v>52</v>
      </c>
      <c r="F212" s="41" t="s">
        <v>51</v>
      </c>
      <c r="G212" s="100"/>
      <c r="H212" s="94"/>
      <c r="I212" s="43"/>
      <c r="J212" s="3"/>
      <c r="K212" s="101"/>
      <c r="L212" s="204"/>
      <c r="M212" s="30"/>
      <c r="N212" s="178">
        <f>SUM(N195:N196)</f>
        <v>50.199999999999996</v>
      </c>
      <c r="O212" s="32"/>
      <c r="P212" s="96"/>
      <c r="Q212" s="30"/>
      <c r="R212" s="178">
        <f>SUM(R195:R196)</f>
        <v>5.0199999999999996</v>
      </c>
      <c r="S212" s="178">
        <f t="shared" ref="S212:V212" si="34">SUM(S195:S196)</f>
        <v>25.099999999999998</v>
      </c>
      <c r="T212" s="178">
        <f t="shared" si="34"/>
        <v>20.079999999999998</v>
      </c>
      <c r="U212" s="178">
        <f t="shared" si="34"/>
        <v>0</v>
      </c>
      <c r="V212" s="178">
        <f t="shared" si="34"/>
        <v>0</v>
      </c>
      <c r="W212" s="30"/>
      <c r="X212" s="102"/>
      <c r="Y212" s="103"/>
      <c r="Z212" s="103"/>
      <c r="AA212" s="103"/>
      <c r="AB212" s="104"/>
    </row>
    <row r="213" spans="3:28" ht="12" customHeight="1">
      <c r="C213" s="28"/>
      <c r="E213" s="105" t="s">
        <v>53</v>
      </c>
      <c r="F213" s="41" t="s">
        <v>82</v>
      </c>
      <c r="G213" s="100"/>
      <c r="H213" s="94"/>
      <c r="I213" s="43"/>
      <c r="J213" s="3"/>
      <c r="K213" s="101"/>
      <c r="L213" s="204"/>
      <c r="M213" s="30"/>
      <c r="N213" s="178">
        <f>SUM(N198:N199)</f>
        <v>93.8</v>
      </c>
      <c r="O213" s="32"/>
      <c r="P213" s="96"/>
      <c r="Q213" s="30"/>
      <c r="R213" s="178">
        <f>SUM(R198:R199)</f>
        <v>9.379999999999999</v>
      </c>
      <c r="S213" s="178">
        <f t="shared" ref="S213:V213" si="35">SUM(S198:S199)</f>
        <v>46.9</v>
      </c>
      <c r="T213" s="178">
        <f t="shared" si="35"/>
        <v>37.519999999999996</v>
      </c>
      <c r="U213" s="178">
        <f t="shared" si="35"/>
        <v>0</v>
      </c>
      <c r="V213" s="178">
        <f t="shared" si="35"/>
        <v>0</v>
      </c>
      <c r="W213" s="30"/>
      <c r="X213" s="102"/>
      <c r="Y213" s="103"/>
      <c r="Z213" s="103"/>
      <c r="AA213" s="103"/>
      <c r="AB213" s="104"/>
    </row>
    <row r="214" spans="3:28" ht="12" customHeight="1">
      <c r="C214" s="28"/>
      <c r="E214" s="105" t="s">
        <v>55</v>
      </c>
      <c r="F214" s="41" t="s">
        <v>165</v>
      </c>
      <c r="G214" s="100"/>
      <c r="H214" s="94"/>
      <c r="I214" s="43"/>
      <c r="J214" s="3"/>
      <c r="K214" s="101"/>
      <c r="L214" s="204"/>
      <c r="M214" s="30"/>
      <c r="N214" s="178">
        <f>SUM(N200:N200)</f>
        <v>43.199999999999996</v>
      </c>
      <c r="O214" s="32"/>
      <c r="P214" s="96"/>
      <c r="Q214" s="30"/>
      <c r="R214" s="178">
        <f>SUM(R200:R200)</f>
        <v>4.3199999999999994</v>
      </c>
      <c r="S214" s="178">
        <f>SUM(S200:S200)</f>
        <v>21.599999999999998</v>
      </c>
      <c r="T214" s="178">
        <f>SUM(T200:T200)</f>
        <v>17.279999999999998</v>
      </c>
      <c r="U214" s="178">
        <f>SUM(U200:U200)</f>
        <v>0</v>
      </c>
      <c r="V214" s="178">
        <f>SUM(V200:V200)</f>
        <v>0</v>
      </c>
      <c r="W214" s="30"/>
      <c r="X214" s="102"/>
      <c r="Y214" s="103"/>
      <c r="Z214" s="103"/>
      <c r="AA214" s="103"/>
      <c r="AB214" s="104"/>
    </row>
    <row r="215" spans="3:28" ht="12" customHeight="1">
      <c r="C215" s="28"/>
      <c r="E215" s="108" t="s">
        <v>59</v>
      </c>
      <c r="F215" s="256" t="s">
        <v>139</v>
      </c>
      <c r="G215" s="120"/>
      <c r="H215" s="94"/>
      <c r="I215" s="43"/>
      <c r="J215" s="3"/>
      <c r="K215" s="121"/>
      <c r="L215" s="204"/>
      <c r="M215" s="30"/>
      <c r="N215" s="234">
        <f>N201</f>
        <v>20.517500000000002</v>
      </c>
      <c r="O215" s="32"/>
      <c r="P215" s="109"/>
      <c r="Q215" s="30"/>
      <c r="R215" s="163">
        <f t="shared" ref="R215:V215" si="36">R201</f>
        <v>2.0517500000000002</v>
      </c>
      <c r="S215" s="163">
        <f t="shared" si="36"/>
        <v>10.258750000000001</v>
      </c>
      <c r="T215" s="163">
        <f t="shared" si="36"/>
        <v>8.2070000000000007</v>
      </c>
      <c r="U215" s="163">
        <f t="shared" si="36"/>
        <v>0</v>
      </c>
      <c r="V215" s="163">
        <f t="shared" si="36"/>
        <v>0</v>
      </c>
      <c r="W215" s="30"/>
      <c r="X215" s="218"/>
      <c r="Y215" s="111"/>
      <c r="Z215" s="111"/>
      <c r="AA215" s="111"/>
      <c r="AB215" s="112"/>
    </row>
    <row r="216" spans="3:28" ht="4" customHeight="1">
      <c r="E216" s="3"/>
      <c r="J216" s="3"/>
    </row>
    <row r="217" spans="3:28" ht="15" customHeight="1">
      <c r="F217" s="122" t="s">
        <v>24</v>
      </c>
      <c r="G217" s="114"/>
      <c r="H217" s="114"/>
      <c r="I217" s="85"/>
      <c r="K217" s="22"/>
      <c r="L217" s="207"/>
      <c r="M217" s="20"/>
      <c r="N217" s="162">
        <f>SUM(N209:N215)</f>
        <v>328.59249999999997</v>
      </c>
      <c r="O217" s="20"/>
      <c r="P217" s="22"/>
      <c r="Q217" s="20"/>
      <c r="R217" s="198">
        <f>SUM(R209:R215)</f>
        <v>2032.7717500000001</v>
      </c>
      <c r="S217" s="198">
        <f>SUM(S209:S215)</f>
        <v>2387.0337500000001</v>
      </c>
      <c r="T217" s="198">
        <f>SUM(T209:T215)</f>
        <v>2097.087</v>
      </c>
      <c r="U217" s="198">
        <f>SUM(U209:U215)</f>
        <v>2015</v>
      </c>
      <c r="V217" s="198">
        <f>SUM(V209:V215)</f>
        <v>2016</v>
      </c>
      <c r="W217" s="115"/>
      <c r="X217" s="160">
        <f>SUM(X209:X215)</f>
        <v>0</v>
      </c>
      <c r="Y217" s="160">
        <f>SUM(Y209:Y215)</f>
        <v>0</v>
      </c>
      <c r="Z217" s="160">
        <f>SUM(Z209:Z215)</f>
        <v>0</v>
      </c>
      <c r="AA217" s="160">
        <f>SUM(AA209:AA215)</f>
        <v>0</v>
      </c>
      <c r="AB217" s="160">
        <f>SUM(AB209:AB215)</f>
        <v>0</v>
      </c>
    </row>
    <row r="218" spans="3:28" ht="10" customHeight="1"/>
    <row r="219" spans="3:28" ht="12" customHeight="1"/>
    <row r="220" spans="3:28" ht="12" customHeight="1"/>
    <row r="221" spans="3:28" ht="12" customHeight="1"/>
    <row r="222" spans="3:28" ht="12" customHeight="1"/>
    <row r="223" spans="3:28" ht="12" customHeight="1"/>
    <row r="224" spans="3:28" ht="10" customHeight="1" thickBot="1"/>
    <row r="225" spans="2:29" ht="18" customHeight="1" thickBot="1">
      <c r="B225" s="315" t="s">
        <v>77</v>
      </c>
      <c r="C225" s="316"/>
      <c r="D225" s="316"/>
      <c r="E225" s="316"/>
      <c r="F225" s="316"/>
      <c r="G225" s="316"/>
      <c r="H225" s="316"/>
      <c r="I225" s="316"/>
      <c r="J225" s="316"/>
      <c r="K225" s="316"/>
      <c r="L225" s="316"/>
      <c r="M225" s="316"/>
      <c r="N225" s="316"/>
      <c r="O225" s="316"/>
      <c r="P225" s="316"/>
      <c r="Q225" s="316"/>
      <c r="R225" s="316"/>
      <c r="S225" s="316"/>
      <c r="T225" s="316"/>
      <c r="U225" s="316"/>
      <c r="V225" s="316"/>
      <c r="W225" s="316"/>
      <c r="X225" s="316"/>
      <c r="Y225" s="316"/>
      <c r="Z225" s="316"/>
      <c r="AA225" s="316"/>
      <c r="AB225" s="317"/>
    </row>
    <row r="226" spans="2:29" ht="10" customHeight="1" thickBot="1"/>
    <row r="227" spans="2:29" ht="15" customHeight="1" thickBot="1">
      <c r="B227" s="164" t="s">
        <v>83</v>
      </c>
      <c r="C227" s="6"/>
      <c r="D227" s="132"/>
      <c r="E227" s="252" t="s">
        <v>146</v>
      </c>
      <c r="F227" s="7"/>
      <c r="G227" s="8"/>
    </row>
    <row r="228" spans="2:29" ht="45" customHeight="1">
      <c r="B228" s="6"/>
      <c r="C228" s="9"/>
      <c r="D228" s="130"/>
      <c r="E228" s="263" t="s">
        <v>147</v>
      </c>
      <c r="F228" s="272" t="s">
        <v>161</v>
      </c>
      <c r="G228" s="11"/>
    </row>
    <row r="229" spans="2:29" ht="12" customHeight="1">
      <c r="B229" s="6"/>
      <c r="C229" s="6"/>
      <c r="D229" s="132"/>
      <c r="E229" s="12"/>
      <c r="F229" s="26" t="s">
        <v>159</v>
      </c>
      <c r="G229" s="11"/>
    </row>
    <row r="230" spans="2:29" ht="12" customHeight="1">
      <c r="B230" s="6"/>
      <c r="C230" s="6"/>
      <c r="D230" s="132"/>
      <c r="E230" s="12"/>
      <c r="F230" s="273" t="s">
        <v>7</v>
      </c>
      <c r="G230" s="14">
        <v>2014</v>
      </c>
      <c r="P230" s="137">
        <v>2011</v>
      </c>
      <c r="Q230" s="138"/>
      <c r="R230" s="137">
        <f>P230+1</f>
        <v>2012</v>
      </c>
      <c r="S230" s="137">
        <f>R230+1</f>
        <v>2013</v>
      </c>
      <c r="T230" s="137">
        <f>S230+1</f>
        <v>2014</v>
      </c>
      <c r="U230" s="137">
        <f>T230+1</f>
        <v>2015</v>
      </c>
      <c r="V230" s="137">
        <f>U230+1</f>
        <v>2016</v>
      </c>
      <c r="W230" s="138"/>
      <c r="X230" s="139">
        <f>V230+1</f>
        <v>2017</v>
      </c>
      <c r="Y230" s="139">
        <f>X230+1</f>
        <v>2018</v>
      </c>
      <c r="Z230" s="139">
        <f>Y230+1</f>
        <v>2019</v>
      </c>
      <c r="AA230" s="139">
        <f>Z230+1</f>
        <v>2020</v>
      </c>
      <c r="AB230" s="139">
        <f>AA230+1</f>
        <v>2021</v>
      </c>
    </row>
    <row r="231" spans="2:29" ht="12" customHeight="1">
      <c r="F231" s="1"/>
      <c r="G231" s="209" t="s">
        <v>68</v>
      </c>
      <c r="H231" s="18"/>
      <c r="I231" s="18"/>
      <c r="K231" s="19"/>
      <c r="L231" s="203"/>
      <c r="M231" s="20"/>
      <c r="N231" s="21" t="s">
        <v>0</v>
      </c>
      <c r="O231" s="20"/>
      <c r="P231" s="22"/>
      <c r="Q231" s="20"/>
      <c r="R231" s="140"/>
      <c r="S231" s="141"/>
      <c r="T231" s="142">
        <v>23.7</v>
      </c>
      <c r="U231" s="140">
        <v>33.799999999999997</v>
      </c>
      <c r="V231" s="143">
        <v>30.5</v>
      </c>
      <c r="W231" s="23"/>
      <c r="X231" s="144">
        <v>28.3</v>
      </c>
      <c r="Y231" s="144">
        <v>25.700000000000003</v>
      </c>
      <c r="Z231" s="144">
        <v>19.100000000000001</v>
      </c>
      <c r="AA231" s="144">
        <v>15.1</v>
      </c>
      <c r="AB231" s="144">
        <v>15.1</v>
      </c>
    </row>
    <row r="232" spans="2:29" ht="12" customHeight="1">
      <c r="F232" s="1"/>
      <c r="G232" s="210" t="s">
        <v>69</v>
      </c>
      <c r="H232" s="18"/>
      <c r="I232" s="18"/>
      <c r="K232" s="19"/>
      <c r="L232" s="203"/>
      <c r="M232" s="20"/>
      <c r="N232" s="21" t="s">
        <v>1</v>
      </c>
      <c r="O232" s="20"/>
      <c r="P232" s="22"/>
      <c r="Q232" s="20"/>
      <c r="R232" s="140"/>
      <c r="S232" s="141"/>
      <c r="T232" s="142">
        <v>11.600000000000001</v>
      </c>
      <c r="U232" s="140">
        <v>16.600000000000001</v>
      </c>
      <c r="V232" s="143">
        <v>15.899999999999999</v>
      </c>
      <c r="W232" s="23"/>
      <c r="X232" s="144">
        <v>15.1</v>
      </c>
      <c r="Y232" s="144">
        <v>14.100000000000001</v>
      </c>
      <c r="Z232" s="144">
        <v>10.600000000000001</v>
      </c>
      <c r="AA232" s="144">
        <v>7.9</v>
      </c>
      <c r="AB232" s="144">
        <v>7.9</v>
      </c>
    </row>
    <row r="233" spans="2:29" ht="10" customHeight="1">
      <c r="F233" s="1"/>
      <c r="G233" s="165"/>
      <c r="H233" s="166"/>
      <c r="I233" s="166"/>
      <c r="K233" s="167"/>
      <c r="L233" s="204"/>
      <c r="M233" s="168"/>
      <c r="N233" s="169"/>
      <c r="O233" s="168"/>
      <c r="P233" s="168"/>
      <c r="Q233" s="168"/>
      <c r="R233" s="170"/>
      <c r="S233" s="170"/>
      <c r="T233" s="170"/>
      <c r="U233" s="170"/>
      <c r="V233" s="170"/>
      <c r="W233" s="171"/>
      <c r="X233" s="172"/>
      <c r="Y233" s="172"/>
      <c r="Z233" s="172"/>
      <c r="AA233" s="172"/>
      <c r="AB233" s="172"/>
    </row>
    <row r="234" spans="2:29" ht="12" customHeight="1">
      <c r="E234" s="26" t="s">
        <v>8</v>
      </c>
      <c r="F234" s="27" t="s">
        <v>27</v>
      </c>
      <c r="O234" s="24"/>
      <c r="P234" s="134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6"/>
    </row>
    <row r="235" spans="2:29" ht="12" customHeight="1">
      <c r="C235" s="25"/>
      <c r="F235" s="1"/>
      <c r="G235" s="5"/>
      <c r="O235" s="24"/>
      <c r="P235" s="15">
        <v>2011</v>
      </c>
      <c r="Q235" s="16"/>
      <c r="R235" s="16">
        <f>P235+1</f>
        <v>2012</v>
      </c>
      <c r="S235" s="16">
        <f>R235+1</f>
        <v>2013</v>
      </c>
      <c r="T235" s="16">
        <f>S235+1</f>
        <v>2014</v>
      </c>
      <c r="U235" s="16">
        <f>T235+1</f>
        <v>2015</v>
      </c>
      <c r="V235" s="16">
        <f>U235+1</f>
        <v>2016</v>
      </c>
      <c r="W235" s="16"/>
      <c r="X235" s="17">
        <f>V235+1</f>
        <v>2017</v>
      </c>
      <c r="Y235" s="17">
        <f>X235+1</f>
        <v>2018</v>
      </c>
      <c r="Z235" s="17">
        <f>Y235+1</f>
        <v>2019</v>
      </c>
      <c r="AA235" s="17">
        <f>Z235+1</f>
        <v>2020</v>
      </c>
      <c r="AB235" s="17">
        <f>AA235+1</f>
        <v>2021</v>
      </c>
      <c r="AC235" s="24"/>
    </row>
    <row r="236" spans="2:29" ht="4" customHeight="1"/>
    <row r="237" spans="2:29" ht="12" customHeight="1">
      <c r="D237" s="242">
        <v>1</v>
      </c>
      <c r="E237" s="125" t="s">
        <v>209</v>
      </c>
      <c r="F237" s="125" t="s">
        <v>210</v>
      </c>
      <c r="G237" s="145"/>
      <c r="H237" s="150"/>
      <c r="I237" s="151"/>
      <c r="J237" s="3"/>
      <c r="K237" s="295">
        <v>4</v>
      </c>
      <c r="L237" s="201"/>
      <c r="M237" s="30"/>
      <c r="N237" s="87"/>
      <c r="O237" s="32"/>
      <c r="P237" s="33"/>
      <c r="Q237" s="30"/>
      <c r="R237" s="34"/>
      <c r="S237" s="35">
        <f>K237</f>
        <v>4</v>
      </c>
      <c r="T237" s="35"/>
      <c r="U237" s="35"/>
      <c r="V237" s="36"/>
      <c r="W237" s="30"/>
      <c r="X237" s="37"/>
      <c r="Y237" s="38"/>
      <c r="Z237" s="38"/>
      <c r="AA237" s="38"/>
      <c r="AB237" s="39"/>
    </row>
    <row r="238" spans="2:29" ht="12" customHeight="1">
      <c r="D238" s="243">
        <v>2</v>
      </c>
      <c r="E238" s="126" t="s">
        <v>222</v>
      </c>
      <c r="F238" s="126" t="s">
        <v>223</v>
      </c>
      <c r="G238" s="146"/>
      <c r="H238" s="152"/>
      <c r="I238" s="153"/>
      <c r="J238" s="3"/>
      <c r="K238" s="296">
        <v>2</v>
      </c>
      <c r="L238" s="201"/>
      <c r="M238" s="30"/>
      <c r="N238" s="101"/>
      <c r="O238" s="32"/>
      <c r="P238" s="45"/>
      <c r="Q238" s="30"/>
      <c r="R238" s="46"/>
      <c r="S238" s="47">
        <f>K238</f>
        <v>2</v>
      </c>
      <c r="T238" s="47"/>
      <c r="U238" s="47"/>
      <c r="V238" s="48"/>
      <c r="W238" s="30"/>
      <c r="X238" s="49"/>
      <c r="Y238" s="50"/>
      <c r="Z238" s="50"/>
      <c r="AA238" s="50"/>
      <c r="AB238" s="51"/>
    </row>
    <row r="239" spans="2:29" ht="12" customHeight="1">
      <c r="D239" s="243">
        <v>3</v>
      </c>
      <c r="E239" s="126" t="s">
        <v>211</v>
      </c>
      <c r="F239" s="126" t="s">
        <v>26</v>
      </c>
      <c r="G239" s="146"/>
      <c r="H239" s="152"/>
      <c r="I239" s="153"/>
      <c r="J239" s="3"/>
      <c r="K239" s="44">
        <v>2</v>
      </c>
      <c r="L239" s="201"/>
      <c r="M239" s="30"/>
      <c r="N239" s="53"/>
      <c r="O239" s="32"/>
      <c r="P239" s="45"/>
      <c r="Q239" s="30"/>
      <c r="R239" s="46"/>
      <c r="S239" s="47">
        <f t="shared" ref="S239" si="37">K239</f>
        <v>2</v>
      </c>
      <c r="T239" s="47"/>
      <c r="U239" s="47"/>
      <c r="V239" s="48"/>
      <c r="W239" s="30"/>
      <c r="X239" s="49"/>
      <c r="Y239" s="50"/>
      <c r="Z239" s="50"/>
      <c r="AA239" s="50"/>
      <c r="AB239" s="51"/>
    </row>
    <row r="240" spans="2:29" ht="12" customHeight="1">
      <c r="D240" s="244">
        <v>4</v>
      </c>
      <c r="E240" s="127" t="s">
        <v>212</v>
      </c>
      <c r="F240" s="127" t="s">
        <v>26</v>
      </c>
      <c r="G240" s="147"/>
      <c r="H240" s="154"/>
      <c r="I240" s="155"/>
      <c r="J240" s="3"/>
      <c r="K240" s="297">
        <v>4</v>
      </c>
      <c r="L240" s="201"/>
      <c r="M240" s="30"/>
      <c r="N240" s="53"/>
      <c r="O240" s="32"/>
      <c r="P240" s="45"/>
      <c r="Q240" s="30"/>
      <c r="R240" s="46"/>
      <c r="S240" s="47">
        <f>K240</f>
        <v>4</v>
      </c>
      <c r="T240" s="47"/>
      <c r="U240" s="47"/>
      <c r="V240" s="48"/>
      <c r="W240" s="30"/>
      <c r="X240" s="49"/>
      <c r="Y240" s="50"/>
      <c r="Z240" s="50"/>
      <c r="AA240" s="50"/>
      <c r="AB240" s="51"/>
    </row>
    <row r="241" spans="2:28" s="67" customFormat="1" ht="15" customHeight="1">
      <c r="B241" s="54"/>
      <c r="C241" s="55"/>
      <c r="D241" s="133"/>
      <c r="E241" s="124"/>
      <c r="F241" s="128" t="s">
        <v>2</v>
      </c>
      <c r="G241" s="129"/>
      <c r="H241" s="148"/>
      <c r="I241" s="149"/>
      <c r="J241" s="61"/>
      <c r="K241" s="29">
        <f>SUM(K237:K240)</f>
        <v>12</v>
      </c>
      <c r="L241" s="205"/>
      <c r="M241" s="62"/>
      <c r="N241" s="31"/>
      <c r="O241" s="61"/>
      <c r="P241" s="63"/>
      <c r="Q241" s="62"/>
      <c r="R241" s="64">
        <f>SUM(R237:R240)</f>
        <v>0</v>
      </c>
      <c r="S241" s="64">
        <f>SUM(S237:S240)</f>
        <v>12</v>
      </c>
      <c r="T241" s="64">
        <f>SUM(T237:T240)</f>
        <v>0</v>
      </c>
      <c r="U241" s="64">
        <f>SUM(U237:U240)</f>
        <v>0</v>
      </c>
      <c r="V241" s="64">
        <f>SUM(V237:V240)</f>
        <v>0</v>
      </c>
      <c r="W241" s="62"/>
      <c r="X241" s="65"/>
      <c r="Y241" s="59"/>
      <c r="Z241" s="59"/>
      <c r="AA241" s="59"/>
      <c r="AB241" s="66"/>
    </row>
    <row r="242" spans="2:28" ht="9" customHeight="1"/>
    <row r="243" spans="2:28" ht="14.15" customHeight="1">
      <c r="L243" s="1"/>
      <c r="O243" s="24"/>
      <c r="P243" s="84" t="s">
        <v>10</v>
      </c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2"/>
    </row>
    <row r="244" spans="2:28" ht="15" customHeight="1">
      <c r="E244" s="26" t="s">
        <v>28</v>
      </c>
      <c r="K244" s="137" t="s">
        <v>67</v>
      </c>
      <c r="L244" s="211" t="s">
        <v>66</v>
      </c>
      <c r="M244" s="24"/>
      <c r="N244" s="212" t="s">
        <v>11</v>
      </c>
      <c r="O244" s="24"/>
      <c r="P244" s="137">
        <v>2011</v>
      </c>
      <c r="Q244" s="5"/>
      <c r="R244" s="137">
        <f>P244+1</f>
        <v>2012</v>
      </c>
      <c r="S244" s="137">
        <f>R244+1</f>
        <v>2013</v>
      </c>
      <c r="T244" s="137">
        <f>S244+1</f>
        <v>2014</v>
      </c>
      <c r="U244" s="137">
        <f>T244+1</f>
        <v>2015</v>
      </c>
      <c r="V244" s="137">
        <f>U244+1</f>
        <v>2016</v>
      </c>
      <c r="W244" s="5"/>
      <c r="X244" s="139">
        <f>V244+1</f>
        <v>2017</v>
      </c>
      <c r="Y244" s="139">
        <f>X244+1</f>
        <v>2018</v>
      </c>
      <c r="Z244" s="139">
        <f>Y244+1</f>
        <v>2019</v>
      </c>
      <c r="AA244" s="139">
        <f>Z244+1</f>
        <v>2020</v>
      </c>
      <c r="AB244" s="139">
        <f>AA244+1</f>
        <v>2021</v>
      </c>
    </row>
    <row r="245" spans="2:28" ht="4.5" customHeight="1"/>
    <row r="246" spans="2:28" ht="12" customHeight="1">
      <c r="D246" s="242">
        <v>1</v>
      </c>
      <c r="E246" s="125" t="s">
        <v>209</v>
      </c>
      <c r="F246" s="125" t="s">
        <v>213</v>
      </c>
      <c r="G246" s="299">
        <f>(3*1+2.5)/4</f>
        <v>1.375</v>
      </c>
      <c r="H246" s="78" t="s">
        <v>12</v>
      </c>
      <c r="I246" s="79" t="s">
        <v>13</v>
      </c>
      <c r="J246" s="3"/>
      <c r="K246" s="80">
        <f>K237</f>
        <v>4</v>
      </c>
      <c r="L246" s="225" t="s">
        <v>13</v>
      </c>
      <c r="M246" s="30"/>
      <c r="N246" s="156">
        <f>G246*K246</f>
        <v>5.5</v>
      </c>
      <c r="O246" s="32"/>
      <c r="P246" s="33"/>
      <c r="Q246" s="30"/>
      <c r="R246" s="81">
        <f t="shared" ref="R246:V249" si="38">$G246*R237</f>
        <v>0</v>
      </c>
      <c r="S246" s="81">
        <f t="shared" si="38"/>
        <v>5.5</v>
      </c>
      <c r="T246" s="81">
        <f t="shared" si="38"/>
        <v>0</v>
      </c>
      <c r="U246" s="81">
        <f t="shared" si="38"/>
        <v>0</v>
      </c>
      <c r="V246" s="81">
        <f t="shared" si="38"/>
        <v>0</v>
      </c>
      <c r="W246" s="30"/>
      <c r="X246" s="37"/>
      <c r="Y246" s="38"/>
      <c r="Z246" s="38"/>
      <c r="AA246" s="38"/>
      <c r="AB246" s="39"/>
    </row>
    <row r="247" spans="2:28" ht="12" customHeight="1">
      <c r="D247" s="243">
        <v>2</v>
      </c>
      <c r="E247" s="126" t="s">
        <v>222</v>
      </c>
      <c r="F247" s="126" t="s">
        <v>214</v>
      </c>
      <c r="G247" s="300">
        <f>(2.3+2.7)/2</f>
        <v>2.5</v>
      </c>
      <c r="H247" s="42" t="s">
        <v>12</v>
      </c>
      <c r="I247" s="43" t="s">
        <v>13</v>
      </c>
      <c r="J247" s="3"/>
      <c r="K247" s="52">
        <f>K238</f>
        <v>2</v>
      </c>
      <c r="L247" s="226" t="s">
        <v>13</v>
      </c>
      <c r="M247" s="30"/>
      <c r="N247" s="157">
        <f>G247*K247</f>
        <v>5</v>
      </c>
      <c r="O247" s="32"/>
      <c r="P247" s="45"/>
      <c r="Q247" s="30"/>
      <c r="R247" s="81">
        <f t="shared" si="38"/>
        <v>0</v>
      </c>
      <c r="S247" s="81">
        <f t="shared" si="38"/>
        <v>5</v>
      </c>
      <c r="T247" s="81">
        <f t="shared" si="38"/>
        <v>0</v>
      </c>
      <c r="U247" s="81">
        <f t="shared" si="38"/>
        <v>0</v>
      </c>
      <c r="V247" s="81">
        <f t="shared" si="38"/>
        <v>0</v>
      </c>
      <c r="W247" s="30"/>
      <c r="X247" s="49"/>
      <c r="Y247" s="50"/>
      <c r="Z247" s="50"/>
      <c r="AA247" s="50"/>
      <c r="AB247" s="51"/>
    </row>
    <row r="248" spans="2:28" ht="12" customHeight="1">
      <c r="D248" s="243">
        <v>3</v>
      </c>
      <c r="E248" s="126" t="s">
        <v>211</v>
      </c>
      <c r="F248" s="126" t="s">
        <v>26</v>
      </c>
      <c r="G248" s="300">
        <f>(17.5+22)/2</f>
        <v>19.75</v>
      </c>
      <c r="H248" s="42" t="s">
        <v>12</v>
      </c>
      <c r="I248" s="43" t="s">
        <v>13</v>
      </c>
      <c r="J248" s="3"/>
      <c r="K248" s="52">
        <f>K239</f>
        <v>2</v>
      </c>
      <c r="L248" s="226" t="s">
        <v>13</v>
      </c>
      <c r="M248" s="30"/>
      <c r="N248" s="157">
        <f>G248*K248</f>
        <v>39.5</v>
      </c>
      <c r="O248" s="32"/>
      <c r="P248" s="45"/>
      <c r="Q248" s="30"/>
      <c r="R248" s="81">
        <f t="shared" si="38"/>
        <v>0</v>
      </c>
      <c r="S248" s="81">
        <f t="shared" si="38"/>
        <v>39.5</v>
      </c>
      <c r="T248" s="81">
        <f t="shared" si="38"/>
        <v>0</v>
      </c>
      <c r="U248" s="81">
        <f t="shared" si="38"/>
        <v>0</v>
      </c>
      <c r="V248" s="81">
        <f t="shared" si="38"/>
        <v>0</v>
      </c>
      <c r="W248" s="30"/>
      <c r="X248" s="49"/>
      <c r="Y248" s="50"/>
      <c r="Z248" s="50"/>
      <c r="AA248" s="50"/>
      <c r="AB248" s="51"/>
    </row>
    <row r="249" spans="2:28" ht="12" customHeight="1">
      <c r="D249" s="244">
        <v>4</v>
      </c>
      <c r="E249" s="127" t="s">
        <v>212</v>
      </c>
      <c r="F249" s="127" t="s">
        <v>26</v>
      </c>
      <c r="G249" s="300">
        <f>(3*13.7+11.8)/4</f>
        <v>13.224999999999998</v>
      </c>
      <c r="H249" s="42" t="s">
        <v>12</v>
      </c>
      <c r="I249" s="43" t="s">
        <v>13</v>
      </c>
      <c r="J249" s="3"/>
      <c r="K249" s="52">
        <f>K240</f>
        <v>4</v>
      </c>
      <c r="L249" s="227" t="s">
        <v>13</v>
      </c>
      <c r="M249" s="30"/>
      <c r="N249" s="157">
        <f>G249*K249</f>
        <v>52.899999999999991</v>
      </c>
      <c r="O249" s="32"/>
      <c r="P249" s="45"/>
      <c r="Q249" s="30"/>
      <c r="R249" s="81">
        <f t="shared" si="38"/>
        <v>0</v>
      </c>
      <c r="S249" s="81">
        <f t="shared" si="38"/>
        <v>52.899999999999991</v>
      </c>
      <c r="T249" s="81">
        <f t="shared" si="38"/>
        <v>0</v>
      </c>
      <c r="U249" s="81">
        <f t="shared" si="38"/>
        <v>0</v>
      </c>
      <c r="V249" s="81">
        <f t="shared" si="38"/>
        <v>0</v>
      </c>
      <c r="W249" s="30"/>
      <c r="X249" s="49"/>
      <c r="Y249" s="50"/>
      <c r="Z249" s="50"/>
      <c r="AA249" s="50"/>
      <c r="AB249" s="51"/>
    </row>
    <row r="250" spans="2:28" s="67" customFormat="1" ht="15" customHeight="1">
      <c r="B250" s="54"/>
      <c r="C250" s="55"/>
      <c r="D250" s="133"/>
      <c r="E250" s="56"/>
      <c r="F250" s="57" t="s">
        <v>14</v>
      </c>
      <c r="G250" s="58"/>
      <c r="H250" s="59"/>
      <c r="I250" s="60"/>
      <c r="J250" s="61"/>
      <c r="K250" s="82"/>
      <c r="L250" s="279"/>
      <c r="M250" s="62"/>
      <c r="N250" s="180">
        <f>SUM(N246:N249)</f>
        <v>102.89999999999999</v>
      </c>
      <c r="O250" s="61"/>
      <c r="P250" s="63"/>
      <c r="Q250" s="62"/>
      <c r="R250" s="83">
        <f>SUM(R246:R249)</f>
        <v>0</v>
      </c>
      <c r="S250" s="83">
        <f>SUM(S246:S249)</f>
        <v>102.89999999999999</v>
      </c>
      <c r="T250" s="83">
        <f>SUM(T246:T249)</f>
        <v>0</v>
      </c>
      <c r="U250" s="83">
        <f>SUM(U246:U249)</f>
        <v>0</v>
      </c>
      <c r="V250" s="83">
        <f>SUM(V246:V249)</f>
        <v>0</v>
      </c>
      <c r="W250" s="62"/>
      <c r="X250" s="65"/>
      <c r="Y250" s="59"/>
      <c r="Z250" s="59"/>
      <c r="AA250" s="59"/>
      <c r="AB250" s="66"/>
    </row>
    <row r="251" spans="2:28" ht="5.15" customHeight="1"/>
    <row r="252" spans="2:28" ht="20.149999999999999" customHeight="1">
      <c r="E252" s="26" t="s">
        <v>15</v>
      </c>
      <c r="F252" s="84" t="s">
        <v>16</v>
      </c>
      <c r="G252" s="85"/>
      <c r="H252" s="215" t="s">
        <v>4</v>
      </c>
      <c r="I252" s="232" t="s">
        <v>76</v>
      </c>
      <c r="K252" s="137" t="s">
        <v>67</v>
      </c>
      <c r="L252" s="211" t="s">
        <v>66</v>
      </c>
      <c r="N252" s="212" t="s">
        <v>11</v>
      </c>
      <c r="P252" s="73">
        <v>2011</v>
      </c>
      <c r="Q252" s="74"/>
      <c r="R252" s="75">
        <f>P252+1</f>
        <v>2012</v>
      </c>
      <c r="S252" s="75">
        <f>R252+1</f>
        <v>2013</v>
      </c>
      <c r="T252" s="75">
        <f>S252+1</f>
        <v>2014</v>
      </c>
      <c r="U252" s="75">
        <f>T252+1</f>
        <v>2015</v>
      </c>
      <c r="V252" s="75">
        <f>U252+1</f>
        <v>2016</v>
      </c>
      <c r="W252" s="74"/>
      <c r="X252" s="76">
        <f>V252+1</f>
        <v>2017</v>
      </c>
      <c r="Y252" s="76">
        <f>X252+1</f>
        <v>2018</v>
      </c>
      <c r="Z252" s="76">
        <f>Y252+1</f>
        <v>2019</v>
      </c>
      <c r="AA252" s="76">
        <f>Z252+1</f>
        <v>2020</v>
      </c>
      <c r="AB252" s="76">
        <f>AA252+1</f>
        <v>2021</v>
      </c>
    </row>
    <row r="253" spans="2:28" ht="4" customHeight="1"/>
    <row r="254" spans="2:28" ht="12" customHeight="1">
      <c r="C254" s="28"/>
      <c r="E254" s="77" t="s">
        <v>218</v>
      </c>
      <c r="F254" s="158" t="s">
        <v>219</v>
      </c>
      <c r="G254" s="86"/>
      <c r="H254" s="213" t="s">
        <v>71</v>
      </c>
      <c r="I254" s="216">
        <v>0.5</v>
      </c>
      <c r="J254" s="3"/>
      <c r="K254" s="298">
        <v>13</v>
      </c>
      <c r="L254" s="229" t="s">
        <v>73</v>
      </c>
      <c r="M254" s="30"/>
      <c r="N254" s="176">
        <f>I254*K254</f>
        <v>6.5</v>
      </c>
      <c r="O254" s="32"/>
      <c r="P254" s="88"/>
      <c r="Q254" s="30"/>
      <c r="R254" s="90"/>
      <c r="S254" s="91">
        <f>N254</f>
        <v>6.5</v>
      </c>
      <c r="T254" s="91"/>
      <c r="U254" s="91"/>
      <c r="V254" s="92"/>
      <c r="W254" s="30"/>
      <c r="X254" s="90"/>
      <c r="Y254" s="91"/>
      <c r="Z254" s="91"/>
      <c r="AA254" s="91"/>
      <c r="AB254" s="92"/>
    </row>
    <row r="255" spans="2:28" ht="12" customHeight="1">
      <c r="C255" s="28"/>
      <c r="E255" s="77" t="s">
        <v>215</v>
      </c>
      <c r="F255" s="158" t="s">
        <v>70</v>
      </c>
      <c r="G255" s="86"/>
      <c r="H255" s="213" t="s">
        <v>71</v>
      </c>
      <c r="I255" s="216">
        <v>0.25</v>
      </c>
      <c r="J255" s="3"/>
      <c r="K255" s="228">
        <v>5.7</v>
      </c>
      <c r="L255" s="229" t="s">
        <v>72</v>
      </c>
      <c r="M255" s="30"/>
      <c r="N255" s="176">
        <f>I255*K255</f>
        <v>1.425</v>
      </c>
      <c r="O255" s="32"/>
      <c r="P255" s="88"/>
      <c r="Q255" s="30"/>
      <c r="R255" s="90"/>
      <c r="S255" s="91">
        <f>N255</f>
        <v>1.425</v>
      </c>
      <c r="T255" s="91"/>
      <c r="U255" s="91"/>
      <c r="V255" s="92"/>
      <c r="W255" s="30"/>
      <c r="X255" s="90"/>
      <c r="Y255" s="91"/>
      <c r="Z255" s="91"/>
      <c r="AA255" s="91"/>
      <c r="AB255" s="92"/>
    </row>
    <row r="256" spans="2:28" ht="12" customHeight="1">
      <c r="C256" s="28"/>
      <c r="E256" s="105"/>
      <c r="F256" s="41" t="s">
        <v>17</v>
      </c>
      <c r="G256" s="93"/>
      <c r="H256" s="94"/>
      <c r="I256" s="217">
        <v>0.1</v>
      </c>
      <c r="J256" s="3"/>
      <c r="K256" s="174">
        <v>7</v>
      </c>
      <c r="L256" s="226" t="s">
        <v>73</v>
      </c>
      <c r="M256" s="30"/>
      <c r="N256" s="177">
        <f>I256*K256</f>
        <v>0.70000000000000007</v>
      </c>
      <c r="O256" s="32"/>
      <c r="P256" s="96"/>
      <c r="Q256" s="30"/>
      <c r="R256" s="97"/>
      <c r="S256" s="98">
        <f>N256</f>
        <v>0.70000000000000007</v>
      </c>
      <c r="T256" s="98"/>
      <c r="U256" s="98"/>
      <c r="V256" s="99"/>
      <c r="W256" s="30"/>
      <c r="X256" s="97"/>
      <c r="Y256" s="98"/>
      <c r="Z256" s="98"/>
      <c r="AA256" s="98"/>
      <c r="AB256" s="99"/>
    </row>
    <row r="257" spans="2:28" ht="12" customHeight="1">
      <c r="C257" s="28"/>
      <c r="E257" s="105" t="s">
        <v>216</v>
      </c>
      <c r="F257" s="41" t="s">
        <v>217</v>
      </c>
      <c r="G257" s="100"/>
      <c r="H257" s="94"/>
      <c r="I257" s="217">
        <f>0.25</f>
        <v>0.25</v>
      </c>
      <c r="J257" s="3"/>
      <c r="K257" s="200">
        <f>11*3</f>
        <v>33</v>
      </c>
      <c r="L257" s="230" t="s">
        <v>72</v>
      </c>
      <c r="M257" s="30"/>
      <c r="N257" s="177">
        <f>I257*K257</f>
        <v>8.25</v>
      </c>
      <c r="O257" s="32"/>
      <c r="P257" s="96"/>
      <c r="Q257" s="30"/>
      <c r="R257" s="257"/>
      <c r="S257" s="214">
        <f>N257</f>
        <v>8.25</v>
      </c>
      <c r="T257" s="214"/>
      <c r="U257" s="103"/>
      <c r="V257" s="104"/>
      <c r="W257" s="30"/>
      <c r="X257" s="102"/>
      <c r="Y257" s="103"/>
      <c r="Z257" s="103"/>
      <c r="AA257" s="103"/>
      <c r="AB257" s="104"/>
    </row>
    <row r="258" spans="2:28" ht="12" customHeight="1">
      <c r="C258" s="28"/>
      <c r="E258" s="105"/>
      <c r="F258" s="253" t="s">
        <v>17</v>
      </c>
      <c r="G258" s="100"/>
      <c r="H258" s="94"/>
      <c r="I258" s="217">
        <v>0.1</v>
      </c>
      <c r="J258" s="3"/>
      <c r="K258" s="174">
        <v>11</v>
      </c>
      <c r="L258" s="226" t="s">
        <v>73</v>
      </c>
      <c r="M258" s="30"/>
      <c r="N258" s="177">
        <f>I258*K258</f>
        <v>1.1000000000000001</v>
      </c>
      <c r="O258" s="32"/>
      <c r="P258" s="96"/>
      <c r="Q258" s="30"/>
      <c r="R258" s="257"/>
      <c r="S258" s="214">
        <f>N258</f>
        <v>1.1000000000000001</v>
      </c>
      <c r="T258" s="214"/>
      <c r="U258" s="103"/>
      <c r="V258" s="104"/>
      <c r="W258" s="30"/>
      <c r="X258" s="102"/>
      <c r="Y258" s="103"/>
      <c r="Z258" s="103"/>
      <c r="AA258" s="103"/>
      <c r="AB258" s="104"/>
    </row>
    <row r="259" spans="2:28" ht="12" customHeight="1">
      <c r="C259" s="28"/>
      <c r="E259" s="183" t="s">
        <v>62</v>
      </c>
      <c r="F259" s="186"/>
      <c r="G259" s="184"/>
      <c r="H259" s="94"/>
      <c r="I259" s="95"/>
      <c r="J259" s="3"/>
      <c r="K259" s="174"/>
      <c r="L259" s="226"/>
      <c r="M259" s="30"/>
      <c r="N259" s="177"/>
      <c r="O259" s="32"/>
      <c r="P259" s="96"/>
      <c r="Q259" s="30"/>
      <c r="R259" s="257"/>
      <c r="S259" s="214"/>
      <c r="T259" s="214"/>
      <c r="U259" s="103"/>
      <c r="V259" s="104"/>
      <c r="W259" s="30"/>
      <c r="X259" s="102"/>
      <c r="Y259" s="103"/>
      <c r="Z259" s="103"/>
      <c r="AA259" s="103"/>
      <c r="AB259" s="104"/>
    </row>
    <row r="260" spans="2:28" ht="12" customHeight="1">
      <c r="C260" s="28"/>
      <c r="E260" s="107" t="s">
        <v>118</v>
      </c>
      <c r="F260" s="254" t="s">
        <v>136</v>
      </c>
      <c r="G260" s="185"/>
      <c r="H260" s="94" t="s">
        <v>18</v>
      </c>
      <c r="I260" s="43">
        <v>7</v>
      </c>
      <c r="J260" s="3"/>
      <c r="K260" s="174">
        <v>1</v>
      </c>
      <c r="L260" s="226"/>
      <c r="M260" s="30"/>
      <c r="N260" s="178">
        <f>I260*K260</f>
        <v>7</v>
      </c>
      <c r="O260" s="32"/>
      <c r="P260" s="96"/>
      <c r="Q260" s="30"/>
      <c r="R260" s="257">
        <f>0.1*N260</f>
        <v>0.70000000000000007</v>
      </c>
      <c r="S260" s="214">
        <f t="shared" ref="S260:S261" si="39">0.5*N260</f>
        <v>3.5</v>
      </c>
      <c r="T260" s="214">
        <f>0.4*N260</f>
        <v>2.8000000000000003</v>
      </c>
      <c r="U260" s="103"/>
      <c r="V260" s="104"/>
      <c r="W260" s="30"/>
      <c r="X260" s="102"/>
      <c r="Y260" s="103"/>
      <c r="Z260" s="103"/>
      <c r="AA260" s="103"/>
      <c r="AB260" s="104"/>
    </row>
    <row r="261" spans="2:28" ht="12" customHeight="1">
      <c r="C261" s="28"/>
      <c r="E261" s="107" t="s">
        <v>41</v>
      </c>
      <c r="F261" s="248" t="s">
        <v>124</v>
      </c>
      <c r="G261" s="184"/>
      <c r="H261" s="94" t="s">
        <v>18</v>
      </c>
      <c r="I261" s="43">
        <v>0.12</v>
      </c>
      <c r="J261" s="3"/>
      <c r="K261" s="200">
        <f>36*10</f>
        <v>360</v>
      </c>
      <c r="L261" s="230"/>
      <c r="M261" s="30"/>
      <c r="N261" s="177">
        <f>I261*K261</f>
        <v>43.199999999999996</v>
      </c>
      <c r="O261" s="32"/>
      <c r="P261" s="96"/>
      <c r="Q261" s="30"/>
      <c r="R261" s="257">
        <f t="shared" ref="R261" si="40">0.1*N261</f>
        <v>4.3199999999999994</v>
      </c>
      <c r="S261" s="214">
        <f t="shared" si="39"/>
        <v>21.599999999999998</v>
      </c>
      <c r="T261" s="214">
        <f t="shared" ref="T261" si="41">0.4*N261</f>
        <v>17.279999999999998</v>
      </c>
      <c r="U261" s="103"/>
      <c r="V261" s="104"/>
      <c r="W261" s="30"/>
      <c r="X261" s="102"/>
      <c r="Y261" s="103"/>
      <c r="Z261" s="103"/>
      <c r="AA261" s="103"/>
      <c r="AB261" s="104"/>
    </row>
    <row r="262" spans="2:28" ht="12" customHeight="1">
      <c r="C262" s="28"/>
      <c r="E262" s="245" t="s">
        <v>44</v>
      </c>
      <c r="F262" s="246"/>
      <c r="G262" s="184"/>
      <c r="H262" s="94"/>
      <c r="I262" s="43"/>
      <c r="J262" s="3"/>
      <c r="K262" s="200"/>
      <c r="L262" s="230"/>
      <c r="M262" s="30"/>
      <c r="N262" s="177"/>
      <c r="O262" s="32"/>
      <c r="P262" s="96"/>
      <c r="Q262" s="30"/>
      <c r="R262" s="257"/>
      <c r="S262" s="214"/>
      <c r="T262" s="214"/>
      <c r="U262" s="103"/>
      <c r="V262" s="104"/>
      <c r="W262" s="30"/>
      <c r="X262" s="102"/>
      <c r="Y262" s="103"/>
      <c r="Z262" s="103"/>
      <c r="AA262" s="103"/>
      <c r="AB262" s="104"/>
    </row>
    <row r="263" spans="2:28" ht="12" customHeight="1">
      <c r="C263" s="28"/>
      <c r="E263" s="107" t="s">
        <v>44</v>
      </c>
      <c r="F263" s="247" t="s">
        <v>46</v>
      </c>
      <c r="G263" s="184"/>
      <c r="H263" s="94" t="s">
        <v>18</v>
      </c>
      <c r="I263" s="43">
        <v>65</v>
      </c>
      <c r="J263" s="3"/>
      <c r="K263" s="174">
        <v>1</v>
      </c>
      <c r="L263" s="226"/>
      <c r="M263" s="30"/>
      <c r="N263" s="177">
        <f>I263*K263</f>
        <v>65</v>
      </c>
      <c r="O263" s="32"/>
      <c r="P263" s="96"/>
      <c r="Q263" s="30"/>
      <c r="R263" s="257">
        <f t="shared" ref="R263:R266" si="42">0.1*N263</f>
        <v>6.5</v>
      </c>
      <c r="S263" s="214">
        <f t="shared" ref="S263:S266" si="43">0.5*N263</f>
        <v>32.5</v>
      </c>
      <c r="T263" s="214">
        <f t="shared" ref="T263:T266" si="44">0.4*N263</f>
        <v>26</v>
      </c>
      <c r="U263" s="103"/>
      <c r="V263" s="104"/>
      <c r="W263" s="30"/>
      <c r="X263" s="102"/>
      <c r="Y263" s="103"/>
      <c r="Z263" s="103"/>
      <c r="AA263" s="103"/>
      <c r="AB263" s="104"/>
    </row>
    <row r="264" spans="2:28" ht="12" customHeight="1">
      <c r="C264" s="28"/>
      <c r="E264" s="107"/>
      <c r="F264" s="247" t="s">
        <v>84</v>
      </c>
      <c r="G264" s="184"/>
      <c r="H264" s="94" t="s">
        <v>18</v>
      </c>
      <c r="I264" s="43">
        <v>0.12</v>
      </c>
      <c r="J264" s="3"/>
      <c r="K264" s="200">
        <f>26*8</f>
        <v>208</v>
      </c>
      <c r="L264" s="230" t="s">
        <v>75</v>
      </c>
      <c r="M264" s="30"/>
      <c r="N264" s="177">
        <f>I264*K264</f>
        <v>24.96</v>
      </c>
      <c r="O264" s="32"/>
      <c r="P264" s="96"/>
      <c r="Q264" s="30"/>
      <c r="R264" s="257">
        <f t="shared" si="42"/>
        <v>2.4960000000000004</v>
      </c>
      <c r="S264" s="214">
        <f t="shared" si="43"/>
        <v>12.48</v>
      </c>
      <c r="T264" s="214">
        <f t="shared" si="44"/>
        <v>9.9840000000000018</v>
      </c>
      <c r="U264" s="103"/>
      <c r="V264" s="104"/>
      <c r="W264" s="30"/>
      <c r="X264" s="102"/>
      <c r="Y264" s="103"/>
      <c r="Z264" s="103"/>
      <c r="AA264" s="103"/>
      <c r="AB264" s="104"/>
    </row>
    <row r="265" spans="2:28" ht="12" customHeight="1">
      <c r="C265" s="28"/>
      <c r="E265" s="107" t="s">
        <v>48</v>
      </c>
      <c r="F265" s="247" t="s">
        <v>148</v>
      </c>
      <c r="G265" s="184"/>
      <c r="H265" s="94"/>
      <c r="I265" s="43">
        <v>0.12</v>
      </c>
      <c r="J265" s="3"/>
      <c r="K265" s="200">
        <f>26*12</f>
        <v>312</v>
      </c>
      <c r="L265" s="230" t="s">
        <v>75</v>
      </c>
      <c r="M265" s="30"/>
      <c r="N265" s="177">
        <f>I265*K265</f>
        <v>37.44</v>
      </c>
      <c r="O265" s="32"/>
      <c r="P265" s="96"/>
      <c r="Q265" s="30"/>
      <c r="R265" s="257">
        <f t="shared" si="42"/>
        <v>3.7439999999999998</v>
      </c>
      <c r="S265" s="214">
        <f t="shared" si="43"/>
        <v>18.72</v>
      </c>
      <c r="T265" s="214">
        <f t="shared" si="44"/>
        <v>14.975999999999999</v>
      </c>
      <c r="U265" s="103"/>
      <c r="V265" s="104"/>
      <c r="W265" s="30"/>
      <c r="X265" s="102"/>
      <c r="Y265" s="103"/>
      <c r="Z265" s="103"/>
      <c r="AA265" s="103"/>
      <c r="AB265" s="104"/>
    </row>
    <row r="266" spans="2:28" ht="12" customHeight="1">
      <c r="C266" s="28"/>
      <c r="E266" s="189" t="s">
        <v>59</v>
      </c>
      <c r="F266" s="256" t="s">
        <v>139</v>
      </c>
      <c r="G266" s="190"/>
      <c r="H266" s="94"/>
      <c r="I266" s="43"/>
      <c r="J266" s="3"/>
      <c r="K266" s="175"/>
      <c r="L266" s="231"/>
      <c r="M266" s="30"/>
      <c r="N266" s="234">
        <f>SUM(N254:N265)*0.1</f>
        <v>19.557500000000005</v>
      </c>
      <c r="O266" s="32"/>
      <c r="P266" s="109"/>
      <c r="Q266" s="30"/>
      <c r="R266" s="258">
        <f t="shared" si="42"/>
        <v>1.9557500000000005</v>
      </c>
      <c r="S266" s="259">
        <f t="shared" si="43"/>
        <v>9.7787500000000023</v>
      </c>
      <c r="T266" s="259">
        <f t="shared" si="44"/>
        <v>7.8230000000000022</v>
      </c>
      <c r="U266" s="111"/>
      <c r="V266" s="112"/>
      <c r="W266" s="30"/>
      <c r="X266" s="110"/>
      <c r="Y266" s="111"/>
      <c r="Z266" s="111"/>
      <c r="AA266" s="111"/>
      <c r="AB266" s="112"/>
    </row>
    <row r="267" spans="2:28" ht="4" customHeight="1">
      <c r="E267" s="3"/>
      <c r="J267" s="3"/>
    </row>
    <row r="268" spans="2:28" ht="15" customHeight="1">
      <c r="F268" s="113" t="s">
        <v>19</v>
      </c>
      <c r="G268" s="114"/>
      <c r="H268" s="114"/>
      <c r="I268" s="85"/>
      <c r="K268" s="22"/>
      <c r="L268" s="207"/>
      <c r="M268" s="20"/>
      <c r="N268" s="179">
        <f>SUM(N254:N266)</f>
        <v>215.13250000000002</v>
      </c>
      <c r="O268" s="20"/>
      <c r="P268" s="22"/>
      <c r="Q268" s="20"/>
      <c r="R268" s="180">
        <f>SUM(R255:R266)</f>
        <v>19.71575</v>
      </c>
      <c r="S268" s="181">
        <f>SUM(S255:S266)</f>
        <v>110.05374999999999</v>
      </c>
      <c r="T268" s="181">
        <f>SUM(T255:T266)</f>
        <v>78.863</v>
      </c>
      <c r="U268" s="182">
        <f>SUM(U255:U266)</f>
        <v>0</v>
      </c>
      <c r="V268" s="180">
        <f>SUM(V255:V266)</f>
        <v>0</v>
      </c>
      <c r="W268" s="115"/>
      <c r="X268" s="160">
        <f>SUM(X255:X266)</f>
        <v>0</v>
      </c>
      <c r="Y268" s="161">
        <f>SUM(Y255:Y266)</f>
        <v>0</v>
      </c>
      <c r="Z268" s="161">
        <f>SUM(Z255:Z266)</f>
        <v>0</v>
      </c>
      <c r="AA268" s="161">
        <f>SUM(AA255:AA266)</f>
        <v>0</v>
      </c>
      <c r="AB268" s="161">
        <f>SUM(AB255:AB266)</f>
        <v>0</v>
      </c>
    </row>
    <row r="269" spans="2:28" ht="10" customHeight="1">
      <c r="F269" s="192"/>
      <c r="G269" s="193"/>
      <c r="H269" s="193"/>
      <c r="I269" s="193"/>
      <c r="K269" s="168"/>
      <c r="L269" s="20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94"/>
      <c r="X269" s="195"/>
      <c r="Y269" s="195"/>
      <c r="Z269" s="195"/>
      <c r="AA269" s="195"/>
      <c r="AB269" s="195"/>
    </row>
    <row r="270" spans="2:28" ht="15" customHeight="1">
      <c r="B270" s="164" t="s">
        <v>83</v>
      </c>
      <c r="C270" s="6"/>
      <c r="E270" s="116" t="s">
        <v>20</v>
      </c>
    </row>
    <row r="271" spans="2:28" ht="25" customHeight="1">
      <c r="B271" s="6"/>
      <c r="C271" s="9"/>
      <c r="E271" s="262" t="s">
        <v>147</v>
      </c>
      <c r="F271" s="237"/>
      <c r="K271" s="333" t="s">
        <v>9</v>
      </c>
      <c r="L271" s="334"/>
      <c r="M271" s="334"/>
      <c r="N271" s="335"/>
      <c r="O271" s="24"/>
      <c r="P271" s="68" t="s">
        <v>10</v>
      </c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70"/>
    </row>
    <row r="272" spans="2:28" ht="15" customHeight="1">
      <c r="E272" s="26" t="s">
        <v>21</v>
      </c>
      <c r="F272" s="84" t="s">
        <v>22</v>
      </c>
      <c r="G272" s="85"/>
      <c r="H272" s="73" t="s">
        <v>4</v>
      </c>
      <c r="I272" s="75" t="s">
        <v>23</v>
      </c>
      <c r="K272" s="71"/>
      <c r="M272" s="24"/>
      <c r="N272" s="72" t="s">
        <v>11</v>
      </c>
      <c r="O272" s="24"/>
      <c r="P272" s="73">
        <v>2011</v>
      </c>
      <c r="Q272" s="74"/>
      <c r="R272" s="75">
        <f>P272+1</f>
        <v>2012</v>
      </c>
      <c r="S272" s="75">
        <f>R272+1</f>
        <v>2013</v>
      </c>
      <c r="T272" s="75">
        <f>S272+1</f>
        <v>2014</v>
      </c>
      <c r="U272" s="75">
        <f>T272+1</f>
        <v>2015</v>
      </c>
      <c r="V272" s="75">
        <f>U272+1</f>
        <v>2016</v>
      </c>
      <c r="W272" s="74"/>
      <c r="X272" s="76">
        <f>V272+1</f>
        <v>2017</v>
      </c>
      <c r="Y272" s="76">
        <f>X272+1</f>
        <v>2018</v>
      </c>
      <c r="Z272" s="76">
        <f>Y272+1</f>
        <v>2019</v>
      </c>
      <c r="AA272" s="76">
        <f>Z272+1</f>
        <v>2020</v>
      </c>
      <c r="AB272" s="76">
        <f>AA272+1</f>
        <v>2021</v>
      </c>
    </row>
    <row r="273" spans="3:28" ht="4" customHeight="1"/>
    <row r="274" spans="3:28" ht="12" customHeight="1">
      <c r="C274" s="28"/>
      <c r="E274" s="77" t="s">
        <v>3</v>
      </c>
      <c r="F274" s="197" t="s">
        <v>224</v>
      </c>
      <c r="G274" s="117"/>
      <c r="H274" s="73"/>
      <c r="I274" s="75"/>
      <c r="J274" s="3"/>
      <c r="K274" s="87"/>
      <c r="L274" s="204"/>
      <c r="M274" s="30"/>
      <c r="N274" s="176">
        <f>N250</f>
        <v>102.89999999999999</v>
      </c>
      <c r="O274" s="32"/>
      <c r="P274" s="88"/>
      <c r="Q274" s="30"/>
      <c r="R274" s="89">
        <f>R250</f>
        <v>0</v>
      </c>
      <c r="S274" s="89">
        <f>S250</f>
        <v>102.89999999999999</v>
      </c>
      <c r="T274" s="89">
        <f>T250</f>
        <v>0</v>
      </c>
      <c r="U274" s="89">
        <f>U250</f>
        <v>0</v>
      </c>
      <c r="V274" s="220">
        <f>V250</f>
        <v>0</v>
      </c>
      <c r="X274" s="199"/>
      <c r="Y274" s="118"/>
      <c r="Z274" s="118"/>
      <c r="AA274" s="118"/>
      <c r="AB274" s="119"/>
    </row>
    <row r="275" spans="3:28" ht="12" customHeight="1">
      <c r="C275" s="28"/>
      <c r="E275" s="105" t="s">
        <v>218</v>
      </c>
      <c r="F275" s="41" t="s">
        <v>221</v>
      </c>
      <c r="G275" s="100"/>
      <c r="H275" s="94"/>
      <c r="I275" s="43"/>
      <c r="J275" s="3"/>
      <c r="K275" s="101"/>
      <c r="L275" s="204"/>
      <c r="M275" s="30"/>
      <c r="N275" s="178">
        <f>N254</f>
        <v>6.5</v>
      </c>
      <c r="O275" s="32"/>
      <c r="P275" s="96"/>
      <c r="Q275" s="30"/>
      <c r="R275" s="157">
        <f>SUM(R249:R252)</f>
        <v>2012</v>
      </c>
      <c r="S275" s="157">
        <f t="shared" ref="S275:V275" si="45">SUM(S249:S252)</f>
        <v>2168.8000000000002</v>
      </c>
      <c r="T275" s="157">
        <f t="shared" si="45"/>
        <v>2014</v>
      </c>
      <c r="U275" s="157">
        <f t="shared" si="45"/>
        <v>2015</v>
      </c>
      <c r="V275" s="157">
        <f t="shared" si="45"/>
        <v>2016</v>
      </c>
      <c r="W275" s="30"/>
      <c r="X275" s="102"/>
      <c r="Y275" s="103"/>
      <c r="Z275" s="103"/>
      <c r="AA275" s="103"/>
      <c r="AB275" s="104"/>
    </row>
    <row r="276" spans="3:28" ht="12" customHeight="1">
      <c r="C276" s="28"/>
      <c r="E276" s="105" t="s">
        <v>29</v>
      </c>
      <c r="F276" s="41" t="s">
        <v>220</v>
      </c>
      <c r="G276" s="100"/>
      <c r="H276" s="94"/>
      <c r="I276" s="43"/>
      <c r="J276" s="3"/>
      <c r="K276" s="101"/>
      <c r="L276" s="204"/>
      <c r="M276" s="30"/>
      <c r="N276" s="178">
        <f>SUM(N255:N258)</f>
        <v>11.475</v>
      </c>
      <c r="O276" s="32"/>
      <c r="P276" s="96"/>
      <c r="Q276" s="30"/>
      <c r="R276" s="157">
        <f>SUM(R255:R258)</f>
        <v>0</v>
      </c>
      <c r="S276" s="157">
        <f t="shared" ref="S276:V276" si="46">SUM(S255:S258)</f>
        <v>11.475</v>
      </c>
      <c r="T276" s="157">
        <f t="shared" si="46"/>
        <v>0</v>
      </c>
      <c r="U276" s="157">
        <f t="shared" si="46"/>
        <v>0</v>
      </c>
      <c r="V276" s="157">
        <f t="shared" si="46"/>
        <v>0</v>
      </c>
      <c r="W276" s="30"/>
      <c r="X276" s="102"/>
      <c r="Y276" s="103"/>
      <c r="Z276" s="103"/>
      <c r="AA276" s="103"/>
      <c r="AB276" s="104"/>
    </row>
    <row r="277" spans="3:28" ht="12" customHeight="1">
      <c r="C277" s="28"/>
      <c r="E277" s="105" t="s">
        <v>52</v>
      </c>
      <c r="F277" s="41" t="s">
        <v>51</v>
      </c>
      <c r="G277" s="100"/>
      <c r="H277" s="94"/>
      <c r="I277" s="43"/>
      <c r="J277" s="3"/>
      <c r="K277" s="101"/>
      <c r="L277" s="204"/>
      <c r="M277" s="30"/>
      <c r="N277" s="178">
        <f>SUM(N260:N261)</f>
        <v>50.199999999999996</v>
      </c>
      <c r="O277" s="32"/>
      <c r="P277" s="96"/>
      <c r="Q277" s="30"/>
      <c r="R277" s="178">
        <f>SUM(R260:R261)</f>
        <v>5.0199999999999996</v>
      </c>
      <c r="S277" s="178">
        <f t="shared" ref="S277:V277" si="47">SUM(S260:S261)</f>
        <v>25.099999999999998</v>
      </c>
      <c r="T277" s="178">
        <f t="shared" si="47"/>
        <v>20.079999999999998</v>
      </c>
      <c r="U277" s="178">
        <f t="shared" si="47"/>
        <v>0</v>
      </c>
      <c r="V277" s="178">
        <f t="shared" si="47"/>
        <v>0</v>
      </c>
      <c r="W277" s="30"/>
      <c r="X277" s="102"/>
      <c r="Y277" s="103"/>
      <c r="Z277" s="103"/>
      <c r="AA277" s="103"/>
      <c r="AB277" s="104"/>
    </row>
    <row r="278" spans="3:28" ht="12" customHeight="1">
      <c r="C278" s="28"/>
      <c r="E278" s="105" t="s">
        <v>53</v>
      </c>
      <c r="F278" s="41" t="s">
        <v>82</v>
      </c>
      <c r="G278" s="100"/>
      <c r="H278" s="94"/>
      <c r="I278" s="43"/>
      <c r="J278" s="3"/>
      <c r="K278" s="101"/>
      <c r="L278" s="204"/>
      <c r="M278" s="30"/>
      <c r="N278" s="178">
        <f>SUM(N263:N264)</f>
        <v>89.960000000000008</v>
      </c>
      <c r="O278" s="32"/>
      <c r="P278" s="96"/>
      <c r="Q278" s="30"/>
      <c r="R278" s="178">
        <f>SUM(R263:R264)</f>
        <v>8.9960000000000004</v>
      </c>
      <c r="S278" s="178">
        <f t="shared" ref="S278:V278" si="48">SUM(S263:S264)</f>
        <v>44.980000000000004</v>
      </c>
      <c r="T278" s="178">
        <f t="shared" si="48"/>
        <v>35.984000000000002</v>
      </c>
      <c r="U278" s="178">
        <f t="shared" si="48"/>
        <v>0</v>
      </c>
      <c r="V278" s="178">
        <f t="shared" si="48"/>
        <v>0</v>
      </c>
      <c r="W278" s="30"/>
      <c r="X278" s="102"/>
      <c r="Y278" s="103"/>
      <c r="Z278" s="103"/>
      <c r="AA278" s="103"/>
      <c r="AB278" s="104"/>
    </row>
    <row r="279" spans="3:28" ht="12" customHeight="1">
      <c r="C279" s="28"/>
      <c r="E279" s="105" t="s">
        <v>55</v>
      </c>
      <c r="F279" s="41" t="s">
        <v>165</v>
      </c>
      <c r="G279" s="100"/>
      <c r="H279" s="94"/>
      <c r="I279" s="43"/>
      <c r="J279" s="3"/>
      <c r="K279" s="101"/>
      <c r="L279" s="204"/>
      <c r="M279" s="30"/>
      <c r="N279" s="178">
        <f>SUM(N265:N265)</f>
        <v>37.44</v>
      </c>
      <c r="O279" s="32"/>
      <c r="P279" s="96"/>
      <c r="Q279" s="30"/>
      <c r="R279" s="178">
        <f>SUM(R265:R265)</f>
        <v>3.7439999999999998</v>
      </c>
      <c r="S279" s="178">
        <f>SUM(S265:S265)</f>
        <v>18.72</v>
      </c>
      <c r="T279" s="178">
        <f>SUM(T265:T265)</f>
        <v>14.975999999999999</v>
      </c>
      <c r="U279" s="178">
        <f>SUM(U265:U265)</f>
        <v>0</v>
      </c>
      <c r="V279" s="178">
        <f>SUM(V265:V265)</f>
        <v>0</v>
      </c>
      <c r="W279" s="30"/>
      <c r="X279" s="102"/>
      <c r="Y279" s="103"/>
      <c r="Z279" s="103"/>
      <c r="AA279" s="103"/>
      <c r="AB279" s="104"/>
    </row>
    <row r="280" spans="3:28" ht="12" customHeight="1">
      <c r="C280" s="28"/>
      <c r="E280" s="108" t="s">
        <v>59</v>
      </c>
      <c r="F280" s="256" t="s">
        <v>139</v>
      </c>
      <c r="G280" s="120"/>
      <c r="H280" s="94"/>
      <c r="I280" s="43"/>
      <c r="J280" s="3"/>
      <c r="K280" s="121"/>
      <c r="L280" s="204"/>
      <c r="M280" s="30"/>
      <c r="N280" s="234">
        <f>N266</f>
        <v>19.557500000000005</v>
      </c>
      <c r="O280" s="32"/>
      <c r="P280" s="109"/>
      <c r="Q280" s="30"/>
      <c r="R280" s="163">
        <f t="shared" ref="R280:V280" si="49">R266</f>
        <v>1.9557500000000005</v>
      </c>
      <c r="S280" s="163">
        <f t="shared" si="49"/>
        <v>9.7787500000000023</v>
      </c>
      <c r="T280" s="163">
        <f t="shared" si="49"/>
        <v>7.8230000000000022</v>
      </c>
      <c r="U280" s="163">
        <f t="shared" si="49"/>
        <v>0</v>
      </c>
      <c r="V280" s="163">
        <f t="shared" si="49"/>
        <v>0</v>
      </c>
      <c r="W280" s="30"/>
      <c r="X280" s="218"/>
      <c r="Y280" s="111"/>
      <c r="Z280" s="111"/>
      <c r="AA280" s="111"/>
      <c r="AB280" s="112"/>
    </row>
    <row r="281" spans="3:28" ht="4" customHeight="1">
      <c r="E281" s="3"/>
      <c r="J281" s="3"/>
    </row>
    <row r="282" spans="3:28" ht="15" customHeight="1">
      <c r="F282" s="122" t="s">
        <v>24</v>
      </c>
      <c r="G282" s="114"/>
      <c r="H282" s="114"/>
      <c r="I282" s="85"/>
      <c r="K282" s="22"/>
      <c r="L282" s="207"/>
      <c r="M282" s="20"/>
      <c r="N282" s="162">
        <f>SUM(N274:N280)</f>
        <v>318.03249999999997</v>
      </c>
      <c r="O282" s="20"/>
      <c r="P282" s="22"/>
      <c r="Q282" s="20"/>
      <c r="R282" s="198">
        <f>SUM(R274:R280)</f>
        <v>2031.7157500000001</v>
      </c>
      <c r="S282" s="198">
        <f>SUM(S274:S280)</f>
        <v>2381.7537499999999</v>
      </c>
      <c r="T282" s="198">
        <f>SUM(T274:T280)</f>
        <v>2092.8629999999998</v>
      </c>
      <c r="U282" s="198">
        <f>SUM(U274:U280)</f>
        <v>2015</v>
      </c>
      <c r="V282" s="198">
        <f>SUM(V274:V280)</f>
        <v>2016</v>
      </c>
      <c r="W282" s="115"/>
      <c r="X282" s="160">
        <f>SUM(X274:X280)</f>
        <v>0</v>
      </c>
      <c r="Y282" s="160">
        <f>SUM(Y274:Y280)</f>
        <v>0</v>
      </c>
      <c r="Z282" s="160">
        <f>SUM(Z274:Z280)</f>
        <v>0</v>
      </c>
      <c r="AA282" s="160">
        <f>SUM(AA274:AA280)</f>
        <v>0</v>
      </c>
      <c r="AB282" s="160">
        <f>SUM(AB274:AB280)</f>
        <v>0</v>
      </c>
    </row>
    <row r="283" spans="3:28" ht="10" customHeight="1"/>
    <row r="284" spans="3:28" ht="12" customHeight="1"/>
    <row r="285" spans="3:28" ht="12" customHeight="1"/>
    <row r="286" spans="3:28" ht="12" customHeight="1"/>
    <row r="287" spans="3:28" ht="12" customHeight="1"/>
    <row r="288" spans="3:28" ht="10" customHeight="1" thickBot="1"/>
    <row r="289" spans="2:29" ht="18" customHeight="1" thickBot="1">
      <c r="B289" s="315" t="s">
        <v>77</v>
      </c>
      <c r="C289" s="316"/>
      <c r="D289" s="316"/>
      <c r="E289" s="316"/>
      <c r="F289" s="316"/>
      <c r="G289" s="316"/>
      <c r="H289" s="316"/>
      <c r="I289" s="316"/>
      <c r="J289" s="316"/>
      <c r="K289" s="316"/>
      <c r="L289" s="316"/>
      <c r="M289" s="316"/>
      <c r="N289" s="316"/>
      <c r="O289" s="316"/>
      <c r="P289" s="316"/>
      <c r="Q289" s="316"/>
      <c r="R289" s="316"/>
      <c r="S289" s="316"/>
      <c r="T289" s="316"/>
      <c r="U289" s="316"/>
      <c r="V289" s="316"/>
      <c r="W289" s="316"/>
      <c r="X289" s="316"/>
      <c r="Y289" s="316"/>
      <c r="Z289" s="316"/>
      <c r="AA289" s="316"/>
      <c r="AB289" s="317"/>
    </row>
    <row r="290" spans="2:29" ht="10" customHeight="1" thickBot="1"/>
    <row r="291" spans="2:29" ht="15" customHeight="1" thickBot="1">
      <c r="B291" s="164" t="s">
        <v>85</v>
      </c>
      <c r="C291" s="6"/>
      <c r="D291" s="132"/>
      <c r="E291" s="252" t="s">
        <v>86</v>
      </c>
      <c r="F291" s="7"/>
      <c r="G291" s="8"/>
    </row>
    <row r="292" spans="2:29" ht="15" customHeight="1">
      <c r="B292" s="6"/>
      <c r="C292" s="9"/>
      <c r="D292" s="130"/>
      <c r="E292" s="269" t="s">
        <v>126</v>
      </c>
      <c r="F292" s="251" t="s">
        <v>149</v>
      </c>
      <c r="G292" s="11"/>
    </row>
    <row r="293" spans="2:29" ht="12" customHeight="1">
      <c r="B293" s="6"/>
      <c r="C293" s="6"/>
      <c r="D293" s="132"/>
      <c r="E293" s="12"/>
      <c r="F293" s="26" t="s">
        <v>159</v>
      </c>
      <c r="G293" s="11"/>
    </row>
    <row r="294" spans="2:29" ht="12" customHeight="1">
      <c r="B294" s="6"/>
      <c r="C294" s="6"/>
      <c r="D294" s="132"/>
      <c r="E294" s="12"/>
      <c r="F294" s="273" t="s">
        <v>7</v>
      </c>
      <c r="G294" s="14">
        <v>2014</v>
      </c>
      <c r="P294" s="137">
        <v>2011</v>
      </c>
      <c r="Q294" s="138"/>
      <c r="R294" s="137">
        <f>P294+1</f>
        <v>2012</v>
      </c>
      <c r="S294" s="137">
        <f>R294+1</f>
        <v>2013</v>
      </c>
      <c r="T294" s="137">
        <f>S294+1</f>
        <v>2014</v>
      </c>
      <c r="U294" s="137">
        <f>T294+1</f>
        <v>2015</v>
      </c>
      <c r="V294" s="137">
        <f>U294+1</f>
        <v>2016</v>
      </c>
      <c r="W294" s="138"/>
      <c r="X294" s="139">
        <f>V294+1</f>
        <v>2017</v>
      </c>
      <c r="Y294" s="139">
        <f>X294+1</f>
        <v>2018</v>
      </c>
      <c r="Z294" s="139">
        <f>Y294+1</f>
        <v>2019</v>
      </c>
      <c r="AA294" s="139">
        <f>Z294+1</f>
        <v>2020</v>
      </c>
      <c r="AB294" s="139">
        <f>AA294+1</f>
        <v>2021</v>
      </c>
    </row>
    <row r="295" spans="2:29" ht="12" customHeight="1">
      <c r="F295" s="1"/>
      <c r="G295" s="209" t="s">
        <v>68</v>
      </c>
      <c r="H295" s="18"/>
      <c r="I295" s="18"/>
      <c r="K295" s="19"/>
      <c r="L295" s="203"/>
      <c r="M295" s="20"/>
      <c r="N295" s="21" t="s">
        <v>0</v>
      </c>
      <c r="O295" s="20"/>
      <c r="P295" s="22"/>
      <c r="Q295" s="20"/>
      <c r="R295" s="140"/>
      <c r="S295" s="141"/>
      <c r="T295" s="142">
        <v>23.7</v>
      </c>
      <c r="U295" s="140">
        <v>33.799999999999997</v>
      </c>
      <c r="V295" s="143">
        <v>30.5</v>
      </c>
      <c r="W295" s="23"/>
      <c r="X295" s="144">
        <v>28.3</v>
      </c>
      <c r="Y295" s="144">
        <v>25.700000000000003</v>
      </c>
      <c r="Z295" s="144">
        <v>19.100000000000001</v>
      </c>
      <c r="AA295" s="144">
        <v>15.1</v>
      </c>
      <c r="AB295" s="144">
        <v>15.1</v>
      </c>
    </row>
    <row r="296" spans="2:29" ht="12" customHeight="1">
      <c r="F296" s="1"/>
      <c r="G296" s="210" t="s">
        <v>69</v>
      </c>
      <c r="H296" s="18"/>
      <c r="I296" s="18"/>
      <c r="K296" s="19"/>
      <c r="L296" s="203"/>
      <c r="M296" s="20"/>
      <c r="N296" s="21" t="s">
        <v>1</v>
      </c>
      <c r="O296" s="20"/>
      <c r="P296" s="22"/>
      <c r="Q296" s="20"/>
      <c r="R296" s="140"/>
      <c r="S296" s="141"/>
      <c r="T296" s="142">
        <v>11.600000000000001</v>
      </c>
      <c r="U296" s="140">
        <v>16.600000000000001</v>
      </c>
      <c r="V296" s="143">
        <v>15.899999999999999</v>
      </c>
      <c r="W296" s="23"/>
      <c r="X296" s="144">
        <v>15.1</v>
      </c>
      <c r="Y296" s="144">
        <v>14.100000000000001</v>
      </c>
      <c r="Z296" s="144">
        <v>10.600000000000001</v>
      </c>
      <c r="AA296" s="144">
        <v>7.9</v>
      </c>
      <c r="AB296" s="144">
        <v>7.9</v>
      </c>
    </row>
    <row r="297" spans="2:29" ht="10" customHeight="1">
      <c r="F297" s="1"/>
      <c r="G297" s="165"/>
      <c r="H297" s="166"/>
      <c r="I297" s="166"/>
      <c r="K297" s="167"/>
      <c r="L297" s="204"/>
      <c r="M297" s="168"/>
      <c r="N297" s="169"/>
      <c r="O297" s="168"/>
      <c r="P297" s="168"/>
      <c r="Q297" s="168"/>
      <c r="R297" s="170"/>
      <c r="S297" s="170"/>
      <c r="T297" s="170"/>
      <c r="U297" s="170"/>
      <c r="V297" s="170"/>
      <c r="W297" s="171"/>
      <c r="X297" s="172"/>
      <c r="Y297" s="172"/>
      <c r="Z297" s="172"/>
      <c r="AA297" s="172"/>
      <c r="AB297" s="172"/>
    </row>
    <row r="298" spans="2:29" ht="12" customHeight="1">
      <c r="E298" s="26" t="s">
        <v>8</v>
      </c>
      <c r="F298" s="27" t="s">
        <v>27</v>
      </c>
      <c r="O298" s="24"/>
      <c r="P298" s="134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6"/>
    </row>
    <row r="299" spans="2:29" ht="12" customHeight="1">
      <c r="C299" s="25"/>
      <c r="F299" s="1"/>
      <c r="G299" s="5"/>
      <c r="O299" s="24"/>
      <c r="P299" s="15">
        <v>2011</v>
      </c>
      <c r="Q299" s="16"/>
      <c r="R299" s="16">
        <f>P299+1</f>
        <v>2012</v>
      </c>
      <c r="S299" s="16">
        <f>R299+1</f>
        <v>2013</v>
      </c>
      <c r="T299" s="16">
        <f>S299+1</f>
        <v>2014</v>
      </c>
      <c r="U299" s="16">
        <f>T299+1</f>
        <v>2015</v>
      </c>
      <c r="V299" s="16">
        <f>U299+1</f>
        <v>2016</v>
      </c>
      <c r="W299" s="16"/>
      <c r="X299" s="17">
        <f>V299+1</f>
        <v>2017</v>
      </c>
      <c r="Y299" s="17">
        <f>X299+1</f>
        <v>2018</v>
      </c>
      <c r="Z299" s="17">
        <f>Y299+1</f>
        <v>2019</v>
      </c>
      <c r="AA299" s="17">
        <f>Z299+1</f>
        <v>2020</v>
      </c>
      <c r="AB299" s="17">
        <f>AA299+1</f>
        <v>2021</v>
      </c>
      <c r="AC299" s="24"/>
    </row>
    <row r="300" spans="2:29" ht="4" customHeight="1"/>
    <row r="301" spans="2:29" ht="12" customHeight="1">
      <c r="D301" s="242">
        <v>1</v>
      </c>
      <c r="E301" s="125" t="s">
        <v>209</v>
      </c>
      <c r="F301" s="125" t="s">
        <v>210</v>
      </c>
      <c r="G301" s="145"/>
      <c r="H301" s="150"/>
      <c r="I301" s="151"/>
      <c r="J301" s="3"/>
      <c r="K301" s="295">
        <v>4</v>
      </c>
      <c r="L301" s="201"/>
      <c r="M301" s="30"/>
      <c r="N301" s="87"/>
      <c r="O301" s="32"/>
      <c r="P301" s="33"/>
      <c r="Q301" s="30"/>
      <c r="R301" s="34"/>
      <c r="S301" s="35">
        <f>K301</f>
        <v>4</v>
      </c>
      <c r="T301" s="35"/>
      <c r="U301" s="35"/>
      <c r="V301" s="36"/>
      <c r="W301" s="30"/>
      <c r="X301" s="37"/>
      <c r="Y301" s="38"/>
      <c r="Z301" s="38"/>
      <c r="AA301" s="38"/>
      <c r="AB301" s="39"/>
    </row>
    <row r="302" spans="2:29" ht="12" customHeight="1">
      <c r="D302" s="243">
        <v>2</v>
      </c>
      <c r="E302" s="126" t="s">
        <v>222</v>
      </c>
      <c r="F302" s="126" t="s">
        <v>223</v>
      </c>
      <c r="G302" s="146"/>
      <c r="H302" s="152"/>
      <c r="I302" s="153"/>
      <c r="J302" s="3"/>
      <c r="K302" s="296">
        <v>2</v>
      </c>
      <c r="L302" s="201"/>
      <c r="M302" s="30"/>
      <c r="N302" s="101"/>
      <c r="O302" s="32"/>
      <c r="P302" s="45"/>
      <c r="Q302" s="30"/>
      <c r="R302" s="46"/>
      <c r="S302" s="47">
        <f>K302</f>
        <v>2</v>
      </c>
      <c r="T302" s="47"/>
      <c r="U302" s="47"/>
      <c r="V302" s="48"/>
      <c r="W302" s="30"/>
      <c r="X302" s="49"/>
      <c r="Y302" s="50"/>
      <c r="Z302" s="50"/>
      <c r="AA302" s="50"/>
      <c r="AB302" s="51"/>
    </row>
    <row r="303" spans="2:29" ht="12" customHeight="1">
      <c r="D303" s="243">
        <v>3</v>
      </c>
      <c r="E303" s="126" t="s">
        <v>211</v>
      </c>
      <c r="F303" s="126" t="s">
        <v>26</v>
      </c>
      <c r="G303" s="146"/>
      <c r="H303" s="152"/>
      <c r="I303" s="153"/>
      <c r="J303" s="3"/>
      <c r="K303" s="44">
        <v>2</v>
      </c>
      <c r="L303" s="201"/>
      <c r="M303" s="30"/>
      <c r="N303" s="53"/>
      <c r="O303" s="32"/>
      <c r="P303" s="45"/>
      <c r="Q303" s="30"/>
      <c r="R303" s="46"/>
      <c r="S303" s="47">
        <f t="shared" ref="S303" si="50">K303</f>
        <v>2</v>
      </c>
      <c r="T303" s="47"/>
      <c r="U303" s="47"/>
      <c r="V303" s="48"/>
      <c r="W303" s="30"/>
      <c r="X303" s="49"/>
      <c r="Y303" s="50"/>
      <c r="Z303" s="50"/>
      <c r="AA303" s="50"/>
      <c r="AB303" s="51"/>
    </row>
    <row r="304" spans="2:29" ht="12" customHeight="1">
      <c r="D304" s="244">
        <v>4</v>
      </c>
      <c r="E304" s="127" t="s">
        <v>212</v>
      </c>
      <c r="F304" s="127" t="s">
        <v>26</v>
      </c>
      <c r="G304" s="147"/>
      <c r="H304" s="154"/>
      <c r="I304" s="155"/>
      <c r="J304" s="3"/>
      <c r="K304" s="297">
        <v>4</v>
      </c>
      <c r="L304" s="201"/>
      <c r="M304" s="30"/>
      <c r="N304" s="53"/>
      <c r="O304" s="32"/>
      <c r="P304" s="45"/>
      <c r="Q304" s="30"/>
      <c r="R304" s="46"/>
      <c r="S304" s="47">
        <f>K304</f>
        <v>4</v>
      </c>
      <c r="T304" s="47"/>
      <c r="U304" s="47"/>
      <c r="V304" s="48"/>
      <c r="W304" s="30"/>
      <c r="X304" s="49"/>
      <c r="Y304" s="50"/>
      <c r="Z304" s="50"/>
      <c r="AA304" s="50"/>
      <c r="AB304" s="51"/>
    </row>
    <row r="305" spans="2:28" s="67" customFormat="1" ht="15" customHeight="1">
      <c r="B305" s="54"/>
      <c r="C305" s="55"/>
      <c r="D305" s="133"/>
      <c r="E305" s="124"/>
      <c r="F305" s="128" t="s">
        <v>2</v>
      </c>
      <c r="G305" s="129"/>
      <c r="H305" s="148"/>
      <c r="I305" s="149"/>
      <c r="J305" s="61"/>
      <c r="K305" s="29">
        <f>SUM(K301:K304)</f>
        <v>12</v>
      </c>
      <c r="L305" s="205"/>
      <c r="M305" s="62"/>
      <c r="N305" s="31"/>
      <c r="O305" s="61"/>
      <c r="P305" s="63"/>
      <c r="Q305" s="62"/>
      <c r="R305" s="64">
        <f>SUM(R301:R304)</f>
        <v>0</v>
      </c>
      <c r="S305" s="64">
        <f>SUM(S301:S304)</f>
        <v>12</v>
      </c>
      <c r="T305" s="64">
        <f>SUM(T301:T304)</f>
        <v>0</v>
      </c>
      <c r="U305" s="64">
        <f>SUM(U301:U304)</f>
        <v>0</v>
      </c>
      <c r="V305" s="64">
        <f>SUM(V301:V304)</f>
        <v>0</v>
      </c>
      <c r="W305" s="62"/>
      <c r="X305" s="65"/>
      <c r="Y305" s="59"/>
      <c r="Z305" s="59"/>
      <c r="AA305" s="59"/>
      <c r="AB305" s="66"/>
    </row>
    <row r="306" spans="2:28" ht="9" customHeight="1"/>
    <row r="307" spans="2:28" ht="14.15" customHeight="1">
      <c r="L307" s="1"/>
      <c r="O307" s="24"/>
      <c r="P307" s="84" t="s">
        <v>10</v>
      </c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  <c r="AB307" s="222"/>
    </row>
    <row r="308" spans="2:28" ht="15" customHeight="1">
      <c r="E308" s="26" t="s">
        <v>28</v>
      </c>
      <c r="K308" s="137" t="s">
        <v>67</v>
      </c>
      <c r="L308" s="211" t="s">
        <v>66</v>
      </c>
      <c r="M308" s="24"/>
      <c r="N308" s="212" t="s">
        <v>11</v>
      </c>
      <c r="O308" s="24"/>
      <c r="P308" s="137">
        <v>2011</v>
      </c>
      <c r="Q308" s="5"/>
      <c r="R308" s="137">
        <f>P308+1</f>
        <v>2012</v>
      </c>
      <c r="S308" s="137">
        <f>R308+1</f>
        <v>2013</v>
      </c>
      <c r="T308" s="137">
        <f>S308+1</f>
        <v>2014</v>
      </c>
      <c r="U308" s="137">
        <f>T308+1</f>
        <v>2015</v>
      </c>
      <c r="V308" s="137">
        <f>U308+1</f>
        <v>2016</v>
      </c>
      <c r="W308" s="5"/>
      <c r="X308" s="139">
        <f>V308+1</f>
        <v>2017</v>
      </c>
      <c r="Y308" s="139">
        <f>X308+1</f>
        <v>2018</v>
      </c>
      <c r="Z308" s="139">
        <f>Y308+1</f>
        <v>2019</v>
      </c>
      <c r="AA308" s="139">
        <f>Z308+1</f>
        <v>2020</v>
      </c>
      <c r="AB308" s="139">
        <f>AA308+1</f>
        <v>2021</v>
      </c>
    </row>
    <row r="309" spans="2:28" ht="4.5" customHeight="1"/>
    <row r="310" spans="2:28" ht="12" customHeight="1">
      <c r="D310" s="242">
        <v>1</v>
      </c>
      <c r="E310" s="125" t="s">
        <v>209</v>
      </c>
      <c r="F310" s="125" t="s">
        <v>213</v>
      </c>
      <c r="G310" s="299">
        <f>(3*1+2.5)/4</f>
        <v>1.375</v>
      </c>
      <c r="H310" s="78" t="s">
        <v>12</v>
      </c>
      <c r="I310" s="79" t="s">
        <v>13</v>
      </c>
      <c r="J310" s="3"/>
      <c r="K310" s="80">
        <f>K301</f>
        <v>4</v>
      </c>
      <c r="L310" s="225" t="s">
        <v>13</v>
      </c>
      <c r="M310" s="30"/>
      <c r="N310" s="156">
        <f>G310*K310</f>
        <v>5.5</v>
      </c>
      <c r="O310" s="32"/>
      <c r="P310" s="33"/>
      <c r="Q310" s="30"/>
      <c r="R310" s="81">
        <f t="shared" ref="R310:V313" si="51">$G310*R301</f>
        <v>0</v>
      </c>
      <c r="S310" s="81">
        <f t="shared" si="51"/>
        <v>5.5</v>
      </c>
      <c r="T310" s="81">
        <f t="shared" si="51"/>
        <v>0</v>
      </c>
      <c r="U310" s="81">
        <f t="shared" si="51"/>
        <v>0</v>
      </c>
      <c r="V310" s="81">
        <f t="shared" si="51"/>
        <v>0</v>
      </c>
      <c r="W310" s="30"/>
      <c r="X310" s="37"/>
      <c r="Y310" s="38"/>
      <c r="Z310" s="38"/>
      <c r="AA310" s="38"/>
      <c r="AB310" s="39"/>
    </row>
    <row r="311" spans="2:28" ht="12" customHeight="1">
      <c r="D311" s="243">
        <v>2</v>
      </c>
      <c r="E311" s="126" t="s">
        <v>222</v>
      </c>
      <c r="F311" s="126" t="s">
        <v>214</v>
      </c>
      <c r="G311" s="300">
        <f>(2.3+2.7)/2</f>
        <v>2.5</v>
      </c>
      <c r="H311" s="42" t="s">
        <v>12</v>
      </c>
      <c r="I311" s="43" t="s">
        <v>13</v>
      </c>
      <c r="J311" s="3"/>
      <c r="K311" s="52">
        <f>K302</f>
        <v>2</v>
      </c>
      <c r="L311" s="226" t="s">
        <v>13</v>
      </c>
      <c r="M311" s="30"/>
      <c r="N311" s="157">
        <f>G311*K311</f>
        <v>5</v>
      </c>
      <c r="O311" s="32"/>
      <c r="P311" s="45"/>
      <c r="Q311" s="30"/>
      <c r="R311" s="81">
        <f t="shared" si="51"/>
        <v>0</v>
      </c>
      <c r="S311" s="81">
        <f t="shared" si="51"/>
        <v>5</v>
      </c>
      <c r="T311" s="81">
        <f t="shared" si="51"/>
        <v>0</v>
      </c>
      <c r="U311" s="81">
        <f t="shared" si="51"/>
        <v>0</v>
      </c>
      <c r="V311" s="81">
        <f t="shared" si="51"/>
        <v>0</v>
      </c>
      <c r="W311" s="30"/>
      <c r="X311" s="49"/>
      <c r="Y311" s="50"/>
      <c r="Z311" s="50"/>
      <c r="AA311" s="50"/>
      <c r="AB311" s="51"/>
    </row>
    <row r="312" spans="2:28" ht="12" customHeight="1">
      <c r="D312" s="243">
        <v>3</v>
      </c>
      <c r="E312" s="126" t="s">
        <v>211</v>
      </c>
      <c r="F312" s="126" t="s">
        <v>26</v>
      </c>
      <c r="G312" s="300">
        <f>(17.5+22)/2</f>
        <v>19.75</v>
      </c>
      <c r="H312" s="42" t="s">
        <v>12</v>
      </c>
      <c r="I312" s="43" t="s">
        <v>13</v>
      </c>
      <c r="J312" s="3"/>
      <c r="K312" s="52">
        <f>K303</f>
        <v>2</v>
      </c>
      <c r="L312" s="226" t="s">
        <v>13</v>
      </c>
      <c r="M312" s="30"/>
      <c r="N312" s="157">
        <f>G312*K312</f>
        <v>39.5</v>
      </c>
      <c r="O312" s="32"/>
      <c r="P312" s="45"/>
      <c r="Q312" s="30"/>
      <c r="R312" s="81">
        <f t="shared" si="51"/>
        <v>0</v>
      </c>
      <c r="S312" s="81">
        <f t="shared" si="51"/>
        <v>39.5</v>
      </c>
      <c r="T312" s="81">
        <f t="shared" si="51"/>
        <v>0</v>
      </c>
      <c r="U312" s="81">
        <f t="shared" si="51"/>
        <v>0</v>
      </c>
      <c r="V312" s="81">
        <f t="shared" si="51"/>
        <v>0</v>
      </c>
      <c r="W312" s="30"/>
      <c r="X312" s="49"/>
      <c r="Y312" s="50"/>
      <c r="Z312" s="50"/>
      <c r="AA312" s="50"/>
      <c r="AB312" s="51"/>
    </row>
    <row r="313" spans="2:28" ht="12" customHeight="1">
      <c r="D313" s="244">
        <v>4</v>
      </c>
      <c r="E313" s="127" t="s">
        <v>212</v>
      </c>
      <c r="F313" s="127" t="s">
        <v>26</v>
      </c>
      <c r="G313" s="300">
        <f>(3*13.7+11.8)/4</f>
        <v>13.224999999999998</v>
      </c>
      <c r="H313" s="42" t="s">
        <v>12</v>
      </c>
      <c r="I313" s="43" t="s">
        <v>13</v>
      </c>
      <c r="J313" s="3"/>
      <c r="K313" s="52">
        <f>K304</f>
        <v>4</v>
      </c>
      <c r="L313" s="227" t="s">
        <v>13</v>
      </c>
      <c r="M313" s="30"/>
      <c r="N313" s="157">
        <f>G313*K313</f>
        <v>52.899999999999991</v>
      </c>
      <c r="O313" s="32"/>
      <c r="P313" s="45"/>
      <c r="Q313" s="30"/>
      <c r="R313" s="81">
        <f t="shared" si="51"/>
        <v>0</v>
      </c>
      <c r="S313" s="81">
        <f t="shared" si="51"/>
        <v>52.899999999999991</v>
      </c>
      <c r="T313" s="81">
        <f t="shared" si="51"/>
        <v>0</v>
      </c>
      <c r="U313" s="81">
        <f t="shared" si="51"/>
        <v>0</v>
      </c>
      <c r="V313" s="81">
        <f t="shared" si="51"/>
        <v>0</v>
      </c>
      <c r="W313" s="30"/>
      <c r="X313" s="49"/>
      <c r="Y313" s="50"/>
      <c r="Z313" s="50"/>
      <c r="AA313" s="50"/>
      <c r="AB313" s="51"/>
    </row>
    <row r="314" spans="2:28" s="67" customFormat="1" ht="15" customHeight="1">
      <c r="B314" s="54"/>
      <c r="C314" s="55"/>
      <c r="D314" s="133"/>
      <c r="E314" s="56"/>
      <c r="F314" s="57" t="s">
        <v>14</v>
      </c>
      <c r="G314" s="58"/>
      <c r="H314" s="59"/>
      <c r="I314" s="60"/>
      <c r="J314" s="61"/>
      <c r="K314" s="82"/>
      <c r="L314" s="206"/>
      <c r="M314" s="62"/>
      <c r="N314" s="180">
        <f>SUM(N310:N313)</f>
        <v>102.89999999999999</v>
      </c>
      <c r="O314" s="61"/>
      <c r="P314" s="63"/>
      <c r="Q314" s="62"/>
      <c r="R314" s="83">
        <f>SUM(R310:R313)</f>
        <v>0</v>
      </c>
      <c r="S314" s="83">
        <f>SUM(S310:S313)</f>
        <v>102.89999999999999</v>
      </c>
      <c r="T314" s="83">
        <f>SUM(T310:T313)</f>
        <v>0</v>
      </c>
      <c r="U314" s="83">
        <f>SUM(U310:U313)</f>
        <v>0</v>
      </c>
      <c r="V314" s="83">
        <f>SUM(V310:V313)</f>
        <v>0</v>
      </c>
      <c r="W314" s="62"/>
      <c r="X314" s="65"/>
      <c r="Y314" s="59"/>
      <c r="Z314" s="59"/>
      <c r="AA314" s="59"/>
      <c r="AB314" s="66"/>
    </row>
    <row r="315" spans="2:28" ht="5.15" customHeight="1"/>
    <row r="316" spans="2:28" ht="20.149999999999999" customHeight="1">
      <c r="E316" s="26" t="s">
        <v>15</v>
      </c>
      <c r="F316" s="84" t="s">
        <v>16</v>
      </c>
      <c r="G316" s="85"/>
      <c r="H316" s="215" t="s">
        <v>4</v>
      </c>
      <c r="I316" s="232" t="s">
        <v>76</v>
      </c>
      <c r="K316" s="137" t="s">
        <v>67</v>
      </c>
      <c r="L316" s="211" t="s">
        <v>66</v>
      </c>
      <c r="N316" s="212" t="s">
        <v>11</v>
      </c>
      <c r="P316" s="73">
        <v>2011</v>
      </c>
      <c r="Q316" s="74"/>
      <c r="R316" s="75">
        <f>P316+1</f>
        <v>2012</v>
      </c>
      <c r="S316" s="75">
        <f>R316+1</f>
        <v>2013</v>
      </c>
      <c r="T316" s="75">
        <f>S316+1</f>
        <v>2014</v>
      </c>
      <c r="U316" s="75">
        <f>T316+1</f>
        <v>2015</v>
      </c>
      <c r="V316" s="75">
        <f>U316+1</f>
        <v>2016</v>
      </c>
      <c r="W316" s="74"/>
      <c r="X316" s="76">
        <f>V316+1</f>
        <v>2017</v>
      </c>
      <c r="Y316" s="76">
        <f>X316+1</f>
        <v>2018</v>
      </c>
      <c r="Z316" s="76">
        <f>Y316+1</f>
        <v>2019</v>
      </c>
      <c r="AA316" s="76">
        <f>Z316+1</f>
        <v>2020</v>
      </c>
      <c r="AB316" s="76">
        <f>AA316+1</f>
        <v>2021</v>
      </c>
    </row>
    <row r="317" spans="2:28" ht="4" customHeight="1"/>
    <row r="318" spans="2:28" ht="12" customHeight="1">
      <c r="C318" s="28"/>
      <c r="E318" s="77" t="s">
        <v>218</v>
      </c>
      <c r="F318" s="158" t="s">
        <v>219</v>
      </c>
      <c r="G318" s="86"/>
      <c r="H318" s="213" t="s">
        <v>71</v>
      </c>
      <c r="I318" s="216">
        <v>0.5</v>
      </c>
      <c r="J318" s="3"/>
      <c r="K318" s="298">
        <v>13</v>
      </c>
      <c r="L318" s="229" t="s">
        <v>73</v>
      </c>
      <c r="M318" s="30"/>
      <c r="N318" s="176">
        <f>I318*K318</f>
        <v>6.5</v>
      </c>
      <c r="O318" s="32"/>
      <c r="P318" s="88"/>
      <c r="Q318" s="30"/>
      <c r="R318" s="90"/>
      <c r="S318" s="91">
        <f>N318</f>
        <v>6.5</v>
      </c>
      <c r="T318" s="91"/>
      <c r="U318" s="91"/>
      <c r="V318" s="92"/>
      <c r="W318" s="30"/>
      <c r="X318" s="90"/>
      <c r="Y318" s="91"/>
      <c r="Z318" s="91"/>
      <c r="AA318" s="91"/>
      <c r="AB318" s="92"/>
    </row>
    <row r="319" spans="2:28" ht="12" customHeight="1">
      <c r="C319" s="28"/>
      <c r="E319" s="77" t="s">
        <v>215</v>
      </c>
      <c r="F319" s="158" t="s">
        <v>70</v>
      </c>
      <c r="G319" s="86"/>
      <c r="H319" s="213" t="s">
        <v>71</v>
      </c>
      <c r="I319" s="216">
        <v>0.25</v>
      </c>
      <c r="J319" s="3"/>
      <c r="K319" s="228">
        <v>5.7</v>
      </c>
      <c r="L319" s="229" t="s">
        <v>72</v>
      </c>
      <c r="M319" s="30"/>
      <c r="N319" s="176">
        <f>I319*K319</f>
        <v>1.425</v>
      </c>
      <c r="O319" s="32"/>
      <c r="P319" s="88"/>
      <c r="Q319" s="30"/>
      <c r="R319" s="90"/>
      <c r="S319" s="91">
        <f>N319</f>
        <v>1.425</v>
      </c>
      <c r="T319" s="91"/>
      <c r="U319" s="91"/>
      <c r="V319" s="92"/>
      <c r="W319" s="30"/>
      <c r="X319" s="90"/>
      <c r="Y319" s="91"/>
      <c r="Z319" s="91"/>
      <c r="AA319" s="91"/>
      <c r="AB319" s="92"/>
    </row>
    <row r="320" spans="2:28" ht="12" customHeight="1">
      <c r="C320" s="28"/>
      <c r="E320" s="105"/>
      <c r="F320" s="41" t="s">
        <v>17</v>
      </c>
      <c r="G320" s="93"/>
      <c r="H320" s="94"/>
      <c r="I320" s="217">
        <v>0.1</v>
      </c>
      <c r="J320" s="3"/>
      <c r="K320" s="174">
        <v>7</v>
      </c>
      <c r="L320" s="226" t="s">
        <v>73</v>
      </c>
      <c r="M320" s="30"/>
      <c r="N320" s="177">
        <f>I320*K320</f>
        <v>0.70000000000000007</v>
      </c>
      <c r="O320" s="32"/>
      <c r="P320" s="96"/>
      <c r="Q320" s="30"/>
      <c r="R320" s="97"/>
      <c r="S320" s="98">
        <f>N320</f>
        <v>0.70000000000000007</v>
      </c>
      <c r="T320" s="98"/>
      <c r="U320" s="98"/>
      <c r="V320" s="99"/>
      <c r="W320" s="30"/>
      <c r="X320" s="97"/>
      <c r="Y320" s="98"/>
      <c r="Z320" s="98"/>
      <c r="AA320" s="98"/>
      <c r="AB320" s="99"/>
    </row>
    <row r="321" spans="2:28" ht="12" customHeight="1">
      <c r="C321" s="28"/>
      <c r="E321" s="105" t="s">
        <v>216</v>
      </c>
      <c r="F321" s="41" t="s">
        <v>217</v>
      </c>
      <c r="G321" s="100"/>
      <c r="H321" s="94"/>
      <c r="I321" s="217">
        <f>0.25</f>
        <v>0.25</v>
      </c>
      <c r="J321" s="3"/>
      <c r="K321" s="200">
        <f>11*3</f>
        <v>33</v>
      </c>
      <c r="L321" s="230" t="s">
        <v>72</v>
      </c>
      <c r="M321" s="30"/>
      <c r="N321" s="177">
        <f>I321*K321</f>
        <v>8.25</v>
      </c>
      <c r="O321" s="32"/>
      <c r="P321" s="96"/>
      <c r="Q321" s="30"/>
      <c r="R321" s="257"/>
      <c r="S321" s="214">
        <f>N321</f>
        <v>8.25</v>
      </c>
      <c r="T321" s="214"/>
      <c r="U321" s="103"/>
      <c r="V321" s="104"/>
      <c r="W321" s="30"/>
      <c r="X321" s="102"/>
      <c r="Y321" s="103"/>
      <c r="Z321" s="103"/>
      <c r="AA321" s="103"/>
      <c r="AB321" s="104"/>
    </row>
    <row r="322" spans="2:28" ht="12" customHeight="1">
      <c r="C322" s="28"/>
      <c r="E322" s="105"/>
      <c r="F322" s="253" t="s">
        <v>17</v>
      </c>
      <c r="G322" s="100"/>
      <c r="H322" s="94"/>
      <c r="I322" s="217">
        <v>0.1</v>
      </c>
      <c r="J322" s="3"/>
      <c r="K322" s="174">
        <v>11</v>
      </c>
      <c r="L322" s="226" t="s">
        <v>73</v>
      </c>
      <c r="M322" s="30"/>
      <c r="N322" s="177">
        <f>I322*K322</f>
        <v>1.1000000000000001</v>
      </c>
      <c r="O322" s="32"/>
      <c r="P322" s="96"/>
      <c r="Q322" s="30"/>
      <c r="R322" s="257"/>
      <c r="S322" s="214">
        <f>N322</f>
        <v>1.1000000000000001</v>
      </c>
      <c r="T322" s="214"/>
      <c r="U322" s="103"/>
      <c r="V322" s="104"/>
      <c r="W322" s="30"/>
      <c r="X322" s="102"/>
      <c r="Y322" s="103"/>
      <c r="Z322" s="103"/>
      <c r="AA322" s="103"/>
      <c r="AB322" s="104"/>
    </row>
    <row r="323" spans="2:28" ht="12" customHeight="1">
      <c r="C323" s="28"/>
      <c r="E323" s="183" t="s">
        <v>93</v>
      </c>
      <c r="F323" s="186"/>
      <c r="G323" s="184"/>
      <c r="H323" s="94"/>
      <c r="I323" s="95"/>
      <c r="J323" s="3"/>
      <c r="K323" s="174"/>
      <c r="L323" s="226"/>
      <c r="M323" s="30"/>
      <c r="N323" s="177"/>
      <c r="O323" s="32"/>
      <c r="P323" s="96"/>
      <c r="Q323" s="30"/>
      <c r="R323" s="257"/>
      <c r="S323" s="214"/>
      <c r="T323" s="214"/>
      <c r="U323" s="103"/>
      <c r="V323" s="104"/>
      <c r="W323" s="30"/>
      <c r="X323" s="102"/>
      <c r="Y323" s="103"/>
      <c r="Z323" s="103"/>
      <c r="AA323" s="103"/>
      <c r="AB323" s="104"/>
    </row>
    <row r="324" spans="2:28" ht="12" customHeight="1">
      <c r="C324" s="28"/>
      <c r="E324" s="107" t="s">
        <v>87</v>
      </c>
      <c r="F324" s="248" t="s">
        <v>88</v>
      </c>
      <c r="G324" s="185"/>
      <c r="H324" s="94" t="s">
        <v>25</v>
      </c>
      <c r="I324" s="43"/>
      <c r="J324" s="3"/>
      <c r="K324" s="174"/>
      <c r="L324" s="226"/>
      <c r="M324" s="30"/>
      <c r="N324" s="178">
        <v>5</v>
      </c>
      <c r="O324" s="32"/>
      <c r="P324" s="96"/>
      <c r="Q324" s="30"/>
      <c r="R324" s="257">
        <f>0.1*N324</f>
        <v>0.5</v>
      </c>
      <c r="S324" s="214">
        <f t="shared" ref="S324:S326" si="52">0.5*N324</f>
        <v>2.5</v>
      </c>
      <c r="T324" s="214">
        <f>0.4*N324</f>
        <v>2</v>
      </c>
      <c r="U324" s="103"/>
      <c r="V324" s="104"/>
      <c r="W324" s="30"/>
      <c r="X324" s="102"/>
      <c r="Y324" s="103"/>
      <c r="Z324" s="103"/>
      <c r="AA324" s="103"/>
      <c r="AB324" s="104"/>
    </row>
    <row r="325" spans="2:28" ht="12" customHeight="1">
      <c r="C325" s="28"/>
      <c r="E325" s="107" t="s">
        <v>89</v>
      </c>
      <c r="F325" s="248" t="s">
        <v>151</v>
      </c>
      <c r="G325" s="185"/>
      <c r="H325" s="274" t="s">
        <v>225</v>
      </c>
      <c r="I325" s="43"/>
      <c r="J325" s="3"/>
      <c r="K325" s="174"/>
      <c r="L325" s="226"/>
      <c r="M325" s="30"/>
      <c r="N325" s="178">
        <v>15</v>
      </c>
      <c r="O325" s="32"/>
      <c r="P325" s="96"/>
      <c r="Q325" s="30"/>
      <c r="R325" s="257">
        <f>0.1*N325</f>
        <v>1.5</v>
      </c>
      <c r="S325" s="214">
        <f t="shared" ref="S325" si="53">0.5*N325</f>
        <v>7.5</v>
      </c>
      <c r="T325" s="214">
        <f>0.4*N325</f>
        <v>6</v>
      </c>
      <c r="U325" s="103"/>
      <c r="V325" s="104"/>
      <c r="W325" s="30"/>
      <c r="X325" s="102"/>
      <c r="Y325" s="103"/>
      <c r="Z325" s="103"/>
      <c r="AA325" s="103"/>
      <c r="AB325" s="104"/>
    </row>
    <row r="326" spans="2:28" ht="12" customHeight="1">
      <c r="C326" s="28"/>
      <c r="E326" s="107" t="s">
        <v>90</v>
      </c>
      <c r="F326" s="248" t="s">
        <v>92</v>
      </c>
      <c r="G326" s="184"/>
      <c r="H326" s="94" t="s">
        <v>18</v>
      </c>
      <c r="I326" s="43">
        <v>1.25</v>
      </c>
      <c r="J326" s="3"/>
      <c r="K326" s="200">
        <v>18</v>
      </c>
      <c r="L326" s="230" t="s">
        <v>91</v>
      </c>
      <c r="M326" s="30"/>
      <c r="N326" s="177">
        <f>I326*K326</f>
        <v>22.5</v>
      </c>
      <c r="O326" s="32"/>
      <c r="P326" s="96"/>
      <c r="Q326" s="30"/>
      <c r="R326" s="257">
        <f t="shared" ref="R326" si="54">0.1*N326</f>
        <v>2.25</v>
      </c>
      <c r="S326" s="214">
        <f t="shared" si="52"/>
        <v>11.25</v>
      </c>
      <c r="T326" s="214">
        <f t="shared" ref="T326" si="55">0.4*N326</f>
        <v>9</v>
      </c>
      <c r="U326" s="103"/>
      <c r="V326" s="104"/>
      <c r="W326" s="30"/>
      <c r="X326" s="102"/>
      <c r="Y326" s="103"/>
      <c r="Z326" s="103"/>
      <c r="AA326" s="103"/>
      <c r="AB326" s="104"/>
    </row>
    <row r="327" spans="2:28" ht="12" customHeight="1">
      <c r="C327" s="28"/>
      <c r="E327" s="245" t="s">
        <v>44</v>
      </c>
      <c r="F327" s="246"/>
      <c r="G327" s="184"/>
      <c r="H327" s="94"/>
      <c r="I327" s="43"/>
      <c r="J327" s="3"/>
      <c r="K327" s="200"/>
      <c r="L327" s="230"/>
      <c r="M327" s="30"/>
      <c r="N327" s="177"/>
      <c r="O327" s="32"/>
      <c r="P327" s="96"/>
      <c r="Q327" s="30"/>
      <c r="R327" s="257"/>
      <c r="S327" s="214"/>
      <c r="T327" s="214"/>
      <c r="U327" s="103"/>
      <c r="V327" s="104"/>
      <c r="W327" s="30"/>
      <c r="X327" s="102"/>
      <c r="Y327" s="103"/>
      <c r="Z327" s="103"/>
      <c r="AA327" s="103"/>
      <c r="AB327" s="104"/>
    </row>
    <row r="328" spans="2:28" ht="12" customHeight="1">
      <c r="C328" s="28"/>
      <c r="E328" s="107" t="s">
        <v>44</v>
      </c>
      <c r="F328" s="247" t="s">
        <v>46</v>
      </c>
      <c r="G328" s="184"/>
      <c r="H328" s="94" t="s">
        <v>18</v>
      </c>
      <c r="I328" s="43">
        <v>65</v>
      </c>
      <c r="J328" s="3"/>
      <c r="K328" s="174">
        <v>1</v>
      </c>
      <c r="L328" s="226"/>
      <c r="M328" s="30"/>
      <c r="N328" s="177">
        <f>I328*K328</f>
        <v>65</v>
      </c>
      <c r="O328" s="32"/>
      <c r="P328" s="96"/>
      <c r="Q328" s="30"/>
      <c r="R328" s="257">
        <f t="shared" ref="R328:R332" si="56">0.1*N328</f>
        <v>6.5</v>
      </c>
      <c r="S328" s="214">
        <f t="shared" ref="S328:S332" si="57">0.5*N328</f>
        <v>32.5</v>
      </c>
      <c r="T328" s="214">
        <f t="shared" ref="T328:T332" si="58">0.4*N328</f>
        <v>26</v>
      </c>
      <c r="U328" s="103"/>
      <c r="V328" s="104"/>
      <c r="W328" s="30"/>
      <c r="X328" s="102"/>
      <c r="Y328" s="103"/>
      <c r="Z328" s="103"/>
      <c r="AA328" s="103"/>
      <c r="AB328" s="104"/>
    </row>
    <row r="329" spans="2:28" ht="12" customHeight="1">
      <c r="C329" s="28"/>
      <c r="E329" s="107"/>
      <c r="F329" s="247" t="s">
        <v>45</v>
      </c>
      <c r="G329" s="184"/>
      <c r="H329" s="94" t="s">
        <v>18</v>
      </c>
      <c r="I329" s="43">
        <v>0.12</v>
      </c>
      <c r="J329" s="3"/>
      <c r="K329" s="200">
        <f>36*8</f>
        <v>288</v>
      </c>
      <c r="L329" s="230" t="s">
        <v>75</v>
      </c>
      <c r="M329" s="30"/>
      <c r="N329" s="177">
        <f>I329*K329</f>
        <v>34.56</v>
      </c>
      <c r="O329" s="32"/>
      <c r="P329" s="96"/>
      <c r="Q329" s="30"/>
      <c r="R329" s="257">
        <f t="shared" si="56"/>
        <v>3.4560000000000004</v>
      </c>
      <c r="S329" s="214">
        <f t="shared" si="57"/>
        <v>17.28</v>
      </c>
      <c r="T329" s="214">
        <f t="shared" si="58"/>
        <v>13.824000000000002</v>
      </c>
      <c r="U329" s="103"/>
      <c r="V329" s="104"/>
      <c r="W329" s="30"/>
      <c r="X329" s="102"/>
      <c r="Y329" s="103"/>
      <c r="Z329" s="103"/>
      <c r="AA329" s="103"/>
      <c r="AB329" s="104"/>
    </row>
    <row r="330" spans="2:28" ht="12" customHeight="1">
      <c r="C330" s="28"/>
      <c r="E330" s="107"/>
      <c r="F330" s="247" t="s">
        <v>56</v>
      </c>
      <c r="G330" s="184"/>
      <c r="H330" s="94"/>
      <c r="I330" s="43"/>
      <c r="J330" s="3"/>
      <c r="K330" s="173"/>
      <c r="L330" s="230"/>
      <c r="M330" s="30"/>
      <c r="N330" s="177">
        <v>5</v>
      </c>
      <c r="O330" s="32"/>
      <c r="P330" s="96"/>
      <c r="Q330" s="30"/>
      <c r="R330" s="257">
        <f t="shared" ref="R330" si="59">0.1*N330</f>
        <v>0.5</v>
      </c>
      <c r="S330" s="214">
        <f t="shared" ref="S330" si="60">0.5*N330</f>
        <v>2.5</v>
      </c>
      <c r="T330" s="214">
        <f t="shared" ref="T330" si="61">0.4*N330</f>
        <v>2</v>
      </c>
      <c r="U330" s="103"/>
      <c r="V330" s="104"/>
      <c r="W330" s="30"/>
      <c r="X330" s="102"/>
      <c r="Y330" s="103"/>
      <c r="Z330" s="103"/>
      <c r="AA330" s="103"/>
      <c r="AB330" s="104"/>
    </row>
    <row r="331" spans="2:28" ht="12" customHeight="1">
      <c r="C331" s="28"/>
      <c r="E331" s="107" t="s">
        <v>90</v>
      </c>
      <c r="F331" s="247" t="s">
        <v>92</v>
      </c>
      <c r="G331" s="184"/>
      <c r="H331" s="94"/>
      <c r="I331" s="43">
        <v>1.25</v>
      </c>
      <c r="J331" s="3"/>
      <c r="K331" s="200">
        <v>30</v>
      </c>
      <c r="L331" s="230" t="s">
        <v>91</v>
      </c>
      <c r="M331" s="30"/>
      <c r="N331" s="177">
        <f>I331*K331</f>
        <v>37.5</v>
      </c>
      <c r="O331" s="32"/>
      <c r="P331" s="96"/>
      <c r="Q331" s="30"/>
      <c r="R331" s="257">
        <f t="shared" si="56"/>
        <v>3.75</v>
      </c>
      <c r="S331" s="214">
        <f t="shared" si="57"/>
        <v>18.75</v>
      </c>
      <c r="T331" s="214">
        <f t="shared" si="58"/>
        <v>15</v>
      </c>
      <c r="U331" s="103"/>
      <c r="V331" s="104"/>
      <c r="W331" s="30"/>
      <c r="X331" s="102"/>
      <c r="Y331" s="103"/>
      <c r="Z331" s="103"/>
      <c r="AA331" s="103"/>
      <c r="AB331" s="104"/>
    </row>
    <row r="332" spans="2:28" ht="12" customHeight="1">
      <c r="C332" s="28"/>
      <c r="E332" s="189" t="s">
        <v>59</v>
      </c>
      <c r="F332" s="256" t="s">
        <v>139</v>
      </c>
      <c r="G332" s="190"/>
      <c r="H332" s="94"/>
      <c r="I332" s="43"/>
      <c r="J332" s="3"/>
      <c r="K332" s="175"/>
      <c r="L332" s="231"/>
      <c r="M332" s="30"/>
      <c r="N332" s="234">
        <f>SUM(N318:N331)*0.1</f>
        <v>20.253500000000003</v>
      </c>
      <c r="O332" s="32"/>
      <c r="P332" s="109"/>
      <c r="Q332" s="30"/>
      <c r="R332" s="258">
        <f t="shared" si="56"/>
        <v>2.0253500000000004</v>
      </c>
      <c r="S332" s="259">
        <f t="shared" si="57"/>
        <v>10.126750000000001</v>
      </c>
      <c r="T332" s="259">
        <f t="shared" si="58"/>
        <v>8.1014000000000017</v>
      </c>
      <c r="U332" s="111"/>
      <c r="V332" s="112"/>
      <c r="W332" s="30"/>
      <c r="X332" s="110"/>
      <c r="Y332" s="111"/>
      <c r="Z332" s="111"/>
      <c r="AA332" s="111"/>
      <c r="AB332" s="112"/>
    </row>
    <row r="333" spans="2:28" ht="4" customHeight="1">
      <c r="E333" s="3"/>
      <c r="J333" s="3"/>
    </row>
    <row r="334" spans="2:28" ht="15" customHeight="1">
      <c r="F334" s="113" t="s">
        <v>19</v>
      </c>
      <c r="G334" s="114"/>
      <c r="H334" s="114"/>
      <c r="I334" s="85"/>
      <c r="K334" s="22"/>
      <c r="L334" s="280"/>
      <c r="M334" s="20"/>
      <c r="N334" s="179">
        <f>SUM(N318:N332)</f>
        <v>222.7885</v>
      </c>
      <c r="O334" s="20"/>
      <c r="P334" s="22"/>
      <c r="Q334" s="20"/>
      <c r="R334" s="180">
        <f>SUM(R319:R332)</f>
        <v>20.481349999999999</v>
      </c>
      <c r="S334" s="181">
        <f>SUM(S319:S332)</f>
        <v>113.88175</v>
      </c>
      <c r="T334" s="181">
        <f>SUM(T319:T332)</f>
        <v>81.925399999999996</v>
      </c>
      <c r="U334" s="182">
        <f>SUM(U319:U332)</f>
        <v>0</v>
      </c>
      <c r="V334" s="180">
        <f>SUM(V319:V332)</f>
        <v>0</v>
      </c>
      <c r="W334" s="115"/>
      <c r="X334" s="160">
        <f>SUM(X319:X332)</f>
        <v>0</v>
      </c>
      <c r="Y334" s="161">
        <f>SUM(Y319:Y332)</f>
        <v>0</v>
      </c>
      <c r="Z334" s="161">
        <f>SUM(Z319:Z332)</f>
        <v>0</v>
      </c>
      <c r="AA334" s="161">
        <f>SUM(AA319:AA332)</f>
        <v>0</v>
      </c>
      <c r="AB334" s="161">
        <f>SUM(AB319:AB332)</f>
        <v>0</v>
      </c>
    </row>
    <row r="335" spans="2:28" ht="10" customHeight="1">
      <c r="F335" s="192"/>
      <c r="G335" s="193"/>
      <c r="H335" s="193"/>
      <c r="I335" s="193"/>
      <c r="K335" s="168"/>
      <c r="L335" s="20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94"/>
      <c r="X335" s="195"/>
      <c r="Y335" s="195"/>
      <c r="Z335" s="195"/>
      <c r="AA335" s="195"/>
      <c r="AB335" s="195"/>
    </row>
    <row r="336" spans="2:28" ht="15" customHeight="1">
      <c r="B336" s="164" t="s">
        <v>85</v>
      </c>
      <c r="C336" s="6"/>
      <c r="E336" s="116" t="s">
        <v>20</v>
      </c>
    </row>
    <row r="337" spans="2:28" ht="15" customHeight="1">
      <c r="B337" s="6"/>
      <c r="C337" s="9"/>
      <c r="E337" s="9" t="s">
        <v>126</v>
      </c>
      <c r="F337" s="237"/>
      <c r="K337" s="333" t="s">
        <v>9</v>
      </c>
      <c r="L337" s="334"/>
      <c r="M337" s="334"/>
      <c r="N337" s="335"/>
      <c r="O337" s="24"/>
      <c r="P337" s="68" t="s">
        <v>10</v>
      </c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70"/>
    </row>
    <row r="338" spans="2:28" ht="15" customHeight="1">
      <c r="E338" s="26" t="s">
        <v>21</v>
      </c>
      <c r="F338" s="84" t="s">
        <v>22</v>
      </c>
      <c r="G338" s="85"/>
      <c r="H338" s="73" t="s">
        <v>4</v>
      </c>
      <c r="I338" s="75" t="s">
        <v>23</v>
      </c>
      <c r="K338" s="71"/>
      <c r="L338" s="211"/>
      <c r="M338" s="24"/>
      <c r="N338" s="72" t="s">
        <v>11</v>
      </c>
      <c r="O338" s="24"/>
      <c r="P338" s="73">
        <v>2011</v>
      </c>
      <c r="Q338" s="74"/>
      <c r="R338" s="75">
        <f>P338+1</f>
        <v>2012</v>
      </c>
      <c r="S338" s="75">
        <f>R338+1</f>
        <v>2013</v>
      </c>
      <c r="T338" s="75">
        <f>S338+1</f>
        <v>2014</v>
      </c>
      <c r="U338" s="75">
        <f>T338+1</f>
        <v>2015</v>
      </c>
      <c r="V338" s="75">
        <f>U338+1</f>
        <v>2016</v>
      </c>
      <c r="W338" s="74"/>
      <c r="X338" s="76">
        <f>V338+1</f>
        <v>2017</v>
      </c>
      <c r="Y338" s="76">
        <f>X338+1</f>
        <v>2018</v>
      </c>
      <c r="Z338" s="76">
        <f>Y338+1</f>
        <v>2019</v>
      </c>
      <c r="AA338" s="76">
        <f>Z338+1</f>
        <v>2020</v>
      </c>
      <c r="AB338" s="76">
        <f>AA338+1</f>
        <v>2021</v>
      </c>
    </row>
    <row r="339" spans="2:28" ht="4" customHeight="1"/>
    <row r="340" spans="2:28" ht="12" customHeight="1">
      <c r="C340" s="28"/>
      <c r="E340" s="77" t="s">
        <v>3</v>
      </c>
      <c r="F340" s="197" t="s">
        <v>224</v>
      </c>
      <c r="G340" s="117"/>
      <c r="H340" s="73"/>
      <c r="I340" s="75"/>
      <c r="J340" s="3"/>
      <c r="K340" s="87"/>
      <c r="L340" s="229"/>
      <c r="M340" s="30"/>
      <c r="N340" s="176">
        <f>N314</f>
        <v>102.89999999999999</v>
      </c>
      <c r="O340" s="32"/>
      <c r="P340" s="88"/>
      <c r="Q340" s="30"/>
      <c r="R340" s="89">
        <f>R314</f>
        <v>0</v>
      </c>
      <c r="S340" s="89">
        <f>S314</f>
        <v>102.89999999999999</v>
      </c>
      <c r="T340" s="89">
        <f>T314</f>
        <v>0</v>
      </c>
      <c r="U340" s="89">
        <f>U314</f>
        <v>0</v>
      </c>
      <c r="V340" s="220">
        <f>V314</f>
        <v>0</v>
      </c>
      <c r="X340" s="199"/>
      <c r="Y340" s="118"/>
      <c r="Z340" s="118"/>
      <c r="AA340" s="118"/>
      <c r="AB340" s="119"/>
    </row>
    <row r="341" spans="2:28" ht="12" customHeight="1">
      <c r="C341" s="28"/>
      <c r="E341" s="105" t="s">
        <v>218</v>
      </c>
      <c r="F341" s="41" t="s">
        <v>221</v>
      </c>
      <c r="G341" s="100"/>
      <c r="H341" s="94"/>
      <c r="I341" s="43"/>
      <c r="J341" s="3"/>
      <c r="K341" s="101"/>
      <c r="L341" s="230"/>
      <c r="M341" s="30"/>
      <c r="N341" s="178">
        <f>N318</f>
        <v>6.5</v>
      </c>
      <c r="O341" s="32"/>
      <c r="P341" s="96"/>
      <c r="Q341" s="30"/>
      <c r="R341" s="157">
        <f>SUM(R314:R317)</f>
        <v>2012</v>
      </c>
      <c r="S341" s="157">
        <f t="shared" ref="S341:V341" si="62">SUM(S314:S317)</f>
        <v>2115.9</v>
      </c>
      <c r="T341" s="157">
        <f t="shared" si="62"/>
        <v>2014</v>
      </c>
      <c r="U341" s="157">
        <f t="shared" si="62"/>
        <v>2015</v>
      </c>
      <c r="V341" s="157">
        <f t="shared" si="62"/>
        <v>2016</v>
      </c>
      <c r="W341" s="30"/>
      <c r="X341" s="102"/>
      <c r="Y341" s="103"/>
      <c r="Z341" s="103"/>
      <c r="AA341" s="103"/>
      <c r="AB341" s="104"/>
    </row>
    <row r="342" spans="2:28" ht="12" customHeight="1">
      <c r="C342" s="28"/>
      <c r="E342" s="105" t="s">
        <v>29</v>
      </c>
      <c r="F342" s="41" t="s">
        <v>220</v>
      </c>
      <c r="G342" s="100"/>
      <c r="H342" s="94"/>
      <c r="I342" s="43"/>
      <c r="J342" s="3"/>
      <c r="K342" s="101"/>
      <c r="L342" s="230"/>
      <c r="M342" s="30"/>
      <c r="N342" s="178">
        <f>SUM(N319:N322)</f>
        <v>11.475</v>
      </c>
      <c r="O342" s="32"/>
      <c r="P342" s="96"/>
      <c r="Q342" s="30"/>
      <c r="R342" s="157">
        <f>SUM(R319:R322)</f>
        <v>0</v>
      </c>
      <c r="S342" s="157">
        <f t="shared" ref="S342:V342" si="63">SUM(S319:S322)</f>
        <v>11.475</v>
      </c>
      <c r="T342" s="157">
        <f t="shared" si="63"/>
        <v>0</v>
      </c>
      <c r="U342" s="157">
        <f t="shared" si="63"/>
        <v>0</v>
      </c>
      <c r="V342" s="157">
        <f t="shared" si="63"/>
        <v>0</v>
      </c>
      <c r="W342" s="30"/>
      <c r="X342" s="102"/>
      <c r="Y342" s="103"/>
      <c r="Z342" s="103"/>
      <c r="AA342" s="103"/>
      <c r="AB342" s="104"/>
    </row>
    <row r="343" spans="2:28" ht="12" customHeight="1">
      <c r="C343" s="28"/>
      <c r="E343" s="105" t="s">
        <v>93</v>
      </c>
      <c r="F343" s="41" t="s">
        <v>94</v>
      </c>
      <c r="G343" s="100"/>
      <c r="H343" s="94"/>
      <c r="I343" s="43"/>
      <c r="J343" s="3"/>
      <c r="K343" s="101"/>
      <c r="L343" s="230"/>
      <c r="M343" s="30"/>
      <c r="N343" s="178">
        <f>SUM(N324:N325)</f>
        <v>20</v>
      </c>
      <c r="O343" s="32"/>
      <c r="P343" s="96"/>
      <c r="Q343" s="30"/>
      <c r="R343" s="178">
        <f>SUM(R324:R325)</f>
        <v>2</v>
      </c>
      <c r="S343" s="178">
        <f t="shared" ref="S343:V343" si="64">SUM(S324:S325)</f>
        <v>10</v>
      </c>
      <c r="T343" s="178">
        <f t="shared" si="64"/>
        <v>8</v>
      </c>
      <c r="U343" s="178">
        <f t="shared" si="64"/>
        <v>0</v>
      </c>
      <c r="V343" s="178">
        <f t="shared" si="64"/>
        <v>0</v>
      </c>
      <c r="W343" s="30"/>
      <c r="X343" s="102"/>
      <c r="Y343" s="103"/>
      <c r="Z343" s="103"/>
      <c r="AA343" s="103"/>
      <c r="AB343" s="104"/>
    </row>
    <row r="344" spans="2:28" ht="12" customHeight="1">
      <c r="C344" s="28"/>
      <c r="E344" s="105" t="s">
        <v>95</v>
      </c>
      <c r="F344" s="41" t="s">
        <v>96</v>
      </c>
      <c r="G344" s="100"/>
      <c r="H344" s="94"/>
      <c r="I344" s="43"/>
      <c r="J344" s="3"/>
      <c r="K344" s="101"/>
      <c r="L344" s="230"/>
      <c r="M344" s="30"/>
      <c r="N344" s="178">
        <f>SUM(N326:N326)</f>
        <v>22.5</v>
      </c>
      <c r="O344" s="32"/>
      <c r="P344" s="96"/>
      <c r="Q344" s="30"/>
      <c r="R344" s="178">
        <f>SUM(R328:R329)</f>
        <v>9.9559999999999995</v>
      </c>
      <c r="S344" s="178">
        <f t="shared" ref="S344:V344" si="65">SUM(S328:S329)</f>
        <v>49.78</v>
      </c>
      <c r="T344" s="178">
        <f t="shared" si="65"/>
        <v>39.823999999999998</v>
      </c>
      <c r="U344" s="178">
        <f t="shared" si="65"/>
        <v>0</v>
      </c>
      <c r="V344" s="178">
        <f t="shared" si="65"/>
        <v>0</v>
      </c>
      <c r="W344" s="30"/>
      <c r="X344" s="102"/>
      <c r="Y344" s="103"/>
      <c r="Z344" s="103"/>
      <c r="AA344" s="103"/>
      <c r="AB344" s="104"/>
    </row>
    <row r="345" spans="2:28" ht="12" customHeight="1">
      <c r="C345" s="28"/>
      <c r="E345" s="105" t="s">
        <v>44</v>
      </c>
      <c r="F345" s="41" t="s">
        <v>97</v>
      </c>
      <c r="G345" s="100"/>
      <c r="H345" s="94"/>
      <c r="I345" s="43"/>
      <c r="J345" s="3"/>
      <c r="K345" s="101"/>
      <c r="L345" s="230"/>
      <c r="M345" s="30"/>
      <c r="N345" s="178">
        <f>SUM(N328:N330)</f>
        <v>104.56</v>
      </c>
      <c r="O345" s="32"/>
      <c r="P345" s="96"/>
      <c r="Q345" s="30"/>
      <c r="R345" s="178">
        <f>SUM(R330:R331)</f>
        <v>4.25</v>
      </c>
      <c r="S345" s="178">
        <f t="shared" ref="S345:V346" si="66">SUM(S330:S331)</f>
        <v>21.25</v>
      </c>
      <c r="T345" s="178">
        <f t="shared" si="66"/>
        <v>17</v>
      </c>
      <c r="U345" s="178">
        <f t="shared" si="66"/>
        <v>0</v>
      </c>
      <c r="V345" s="178">
        <f t="shared" si="66"/>
        <v>0</v>
      </c>
      <c r="W345" s="30"/>
      <c r="X345" s="102"/>
      <c r="Y345" s="103"/>
      <c r="Z345" s="103"/>
      <c r="AA345" s="103"/>
      <c r="AB345" s="104"/>
    </row>
    <row r="346" spans="2:28" ht="12" customHeight="1">
      <c r="C346" s="28"/>
      <c r="E346" s="105" t="s">
        <v>99</v>
      </c>
      <c r="F346" s="41" t="s">
        <v>98</v>
      </c>
      <c r="G346" s="100"/>
      <c r="H346" s="94"/>
      <c r="I346" s="43"/>
      <c r="J346" s="3"/>
      <c r="K346" s="101"/>
      <c r="L346" s="230"/>
      <c r="M346" s="30"/>
      <c r="N346" s="178">
        <f>SUM(N331:N331)</f>
        <v>37.5</v>
      </c>
      <c r="O346" s="32"/>
      <c r="P346" s="96"/>
      <c r="Q346" s="30"/>
      <c r="R346" s="178">
        <f>SUM(R331:R332)</f>
        <v>5.7753500000000004</v>
      </c>
      <c r="S346" s="178">
        <f t="shared" si="66"/>
        <v>28.876750000000001</v>
      </c>
      <c r="T346" s="178">
        <f t="shared" si="66"/>
        <v>23.101400000000002</v>
      </c>
      <c r="U346" s="178">
        <f t="shared" si="66"/>
        <v>0</v>
      </c>
      <c r="V346" s="178">
        <f t="shared" si="66"/>
        <v>0</v>
      </c>
      <c r="W346" s="30"/>
      <c r="X346" s="102"/>
      <c r="Y346" s="103"/>
      <c r="Z346" s="103"/>
      <c r="AA346" s="103"/>
      <c r="AB346" s="104"/>
    </row>
    <row r="347" spans="2:28" ht="12" customHeight="1">
      <c r="C347" s="28"/>
      <c r="E347" s="108" t="s">
        <v>59</v>
      </c>
      <c r="F347" s="233" t="s">
        <v>139</v>
      </c>
      <c r="G347" s="120"/>
      <c r="H347" s="94"/>
      <c r="I347" s="43"/>
      <c r="J347" s="3"/>
      <c r="K347" s="121"/>
      <c r="L347" s="231"/>
      <c r="M347" s="30"/>
      <c r="N347" s="234">
        <f>N332</f>
        <v>20.253500000000003</v>
      </c>
      <c r="O347" s="32"/>
      <c r="P347" s="109"/>
      <c r="Q347" s="30"/>
      <c r="R347" s="163">
        <f t="shared" ref="R347:V347" si="67">R332</f>
        <v>2.0253500000000004</v>
      </c>
      <c r="S347" s="163">
        <f t="shared" si="67"/>
        <v>10.126750000000001</v>
      </c>
      <c r="T347" s="163">
        <f t="shared" si="67"/>
        <v>8.1014000000000017</v>
      </c>
      <c r="U347" s="163">
        <f t="shared" si="67"/>
        <v>0</v>
      </c>
      <c r="V347" s="163">
        <f t="shared" si="67"/>
        <v>0</v>
      </c>
      <c r="W347" s="30"/>
      <c r="X347" s="218"/>
      <c r="Y347" s="111"/>
      <c r="Z347" s="111"/>
      <c r="AA347" s="111"/>
      <c r="AB347" s="112"/>
    </row>
    <row r="348" spans="2:28" ht="4" customHeight="1">
      <c r="E348" s="3"/>
      <c r="J348" s="3"/>
    </row>
    <row r="349" spans="2:28" ht="15" customHeight="1">
      <c r="F349" s="122" t="s">
        <v>24</v>
      </c>
      <c r="G349" s="114"/>
      <c r="H349" s="114"/>
      <c r="I349" s="85"/>
      <c r="K349" s="22"/>
      <c r="L349" s="207"/>
      <c r="M349" s="20"/>
      <c r="N349" s="162">
        <f>SUM(N340:N347)</f>
        <v>325.68849999999998</v>
      </c>
      <c r="O349" s="20"/>
      <c r="P349" s="22"/>
      <c r="Q349" s="20"/>
      <c r="R349" s="198">
        <f>SUM(R340:R347)</f>
        <v>2036.0066999999997</v>
      </c>
      <c r="S349" s="198">
        <f>SUM(S340:S347)</f>
        <v>2350.3085000000001</v>
      </c>
      <c r="T349" s="198">
        <f>SUM(T340:T347)</f>
        <v>2110.0268000000001</v>
      </c>
      <c r="U349" s="198">
        <f>SUM(U340:U347)</f>
        <v>2015</v>
      </c>
      <c r="V349" s="198">
        <f>SUM(V340:V347)</f>
        <v>2016</v>
      </c>
      <c r="W349" s="115"/>
      <c r="X349" s="160">
        <f>SUM(X340:X347)</f>
        <v>0</v>
      </c>
      <c r="Y349" s="160">
        <f>SUM(Y340:Y347)</f>
        <v>0</v>
      </c>
      <c r="Z349" s="160">
        <f>SUM(Z340:Z347)</f>
        <v>0</v>
      </c>
      <c r="AA349" s="160">
        <f>SUM(AA340:AA347)</f>
        <v>0</v>
      </c>
      <c r="AB349" s="160">
        <f>SUM(AB340:AB347)</f>
        <v>0</v>
      </c>
    </row>
    <row r="350" spans="2:28" ht="12" customHeight="1">
      <c r="N350" s="67"/>
    </row>
    <row r="351" spans="2:28" ht="12" customHeight="1">
      <c r="N351" s="67"/>
    </row>
    <row r="352" spans="2:28" ht="12" customHeight="1">
      <c r="N352" s="67"/>
    </row>
    <row r="353" spans="2:29" ht="12" customHeight="1">
      <c r="N353" s="67"/>
    </row>
    <row r="354" spans="2:29" ht="12" customHeight="1">
      <c r="N354" s="67"/>
    </row>
    <row r="355" spans="2:29" ht="12" customHeight="1" thickBot="1">
      <c r="N355" s="67"/>
    </row>
    <row r="356" spans="2:29" ht="18" customHeight="1" thickBot="1">
      <c r="B356" s="315" t="s">
        <v>77</v>
      </c>
      <c r="C356" s="316"/>
      <c r="D356" s="316"/>
      <c r="E356" s="316"/>
      <c r="F356" s="316"/>
      <c r="G356" s="316"/>
      <c r="H356" s="316"/>
      <c r="I356" s="316"/>
      <c r="J356" s="316"/>
      <c r="K356" s="316"/>
      <c r="L356" s="316"/>
      <c r="M356" s="316"/>
      <c r="N356" s="316"/>
      <c r="O356" s="316"/>
      <c r="P356" s="316"/>
      <c r="Q356" s="316"/>
      <c r="R356" s="316"/>
      <c r="S356" s="316"/>
      <c r="T356" s="316"/>
      <c r="U356" s="316"/>
      <c r="V356" s="316"/>
      <c r="W356" s="316"/>
      <c r="X356" s="316"/>
      <c r="Y356" s="316"/>
      <c r="Z356" s="316"/>
      <c r="AA356" s="316"/>
      <c r="AB356" s="317"/>
    </row>
    <row r="357" spans="2:29" ht="10" customHeight="1" thickBot="1"/>
    <row r="358" spans="2:29" ht="15" customHeight="1" thickBot="1">
      <c r="B358" s="164" t="s">
        <v>100</v>
      </c>
      <c r="C358" s="6"/>
      <c r="D358" s="132"/>
      <c r="E358" s="123" t="s">
        <v>127</v>
      </c>
      <c r="F358" s="7"/>
      <c r="G358" s="8"/>
    </row>
    <row r="359" spans="2:29" ht="15" customHeight="1">
      <c r="B359" s="6"/>
      <c r="C359" s="9"/>
      <c r="D359" s="130"/>
      <c r="E359" s="9" t="s">
        <v>126</v>
      </c>
      <c r="F359" s="251" t="s">
        <v>128</v>
      </c>
      <c r="G359" s="11"/>
    </row>
    <row r="360" spans="2:29" ht="12" customHeight="1">
      <c r="B360" s="6"/>
      <c r="C360" s="6"/>
      <c r="D360" s="132"/>
      <c r="E360" s="12"/>
      <c r="F360" s="26" t="s">
        <v>159</v>
      </c>
      <c r="G360" s="11"/>
    </row>
    <row r="361" spans="2:29" ht="12" customHeight="1">
      <c r="B361" s="6"/>
      <c r="C361" s="6"/>
      <c r="D361" s="132"/>
      <c r="E361" s="12"/>
      <c r="F361" s="273" t="s">
        <v>7</v>
      </c>
      <c r="G361" s="14">
        <v>2014</v>
      </c>
      <c r="P361" s="137">
        <v>2011</v>
      </c>
      <c r="Q361" s="138"/>
      <c r="R361" s="137">
        <f>P361+1</f>
        <v>2012</v>
      </c>
      <c r="S361" s="137">
        <f>R361+1</f>
        <v>2013</v>
      </c>
      <c r="T361" s="137">
        <f>S361+1</f>
        <v>2014</v>
      </c>
      <c r="U361" s="137">
        <f>T361+1</f>
        <v>2015</v>
      </c>
      <c r="V361" s="137">
        <f>U361+1</f>
        <v>2016</v>
      </c>
      <c r="W361" s="138"/>
      <c r="X361" s="139">
        <f>V361+1</f>
        <v>2017</v>
      </c>
      <c r="Y361" s="139">
        <f>X361+1</f>
        <v>2018</v>
      </c>
      <c r="Z361" s="139">
        <f>Y361+1</f>
        <v>2019</v>
      </c>
      <c r="AA361" s="139">
        <f>Z361+1</f>
        <v>2020</v>
      </c>
      <c r="AB361" s="139">
        <f>AA361+1</f>
        <v>2021</v>
      </c>
    </row>
    <row r="362" spans="2:29" ht="12" customHeight="1">
      <c r="F362" s="1"/>
      <c r="G362" s="209" t="s">
        <v>68</v>
      </c>
      <c r="H362" s="18"/>
      <c r="I362" s="18"/>
      <c r="K362" s="19"/>
      <c r="L362" s="203"/>
      <c r="M362" s="20"/>
      <c r="N362" s="21" t="s">
        <v>0</v>
      </c>
      <c r="O362" s="20"/>
      <c r="P362" s="22"/>
      <c r="Q362" s="20"/>
      <c r="R362" s="140"/>
      <c r="S362" s="141"/>
      <c r="T362" s="142">
        <v>23.7</v>
      </c>
      <c r="U362" s="140">
        <v>33.799999999999997</v>
      </c>
      <c r="V362" s="143">
        <v>30.5</v>
      </c>
      <c r="W362" s="23"/>
      <c r="X362" s="144">
        <v>28.3</v>
      </c>
      <c r="Y362" s="144">
        <v>25.700000000000003</v>
      </c>
      <c r="Z362" s="144">
        <v>19.100000000000001</v>
      </c>
      <c r="AA362" s="144">
        <v>15.1</v>
      </c>
      <c r="AB362" s="144">
        <v>15.1</v>
      </c>
    </row>
    <row r="363" spans="2:29" ht="12" customHeight="1">
      <c r="F363" s="1"/>
      <c r="G363" s="210" t="s">
        <v>69</v>
      </c>
      <c r="H363" s="18"/>
      <c r="I363" s="18"/>
      <c r="K363" s="19"/>
      <c r="L363" s="203"/>
      <c r="M363" s="20"/>
      <c r="N363" s="21" t="s">
        <v>1</v>
      </c>
      <c r="O363" s="20"/>
      <c r="P363" s="22"/>
      <c r="Q363" s="20"/>
      <c r="R363" s="140"/>
      <c r="S363" s="141"/>
      <c r="T363" s="142">
        <v>11.600000000000001</v>
      </c>
      <c r="U363" s="140">
        <v>16.600000000000001</v>
      </c>
      <c r="V363" s="143">
        <v>15.899999999999999</v>
      </c>
      <c r="W363" s="23"/>
      <c r="X363" s="144">
        <v>15.1</v>
      </c>
      <c r="Y363" s="144">
        <v>14.100000000000001</v>
      </c>
      <c r="Z363" s="144">
        <v>10.600000000000001</v>
      </c>
      <c r="AA363" s="144">
        <v>7.9</v>
      </c>
      <c r="AB363" s="144">
        <v>7.9</v>
      </c>
    </row>
    <row r="364" spans="2:29" ht="10" customHeight="1">
      <c r="F364" s="1"/>
      <c r="G364" s="165"/>
      <c r="H364" s="166"/>
      <c r="I364" s="166"/>
      <c r="K364" s="167"/>
      <c r="L364" s="204"/>
      <c r="M364" s="168"/>
      <c r="N364" s="169"/>
      <c r="O364" s="168"/>
      <c r="P364" s="168"/>
      <c r="Q364" s="168"/>
      <c r="R364" s="170"/>
      <c r="S364" s="170"/>
      <c r="T364" s="170"/>
      <c r="U364" s="170"/>
      <c r="V364" s="170"/>
      <c r="W364" s="171"/>
      <c r="X364" s="172"/>
      <c r="Y364" s="172"/>
      <c r="Z364" s="172"/>
      <c r="AA364" s="172"/>
      <c r="AB364" s="172"/>
    </row>
    <row r="365" spans="2:29" ht="12" customHeight="1">
      <c r="E365" s="26" t="s">
        <v>8</v>
      </c>
      <c r="F365" s="27" t="s">
        <v>27</v>
      </c>
      <c r="O365" s="24"/>
      <c r="P365" s="134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6"/>
    </row>
    <row r="366" spans="2:29" ht="12" customHeight="1">
      <c r="C366" s="25"/>
      <c r="F366" s="1"/>
      <c r="G366" s="5"/>
      <c r="O366" s="24"/>
      <c r="P366" s="15">
        <v>2011</v>
      </c>
      <c r="Q366" s="16"/>
      <c r="R366" s="16">
        <f>P366+1</f>
        <v>2012</v>
      </c>
      <c r="S366" s="16">
        <f>R366+1</f>
        <v>2013</v>
      </c>
      <c r="T366" s="16">
        <f>S366+1</f>
        <v>2014</v>
      </c>
      <c r="U366" s="16">
        <f>T366+1</f>
        <v>2015</v>
      </c>
      <c r="V366" s="16">
        <f>U366+1</f>
        <v>2016</v>
      </c>
      <c r="W366" s="16"/>
      <c r="X366" s="17">
        <f>V366+1</f>
        <v>2017</v>
      </c>
      <c r="Y366" s="17">
        <f>X366+1</f>
        <v>2018</v>
      </c>
      <c r="Z366" s="17">
        <f>Y366+1</f>
        <v>2019</v>
      </c>
      <c r="AA366" s="17">
        <f>Z366+1</f>
        <v>2020</v>
      </c>
      <c r="AB366" s="17">
        <f>AA366+1</f>
        <v>2021</v>
      </c>
      <c r="AC366" s="24"/>
    </row>
    <row r="367" spans="2:29" ht="4" customHeight="1"/>
    <row r="368" spans="2:29" ht="12" customHeight="1">
      <c r="D368" s="242">
        <v>1</v>
      </c>
      <c r="E368" s="125" t="s">
        <v>209</v>
      </c>
      <c r="F368" s="125" t="s">
        <v>210</v>
      </c>
      <c r="G368" s="145"/>
      <c r="H368" s="150"/>
      <c r="I368" s="151"/>
      <c r="J368" s="3"/>
      <c r="K368" s="295">
        <v>4</v>
      </c>
      <c r="L368" s="201"/>
      <c r="M368" s="30"/>
      <c r="N368" s="87"/>
      <c r="O368" s="32"/>
      <c r="P368" s="33"/>
      <c r="Q368" s="30"/>
      <c r="R368" s="34"/>
      <c r="S368" s="35">
        <f>K368</f>
        <v>4</v>
      </c>
      <c r="T368" s="35"/>
      <c r="U368" s="35"/>
      <c r="V368" s="36"/>
      <c r="W368" s="30"/>
      <c r="X368" s="37"/>
      <c r="Y368" s="38"/>
      <c r="Z368" s="38"/>
      <c r="AA368" s="38"/>
      <c r="AB368" s="39"/>
    </row>
    <row r="369" spans="2:28" ht="12" customHeight="1">
      <c r="D369" s="243">
        <v>2</v>
      </c>
      <c r="E369" s="126" t="s">
        <v>222</v>
      </c>
      <c r="F369" s="126" t="s">
        <v>223</v>
      </c>
      <c r="G369" s="146"/>
      <c r="H369" s="152"/>
      <c r="I369" s="153"/>
      <c r="J369" s="3"/>
      <c r="K369" s="296">
        <v>2</v>
      </c>
      <c r="L369" s="201"/>
      <c r="M369" s="30"/>
      <c r="N369" s="101"/>
      <c r="O369" s="32"/>
      <c r="P369" s="45"/>
      <c r="Q369" s="30"/>
      <c r="R369" s="46"/>
      <c r="S369" s="47">
        <f>K369</f>
        <v>2</v>
      </c>
      <c r="T369" s="47"/>
      <c r="U369" s="47"/>
      <c r="V369" s="48"/>
      <c r="W369" s="30"/>
      <c r="X369" s="49"/>
      <c r="Y369" s="50"/>
      <c r="Z369" s="50"/>
      <c r="AA369" s="50"/>
      <c r="AB369" s="51"/>
    </row>
    <row r="370" spans="2:28" ht="12" customHeight="1">
      <c r="D370" s="243">
        <v>3</v>
      </c>
      <c r="E370" s="126" t="s">
        <v>211</v>
      </c>
      <c r="F370" s="126" t="s">
        <v>26</v>
      </c>
      <c r="G370" s="146"/>
      <c r="H370" s="152"/>
      <c r="I370" s="153"/>
      <c r="J370" s="3"/>
      <c r="K370" s="44">
        <v>2</v>
      </c>
      <c r="L370" s="201"/>
      <c r="M370" s="30"/>
      <c r="N370" s="53"/>
      <c r="O370" s="32"/>
      <c r="P370" s="45"/>
      <c r="Q370" s="30"/>
      <c r="R370" s="46"/>
      <c r="S370" s="47">
        <f t="shared" ref="S370" si="68">K370</f>
        <v>2</v>
      </c>
      <c r="T370" s="47"/>
      <c r="U370" s="47"/>
      <c r="V370" s="48"/>
      <c r="W370" s="30"/>
      <c r="X370" s="49"/>
      <c r="Y370" s="50"/>
      <c r="Z370" s="50"/>
      <c r="AA370" s="50"/>
      <c r="AB370" s="51"/>
    </row>
    <row r="371" spans="2:28" ht="12" customHeight="1">
      <c r="D371" s="244">
        <v>4</v>
      </c>
      <c r="E371" s="127" t="s">
        <v>212</v>
      </c>
      <c r="F371" s="127" t="s">
        <v>26</v>
      </c>
      <c r="G371" s="147"/>
      <c r="H371" s="154"/>
      <c r="I371" s="155"/>
      <c r="J371" s="3"/>
      <c r="K371" s="297">
        <v>4</v>
      </c>
      <c r="L371" s="201"/>
      <c r="M371" s="30"/>
      <c r="N371" s="53"/>
      <c r="O371" s="32"/>
      <c r="P371" s="45"/>
      <c r="Q371" s="30"/>
      <c r="R371" s="46"/>
      <c r="S371" s="47">
        <f>K371</f>
        <v>4</v>
      </c>
      <c r="T371" s="47"/>
      <c r="U371" s="47"/>
      <c r="V371" s="48"/>
      <c r="W371" s="30"/>
      <c r="X371" s="49"/>
      <c r="Y371" s="50"/>
      <c r="Z371" s="50"/>
      <c r="AA371" s="50"/>
      <c r="AB371" s="51"/>
    </row>
    <row r="372" spans="2:28" s="67" customFormat="1" ht="15" customHeight="1">
      <c r="B372" s="54"/>
      <c r="C372" s="55"/>
      <c r="D372" s="133"/>
      <c r="E372" s="124"/>
      <c r="F372" s="128" t="s">
        <v>2</v>
      </c>
      <c r="G372" s="129"/>
      <c r="H372" s="148"/>
      <c r="I372" s="149"/>
      <c r="J372" s="61"/>
      <c r="K372" s="29">
        <f>SUM(K368:K371)</f>
        <v>12</v>
      </c>
      <c r="L372" s="205"/>
      <c r="M372" s="62"/>
      <c r="N372" s="31"/>
      <c r="O372" s="61"/>
      <c r="P372" s="63"/>
      <c r="Q372" s="62"/>
      <c r="R372" s="64">
        <f>SUM(R368:R371)</f>
        <v>0</v>
      </c>
      <c r="S372" s="64">
        <f>SUM(S368:S371)</f>
        <v>12</v>
      </c>
      <c r="T372" s="64">
        <f>SUM(T368:T371)</f>
        <v>0</v>
      </c>
      <c r="U372" s="64">
        <f>SUM(U368:U371)</f>
        <v>0</v>
      </c>
      <c r="V372" s="64">
        <f>SUM(V368:V371)</f>
        <v>0</v>
      </c>
      <c r="W372" s="62"/>
      <c r="X372" s="65"/>
      <c r="Y372" s="59"/>
      <c r="Z372" s="59"/>
      <c r="AA372" s="59"/>
      <c r="AB372" s="66"/>
    </row>
    <row r="373" spans="2:28" ht="9" customHeight="1"/>
    <row r="374" spans="2:28" ht="14.15" customHeight="1">
      <c r="L374" s="1"/>
      <c r="O374" s="24"/>
      <c r="P374" s="84" t="s">
        <v>10</v>
      </c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  <c r="AB374" s="222"/>
    </row>
    <row r="375" spans="2:28" ht="15" customHeight="1">
      <c r="E375" s="26" t="s">
        <v>28</v>
      </c>
      <c r="K375" s="137" t="s">
        <v>67</v>
      </c>
      <c r="L375" s="211" t="s">
        <v>66</v>
      </c>
      <c r="M375" s="24"/>
      <c r="N375" s="212" t="s">
        <v>11</v>
      </c>
      <c r="O375" s="24"/>
      <c r="P375" s="137">
        <v>2011</v>
      </c>
      <c r="Q375" s="5"/>
      <c r="R375" s="137">
        <f>P375+1</f>
        <v>2012</v>
      </c>
      <c r="S375" s="137">
        <f>R375+1</f>
        <v>2013</v>
      </c>
      <c r="T375" s="137">
        <f>S375+1</f>
        <v>2014</v>
      </c>
      <c r="U375" s="137">
        <f>T375+1</f>
        <v>2015</v>
      </c>
      <c r="V375" s="137">
        <f>U375+1</f>
        <v>2016</v>
      </c>
      <c r="W375" s="5"/>
      <c r="X375" s="139">
        <f>V375+1</f>
        <v>2017</v>
      </c>
      <c r="Y375" s="139">
        <f>X375+1</f>
        <v>2018</v>
      </c>
      <c r="Z375" s="139">
        <f>Y375+1</f>
        <v>2019</v>
      </c>
      <c r="AA375" s="139">
        <f>Z375+1</f>
        <v>2020</v>
      </c>
      <c r="AB375" s="139">
        <f>AA375+1</f>
        <v>2021</v>
      </c>
    </row>
    <row r="376" spans="2:28" ht="4.5" customHeight="1"/>
    <row r="377" spans="2:28" ht="12" customHeight="1">
      <c r="D377" s="242">
        <v>1</v>
      </c>
      <c r="E377" s="125" t="s">
        <v>209</v>
      </c>
      <c r="F377" s="125" t="s">
        <v>213</v>
      </c>
      <c r="G377" s="299">
        <f>(3*1+2.5)/4</f>
        <v>1.375</v>
      </c>
      <c r="H377" s="78" t="s">
        <v>12</v>
      </c>
      <c r="I377" s="79" t="s">
        <v>13</v>
      </c>
      <c r="J377" s="3"/>
      <c r="K377" s="80">
        <f>K368</f>
        <v>4</v>
      </c>
      <c r="L377" s="225" t="s">
        <v>13</v>
      </c>
      <c r="M377" s="30"/>
      <c r="N377" s="156">
        <f>G377*K377</f>
        <v>5.5</v>
      </c>
      <c r="O377" s="32"/>
      <c r="P377" s="33"/>
      <c r="Q377" s="30"/>
      <c r="R377" s="81">
        <f t="shared" ref="R377:V380" si="69">$G377*R368</f>
        <v>0</v>
      </c>
      <c r="S377" s="81">
        <f t="shared" si="69"/>
        <v>5.5</v>
      </c>
      <c r="T377" s="81">
        <f t="shared" si="69"/>
        <v>0</v>
      </c>
      <c r="U377" s="81">
        <f t="shared" si="69"/>
        <v>0</v>
      </c>
      <c r="V377" s="81">
        <f t="shared" si="69"/>
        <v>0</v>
      </c>
      <c r="W377" s="30"/>
      <c r="X377" s="37"/>
      <c r="Y377" s="38"/>
      <c r="Z377" s="38"/>
      <c r="AA377" s="38"/>
      <c r="AB377" s="39"/>
    </row>
    <row r="378" spans="2:28" ht="12" customHeight="1">
      <c r="D378" s="243">
        <v>2</v>
      </c>
      <c r="E378" s="126" t="s">
        <v>222</v>
      </c>
      <c r="F378" s="126" t="s">
        <v>214</v>
      </c>
      <c r="G378" s="300">
        <f>(2.3+2.7)/2</f>
        <v>2.5</v>
      </c>
      <c r="H378" s="42" t="s">
        <v>12</v>
      </c>
      <c r="I378" s="43" t="s">
        <v>13</v>
      </c>
      <c r="J378" s="3"/>
      <c r="K378" s="52">
        <f>K369</f>
        <v>2</v>
      </c>
      <c r="L378" s="226" t="s">
        <v>13</v>
      </c>
      <c r="M378" s="30"/>
      <c r="N378" s="157">
        <f>G378*K378</f>
        <v>5</v>
      </c>
      <c r="O378" s="32"/>
      <c r="P378" s="45"/>
      <c r="Q378" s="30"/>
      <c r="R378" s="81">
        <f t="shared" si="69"/>
        <v>0</v>
      </c>
      <c r="S378" s="81">
        <f t="shared" si="69"/>
        <v>5</v>
      </c>
      <c r="T378" s="81">
        <f t="shared" si="69"/>
        <v>0</v>
      </c>
      <c r="U378" s="81">
        <f t="shared" si="69"/>
        <v>0</v>
      </c>
      <c r="V378" s="81">
        <f t="shared" si="69"/>
        <v>0</v>
      </c>
      <c r="W378" s="30"/>
      <c r="X378" s="49"/>
      <c r="Y378" s="50"/>
      <c r="Z378" s="50"/>
      <c r="AA378" s="50"/>
      <c r="AB378" s="51"/>
    </row>
    <row r="379" spans="2:28" ht="12" customHeight="1">
      <c r="D379" s="243">
        <v>3</v>
      </c>
      <c r="E379" s="126" t="s">
        <v>211</v>
      </c>
      <c r="F379" s="126" t="s">
        <v>26</v>
      </c>
      <c r="G379" s="300">
        <f>(17.5+22)/2</f>
        <v>19.75</v>
      </c>
      <c r="H379" s="42" t="s">
        <v>12</v>
      </c>
      <c r="I379" s="43" t="s">
        <v>13</v>
      </c>
      <c r="J379" s="3"/>
      <c r="K379" s="52">
        <f>K370</f>
        <v>2</v>
      </c>
      <c r="L379" s="226" t="s">
        <v>13</v>
      </c>
      <c r="M379" s="30"/>
      <c r="N379" s="157">
        <f>G379*K379</f>
        <v>39.5</v>
      </c>
      <c r="O379" s="32"/>
      <c r="P379" s="45"/>
      <c r="Q379" s="30"/>
      <c r="R379" s="81">
        <f t="shared" si="69"/>
        <v>0</v>
      </c>
      <c r="S379" s="81">
        <f t="shared" si="69"/>
        <v>39.5</v>
      </c>
      <c r="T379" s="81">
        <f t="shared" si="69"/>
        <v>0</v>
      </c>
      <c r="U379" s="81">
        <f t="shared" si="69"/>
        <v>0</v>
      </c>
      <c r="V379" s="81">
        <f t="shared" si="69"/>
        <v>0</v>
      </c>
      <c r="W379" s="30"/>
      <c r="X379" s="49"/>
      <c r="Y379" s="50"/>
      <c r="Z379" s="50"/>
      <c r="AA379" s="50"/>
      <c r="AB379" s="51"/>
    </row>
    <row r="380" spans="2:28" ht="12" customHeight="1">
      <c r="D380" s="244">
        <v>4</v>
      </c>
      <c r="E380" s="127" t="s">
        <v>212</v>
      </c>
      <c r="F380" s="127" t="s">
        <v>26</v>
      </c>
      <c r="G380" s="300">
        <f>(3*13.7+11.8)/4</f>
        <v>13.224999999999998</v>
      </c>
      <c r="H380" s="42" t="s">
        <v>12</v>
      </c>
      <c r="I380" s="43" t="s">
        <v>13</v>
      </c>
      <c r="J380" s="3"/>
      <c r="K380" s="52">
        <f>K371</f>
        <v>4</v>
      </c>
      <c r="L380" s="227" t="s">
        <v>13</v>
      </c>
      <c r="M380" s="30"/>
      <c r="N380" s="157">
        <f>G380*K380</f>
        <v>52.899999999999991</v>
      </c>
      <c r="O380" s="32"/>
      <c r="P380" s="45"/>
      <c r="Q380" s="30"/>
      <c r="R380" s="81">
        <f t="shared" si="69"/>
        <v>0</v>
      </c>
      <c r="S380" s="81">
        <f t="shared" si="69"/>
        <v>52.899999999999991</v>
      </c>
      <c r="T380" s="81">
        <f t="shared" si="69"/>
        <v>0</v>
      </c>
      <c r="U380" s="81">
        <f t="shared" si="69"/>
        <v>0</v>
      </c>
      <c r="V380" s="81">
        <f t="shared" si="69"/>
        <v>0</v>
      </c>
      <c r="W380" s="30"/>
      <c r="X380" s="49"/>
      <c r="Y380" s="50"/>
      <c r="Z380" s="50"/>
      <c r="AA380" s="50"/>
      <c r="AB380" s="51"/>
    </row>
    <row r="381" spans="2:28" s="67" customFormat="1" ht="15" customHeight="1">
      <c r="B381" s="54"/>
      <c r="C381" s="55"/>
      <c r="D381" s="133"/>
      <c r="E381" s="56"/>
      <c r="F381" s="57" t="s">
        <v>14</v>
      </c>
      <c r="G381" s="58"/>
      <c r="H381" s="59"/>
      <c r="I381" s="60"/>
      <c r="J381" s="61"/>
      <c r="K381" s="82"/>
      <c r="L381" s="206"/>
      <c r="M381" s="62"/>
      <c r="N381" s="180">
        <f>SUM(N377:N380)</f>
        <v>102.89999999999999</v>
      </c>
      <c r="O381" s="61"/>
      <c r="P381" s="63"/>
      <c r="Q381" s="62"/>
      <c r="R381" s="83">
        <f>SUM(R377:R380)</f>
        <v>0</v>
      </c>
      <c r="S381" s="83">
        <f>SUM(S377:S380)</f>
        <v>102.89999999999999</v>
      </c>
      <c r="T381" s="83">
        <f>SUM(T377:T380)</f>
        <v>0</v>
      </c>
      <c r="U381" s="83">
        <f>SUM(U377:U380)</f>
        <v>0</v>
      </c>
      <c r="V381" s="83">
        <f>SUM(V377:V380)</f>
        <v>0</v>
      </c>
      <c r="W381" s="62"/>
      <c r="X381" s="65"/>
      <c r="Y381" s="59"/>
      <c r="Z381" s="59"/>
      <c r="AA381" s="59"/>
      <c r="AB381" s="66"/>
    </row>
    <row r="382" spans="2:28" ht="5.15" customHeight="1"/>
    <row r="383" spans="2:28" ht="20.149999999999999" customHeight="1">
      <c r="E383" s="26" t="s">
        <v>15</v>
      </c>
      <c r="F383" s="84" t="s">
        <v>16</v>
      </c>
      <c r="G383" s="85"/>
      <c r="H383" s="215" t="s">
        <v>4</v>
      </c>
      <c r="I383" s="232" t="s">
        <v>76</v>
      </c>
      <c r="K383" s="137" t="s">
        <v>67</v>
      </c>
      <c r="L383" s="211" t="s">
        <v>66</v>
      </c>
      <c r="N383" s="212" t="s">
        <v>11</v>
      </c>
      <c r="P383" s="73">
        <v>2011</v>
      </c>
      <c r="Q383" s="74"/>
      <c r="R383" s="75">
        <f>P383+1</f>
        <v>2012</v>
      </c>
      <c r="S383" s="75">
        <f>R383+1</f>
        <v>2013</v>
      </c>
      <c r="T383" s="75">
        <f>S383+1</f>
        <v>2014</v>
      </c>
      <c r="U383" s="75">
        <f>T383+1</f>
        <v>2015</v>
      </c>
      <c r="V383" s="75">
        <f>U383+1</f>
        <v>2016</v>
      </c>
      <c r="W383" s="74"/>
      <c r="X383" s="76">
        <f>V383+1</f>
        <v>2017</v>
      </c>
      <c r="Y383" s="76">
        <f>X383+1</f>
        <v>2018</v>
      </c>
      <c r="Z383" s="76">
        <f>Y383+1</f>
        <v>2019</v>
      </c>
      <c r="AA383" s="76">
        <f>Z383+1</f>
        <v>2020</v>
      </c>
      <c r="AB383" s="76">
        <f>AA383+1</f>
        <v>2021</v>
      </c>
    </row>
    <row r="384" spans="2:28" ht="4" customHeight="1"/>
    <row r="385" spans="3:28" ht="12" customHeight="1">
      <c r="C385" s="28"/>
      <c r="E385" s="77" t="s">
        <v>218</v>
      </c>
      <c r="F385" s="158" t="s">
        <v>219</v>
      </c>
      <c r="G385" s="86"/>
      <c r="H385" s="213" t="s">
        <v>71</v>
      </c>
      <c r="I385" s="216">
        <v>0.5</v>
      </c>
      <c r="J385" s="3"/>
      <c r="K385" s="298">
        <v>13</v>
      </c>
      <c r="L385" s="229" t="s">
        <v>73</v>
      </c>
      <c r="M385" s="30"/>
      <c r="N385" s="176">
        <f>I385*K385</f>
        <v>6.5</v>
      </c>
      <c r="O385" s="32"/>
      <c r="P385" s="88"/>
      <c r="Q385" s="30"/>
      <c r="R385" s="90"/>
      <c r="S385" s="91">
        <f>N385</f>
        <v>6.5</v>
      </c>
      <c r="T385" s="91"/>
      <c r="U385" s="91"/>
      <c r="V385" s="92"/>
      <c r="W385" s="30"/>
      <c r="X385" s="90"/>
      <c r="Y385" s="91"/>
      <c r="Z385" s="91"/>
      <c r="AA385" s="91"/>
      <c r="AB385" s="92"/>
    </row>
    <row r="386" spans="3:28" ht="12" customHeight="1">
      <c r="C386" s="28"/>
      <c r="E386" s="77" t="s">
        <v>215</v>
      </c>
      <c r="F386" s="158" t="s">
        <v>70</v>
      </c>
      <c r="G386" s="86"/>
      <c r="H386" s="213" t="s">
        <v>71</v>
      </c>
      <c r="I386" s="216">
        <v>0.25</v>
      </c>
      <c r="J386" s="3"/>
      <c r="K386" s="228">
        <v>5.7</v>
      </c>
      <c r="L386" s="229" t="s">
        <v>72</v>
      </c>
      <c r="M386" s="30"/>
      <c r="N386" s="176">
        <f>I386*K386</f>
        <v>1.425</v>
      </c>
      <c r="O386" s="32"/>
      <c r="P386" s="88"/>
      <c r="Q386" s="30"/>
      <c r="R386" s="90"/>
      <c r="S386" s="91">
        <f>N386</f>
        <v>1.425</v>
      </c>
      <c r="T386" s="91"/>
      <c r="U386" s="91"/>
      <c r="V386" s="92"/>
      <c r="W386" s="30"/>
      <c r="X386" s="90"/>
      <c r="Y386" s="91"/>
      <c r="Z386" s="91"/>
      <c r="AA386" s="91"/>
      <c r="AB386" s="92"/>
    </row>
    <row r="387" spans="3:28" ht="12" customHeight="1">
      <c r="C387" s="28"/>
      <c r="E387" s="105"/>
      <c r="F387" s="41" t="s">
        <v>17</v>
      </c>
      <c r="G387" s="93"/>
      <c r="H387" s="94"/>
      <c r="I387" s="217">
        <v>0.1</v>
      </c>
      <c r="J387" s="3"/>
      <c r="K387" s="174">
        <v>7</v>
      </c>
      <c r="L387" s="226" t="s">
        <v>73</v>
      </c>
      <c r="M387" s="30"/>
      <c r="N387" s="177">
        <f>I387*K387</f>
        <v>0.70000000000000007</v>
      </c>
      <c r="O387" s="32"/>
      <c r="P387" s="96"/>
      <c r="Q387" s="30"/>
      <c r="R387" s="97"/>
      <c r="S387" s="98">
        <f>N387</f>
        <v>0.70000000000000007</v>
      </c>
      <c r="T387" s="98"/>
      <c r="U387" s="98"/>
      <c r="V387" s="99"/>
      <c r="W387" s="30"/>
      <c r="X387" s="97"/>
      <c r="Y387" s="98"/>
      <c r="Z387" s="98"/>
      <c r="AA387" s="98"/>
      <c r="AB387" s="99"/>
    </row>
    <row r="388" spans="3:28" ht="12" customHeight="1">
      <c r="C388" s="28"/>
      <c r="E388" s="105" t="s">
        <v>216</v>
      </c>
      <c r="F388" s="41" t="s">
        <v>217</v>
      </c>
      <c r="G388" s="100"/>
      <c r="H388" s="94"/>
      <c r="I388" s="217">
        <f>0.25</f>
        <v>0.25</v>
      </c>
      <c r="J388" s="3"/>
      <c r="K388" s="200">
        <f>11*3</f>
        <v>33</v>
      </c>
      <c r="L388" s="230" t="s">
        <v>72</v>
      </c>
      <c r="M388" s="30"/>
      <c r="N388" s="177">
        <f>I388*K388</f>
        <v>8.25</v>
      </c>
      <c r="O388" s="32"/>
      <c r="P388" s="96"/>
      <c r="Q388" s="30"/>
      <c r="R388" s="257"/>
      <c r="S388" s="214">
        <f>N388</f>
        <v>8.25</v>
      </c>
      <c r="T388" s="214"/>
      <c r="U388" s="103"/>
      <c r="V388" s="104"/>
      <c r="W388" s="30"/>
      <c r="X388" s="102"/>
      <c r="Y388" s="103"/>
      <c r="Z388" s="103"/>
      <c r="AA388" s="103"/>
      <c r="AB388" s="104"/>
    </row>
    <row r="389" spans="3:28" ht="12" customHeight="1">
      <c r="C389" s="28"/>
      <c r="E389" s="105"/>
      <c r="F389" s="253" t="s">
        <v>17</v>
      </c>
      <c r="G389" s="100"/>
      <c r="H389" s="94"/>
      <c r="I389" s="217">
        <v>0.1</v>
      </c>
      <c r="J389" s="3"/>
      <c r="K389" s="174">
        <v>11</v>
      </c>
      <c r="L389" s="226" t="s">
        <v>73</v>
      </c>
      <c r="M389" s="30"/>
      <c r="N389" s="177">
        <f>I389*K389</f>
        <v>1.1000000000000001</v>
      </c>
      <c r="O389" s="32"/>
      <c r="P389" s="96"/>
      <c r="Q389" s="30"/>
      <c r="R389" s="257"/>
      <c r="S389" s="214">
        <f>N389</f>
        <v>1.1000000000000001</v>
      </c>
      <c r="T389" s="214"/>
      <c r="U389" s="103"/>
      <c r="V389" s="104"/>
      <c r="W389" s="30"/>
      <c r="X389" s="102"/>
      <c r="Y389" s="103"/>
      <c r="Z389" s="103"/>
      <c r="AA389" s="103"/>
      <c r="AB389" s="104"/>
    </row>
    <row r="390" spans="3:28" ht="12" customHeight="1">
      <c r="C390" s="28"/>
      <c r="E390" s="183" t="s">
        <v>93</v>
      </c>
      <c r="F390" s="186"/>
      <c r="G390" s="184"/>
      <c r="H390" s="94"/>
      <c r="I390" s="95"/>
      <c r="J390" s="3"/>
      <c r="K390" s="174"/>
      <c r="L390" s="226"/>
      <c r="M390" s="30"/>
      <c r="N390" s="177"/>
      <c r="O390" s="32"/>
      <c r="P390" s="96"/>
      <c r="Q390" s="30"/>
      <c r="R390" s="257"/>
      <c r="S390" s="214"/>
      <c r="T390" s="214"/>
      <c r="U390" s="103"/>
      <c r="V390" s="104"/>
      <c r="W390" s="30"/>
      <c r="X390" s="102"/>
      <c r="Y390" s="103"/>
      <c r="Z390" s="103"/>
      <c r="AA390" s="103"/>
      <c r="AB390" s="104"/>
    </row>
    <row r="391" spans="3:28" ht="12" customHeight="1">
      <c r="C391" s="28"/>
      <c r="E391" s="107" t="s">
        <v>87</v>
      </c>
      <c r="F391" s="248" t="s">
        <v>88</v>
      </c>
      <c r="G391" s="185"/>
      <c r="H391" s="94" t="s">
        <v>25</v>
      </c>
      <c r="I391" s="43"/>
      <c r="J391" s="3"/>
      <c r="K391" s="174"/>
      <c r="L391" s="226"/>
      <c r="M391" s="30"/>
      <c r="N391" s="178">
        <v>5</v>
      </c>
      <c r="O391" s="32"/>
      <c r="P391" s="96"/>
      <c r="Q391" s="30"/>
      <c r="R391" s="257">
        <f>0.1*N391</f>
        <v>0.5</v>
      </c>
      <c r="S391" s="214">
        <f t="shared" ref="S391:S393" si="70">0.5*N391</f>
        <v>2.5</v>
      </c>
      <c r="T391" s="214">
        <f>0.4*N391</f>
        <v>2</v>
      </c>
      <c r="U391" s="103"/>
      <c r="V391" s="104"/>
      <c r="W391" s="30"/>
      <c r="X391" s="102"/>
      <c r="Y391" s="103"/>
      <c r="Z391" s="103"/>
      <c r="AA391" s="103"/>
      <c r="AB391" s="104"/>
    </row>
    <row r="392" spans="3:28" ht="12" customHeight="1">
      <c r="C392" s="28"/>
      <c r="E392" s="107" t="s">
        <v>89</v>
      </c>
      <c r="F392" s="248" t="s">
        <v>154</v>
      </c>
      <c r="G392" s="185"/>
      <c r="H392" s="274" t="s">
        <v>225</v>
      </c>
      <c r="I392" s="43"/>
      <c r="J392" s="3"/>
      <c r="K392" s="174"/>
      <c r="L392" s="226"/>
      <c r="M392" s="30"/>
      <c r="N392" s="178">
        <v>15</v>
      </c>
      <c r="O392" s="32"/>
      <c r="P392" s="96"/>
      <c r="Q392" s="30"/>
      <c r="R392" s="257">
        <f>0.1*N392</f>
        <v>1.5</v>
      </c>
      <c r="S392" s="214">
        <f t="shared" si="70"/>
        <v>7.5</v>
      </c>
      <c r="T392" s="214">
        <f>0.4*N392</f>
        <v>6</v>
      </c>
      <c r="U392" s="103"/>
      <c r="V392" s="104"/>
      <c r="W392" s="30"/>
      <c r="X392" s="102"/>
      <c r="Y392" s="103"/>
      <c r="Z392" s="103"/>
      <c r="AA392" s="103"/>
      <c r="AB392" s="104"/>
    </row>
    <row r="393" spans="3:28" ht="12" customHeight="1">
      <c r="C393" s="28"/>
      <c r="E393" s="107" t="s">
        <v>48</v>
      </c>
      <c r="F393" s="248" t="s">
        <v>155</v>
      </c>
      <c r="G393" s="184"/>
      <c r="H393" s="94"/>
      <c r="I393" s="43">
        <v>0.12</v>
      </c>
      <c r="J393" s="3"/>
      <c r="K393" s="200">
        <f>36*12</f>
        <v>432</v>
      </c>
      <c r="L393" s="230" t="s">
        <v>75</v>
      </c>
      <c r="M393" s="30"/>
      <c r="N393" s="177">
        <f>I393*K393</f>
        <v>51.839999999999996</v>
      </c>
      <c r="O393" s="32"/>
      <c r="P393" s="96"/>
      <c r="Q393" s="30"/>
      <c r="R393" s="257">
        <f t="shared" ref="R393" si="71">0.1*N393</f>
        <v>5.1840000000000002</v>
      </c>
      <c r="S393" s="214">
        <f t="shared" si="70"/>
        <v>25.919999999999998</v>
      </c>
      <c r="T393" s="214">
        <f t="shared" ref="T393" si="72">0.4*N393</f>
        <v>20.736000000000001</v>
      </c>
      <c r="U393" s="103"/>
      <c r="V393" s="104"/>
      <c r="W393" s="30"/>
      <c r="X393" s="102"/>
      <c r="Y393" s="103"/>
      <c r="Z393" s="103"/>
      <c r="AA393" s="103"/>
      <c r="AB393" s="104"/>
    </row>
    <row r="394" spans="3:28" ht="12" customHeight="1">
      <c r="C394" s="28"/>
      <c r="E394" s="245" t="s">
        <v>102</v>
      </c>
      <c r="F394" s="246"/>
      <c r="G394" s="184"/>
      <c r="H394" s="94"/>
      <c r="I394" s="43"/>
      <c r="J394" s="3"/>
      <c r="K394" s="200"/>
      <c r="L394" s="230"/>
      <c r="M394" s="30"/>
      <c r="N394" s="177"/>
      <c r="O394" s="32"/>
      <c r="P394" s="96"/>
      <c r="Q394" s="30"/>
      <c r="R394" s="257"/>
      <c r="S394" s="214"/>
      <c r="T394" s="214"/>
      <c r="U394" s="103"/>
      <c r="V394" s="104"/>
      <c r="W394" s="30"/>
      <c r="X394" s="102"/>
      <c r="Y394" s="103"/>
      <c r="Z394" s="103"/>
      <c r="AA394" s="103"/>
      <c r="AB394" s="104"/>
    </row>
    <row r="395" spans="3:28" ht="14.15" customHeight="1">
      <c r="C395" s="28"/>
      <c r="E395" s="107" t="s">
        <v>152</v>
      </c>
      <c r="F395" s="249" t="s">
        <v>153</v>
      </c>
      <c r="G395" s="184"/>
      <c r="H395" s="94" t="s">
        <v>18</v>
      </c>
      <c r="I395" s="43">
        <v>10</v>
      </c>
      <c r="J395" s="3"/>
      <c r="K395" s="174">
        <v>1</v>
      </c>
      <c r="L395" s="226"/>
      <c r="M395" s="30"/>
      <c r="N395" s="178">
        <f>I395*K395</f>
        <v>10</v>
      </c>
      <c r="O395" s="32"/>
      <c r="P395" s="96"/>
      <c r="Q395" s="30"/>
      <c r="R395" s="257">
        <f t="shared" ref="R395:R396" si="73">0.1*N395</f>
        <v>1</v>
      </c>
      <c r="S395" s="214">
        <f t="shared" ref="S395:S396" si="74">0.5*N395</f>
        <v>5</v>
      </c>
      <c r="T395" s="214">
        <f t="shared" ref="T395:T396" si="75">0.4*N395</f>
        <v>4</v>
      </c>
      <c r="U395" s="103"/>
      <c r="V395" s="104"/>
      <c r="W395" s="30"/>
      <c r="X395" s="102"/>
      <c r="Y395" s="103"/>
      <c r="Z395" s="103"/>
      <c r="AA395" s="103"/>
      <c r="AB395" s="104"/>
    </row>
    <row r="396" spans="3:28" ht="14.15" customHeight="1">
      <c r="C396" s="28"/>
      <c r="E396" s="107" t="s">
        <v>103</v>
      </c>
      <c r="F396" s="249" t="s">
        <v>101</v>
      </c>
      <c r="G396" s="184"/>
      <c r="H396" s="94" t="s">
        <v>18</v>
      </c>
      <c r="I396" s="43">
        <v>0.12</v>
      </c>
      <c r="J396" s="3"/>
      <c r="K396" s="200">
        <f>33*12</f>
        <v>396</v>
      </c>
      <c r="L396" s="230"/>
      <c r="M396" s="30"/>
      <c r="N396" s="177">
        <f>I396*K396</f>
        <v>47.519999999999996</v>
      </c>
      <c r="O396" s="32"/>
      <c r="P396" s="96"/>
      <c r="Q396" s="30"/>
      <c r="R396" s="257">
        <f t="shared" si="73"/>
        <v>4.7519999999999998</v>
      </c>
      <c r="S396" s="214">
        <f t="shared" si="74"/>
        <v>23.759999999999998</v>
      </c>
      <c r="T396" s="214">
        <f t="shared" si="75"/>
        <v>19.007999999999999</v>
      </c>
      <c r="U396" s="103"/>
      <c r="V396" s="104"/>
      <c r="W396" s="30"/>
      <c r="X396" s="102"/>
      <c r="Y396" s="103"/>
      <c r="Z396" s="103"/>
      <c r="AA396" s="103"/>
      <c r="AB396" s="104"/>
    </row>
    <row r="397" spans="3:28" ht="12" customHeight="1">
      <c r="C397" s="28"/>
      <c r="E397" s="189" t="s">
        <v>59</v>
      </c>
      <c r="F397" s="256" t="s">
        <v>139</v>
      </c>
      <c r="G397" s="190"/>
      <c r="H397" s="94"/>
      <c r="I397" s="43"/>
      <c r="J397" s="3"/>
      <c r="K397" s="175"/>
      <c r="L397" s="231"/>
      <c r="M397" s="30"/>
      <c r="N397" s="234">
        <f>SUM(N385:N396)*0.1</f>
        <v>14.733499999999999</v>
      </c>
      <c r="O397" s="32"/>
      <c r="P397" s="109"/>
      <c r="Q397" s="30"/>
      <c r="R397" s="258">
        <f t="shared" ref="R397" si="76">0.1*N397</f>
        <v>1.4733499999999999</v>
      </c>
      <c r="S397" s="259">
        <f t="shared" ref="S397" si="77">0.5*N397</f>
        <v>7.3667499999999997</v>
      </c>
      <c r="T397" s="259">
        <f t="shared" ref="T397" si="78">0.4*N397</f>
        <v>5.8933999999999997</v>
      </c>
      <c r="U397" s="111"/>
      <c r="V397" s="112"/>
      <c r="W397" s="30"/>
      <c r="X397" s="110"/>
      <c r="Y397" s="111"/>
      <c r="Z397" s="111"/>
      <c r="AA397" s="111"/>
      <c r="AB397" s="112"/>
    </row>
    <row r="398" spans="3:28" ht="4" customHeight="1">
      <c r="E398" s="3"/>
      <c r="J398" s="3"/>
    </row>
    <row r="399" spans="3:28" ht="15" customHeight="1">
      <c r="F399" s="113" t="s">
        <v>19</v>
      </c>
      <c r="G399" s="114"/>
      <c r="H399" s="114"/>
      <c r="I399" s="85"/>
      <c r="K399" s="22"/>
      <c r="L399" s="207"/>
      <c r="M399" s="20"/>
      <c r="N399" s="179">
        <f>SUM(N385:N397)</f>
        <v>162.06849999999997</v>
      </c>
      <c r="O399" s="20"/>
      <c r="P399" s="22"/>
      <c r="Q399" s="20"/>
      <c r="R399" s="180">
        <f>SUM(R386:R397)</f>
        <v>14.40935</v>
      </c>
      <c r="S399" s="181">
        <f>SUM(S386:S397)</f>
        <v>83.521749999999997</v>
      </c>
      <c r="T399" s="181">
        <f>SUM(T386:T397)</f>
        <v>57.6374</v>
      </c>
      <c r="U399" s="182">
        <f>SUM(U386:U397)</f>
        <v>0</v>
      </c>
      <c r="V399" s="180">
        <f>SUM(V386:V397)</f>
        <v>0</v>
      </c>
      <c r="W399" s="115"/>
      <c r="X399" s="160">
        <f>SUM(X386:X397)</f>
        <v>0</v>
      </c>
      <c r="Y399" s="161">
        <f>SUM(Y386:Y397)</f>
        <v>0</v>
      </c>
      <c r="Z399" s="161">
        <f>SUM(Z386:Z397)</f>
        <v>0</v>
      </c>
      <c r="AA399" s="161">
        <f>SUM(AA386:AA397)</f>
        <v>0</v>
      </c>
      <c r="AB399" s="161">
        <f>SUM(AB386:AB397)</f>
        <v>0</v>
      </c>
    </row>
    <row r="400" spans="3:28" ht="10" customHeight="1">
      <c r="F400" s="192"/>
      <c r="G400" s="193"/>
      <c r="H400" s="193"/>
      <c r="I400" s="193"/>
      <c r="K400" s="168"/>
      <c r="L400" s="20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94"/>
      <c r="X400" s="195"/>
      <c r="Y400" s="195"/>
      <c r="Z400" s="195"/>
      <c r="AA400" s="195"/>
      <c r="AB400" s="195"/>
    </row>
    <row r="401" spans="2:28" ht="15" customHeight="1">
      <c r="B401" s="164" t="s">
        <v>100</v>
      </c>
      <c r="C401" s="6"/>
      <c r="E401" s="116" t="s">
        <v>20</v>
      </c>
    </row>
    <row r="402" spans="2:28" ht="15" customHeight="1">
      <c r="B402" s="6"/>
      <c r="C402" s="9"/>
      <c r="E402" s="9" t="s">
        <v>126</v>
      </c>
      <c r="F402" s="237"/>
      <c r="K402" s="333" t="s">
        <v>9</v>
      </c>
      <c r="L402" s="334"/>
      <c r="M402" s="334"/>
      <c r="N402" s="335"/>
      <c r="O402" s="24"/>
      <c r="P402" s="68" t="s">
        <v>10</v>
      </c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70"/>
    </row>
    <row r="403" spans="2:28" ht="15" customHeight="1">
      <c r="E403" s="26" t="s">
        <v>21</v>
      </c>
      <c r="F403" s="84" t="s">
        <v>22</v>
      </c>
      <c r="G403" s="85"/>
      <c r="H403" s="73" t="s">
        <v>4</v>
      </c>
      <c r="I403" s="75" t="s">
        <v>23</v>
      </c>
      <c r="K403" s="71"/>
      <c r="M403" s="24"/>
      <c r="N403" s="72" t="s">
        <v>11</v>
      </c>
      <c r="O403" s="24"/>
      <c r="P403" s="73">
        <v>2011</v>
      </c>
      <c r="Q403" s="74"/>
      <c r="R403" s="75">
        <f>P403+1</f>
        <v>2012</v>
      </c>
      <c r="S403" s="75">
        <f>R403+1</f>
        <v>2013</v>
      </c>
      <c r="T403" s="75">
        <f>S403+1</f>
        <v>2014</v>
      </c>
      <c r="U403" s="75">
        <f>T403+1</f>
        <v>2015</v>
      </c>
      <c r="V403" s="75">
        <f>U403+1</f>
        <v>2016</v>
      </c>
      <c r="W403" s="74"/>
      <c r="X403" s="76">
        <f>V403+1</f>
        <v>2017</v>
      </c>
      <c r="Y403" s="76">
        <f>X403+1</f>
        <v>2018</v>
      </c>
      <c r="Z403" s="76">
        <f>Y403+1</f>
        <v>2019</v>
      </c>
      <c r="AA403" s="76">
        <f>Z403+1</f>
        <v>2020</v>
      </c>
      <c r="AB403" s="76">
        <f>AA403+1</f>
        <v>2021</v>
      </c>
    </row>
    <row r="404" spans="2:28" ht="4" customHeight="1"/>
    <row r="405" spans="2:28" ht="12" customHeight="1">
      <c r="C405" s="28"/>
      <c r="E405" s="77" t="s">
        <v>3</v>
      </c>
      <c r="F405" s="197" t="s">
        <v>224</v>
      </c>
      <c r="G405" s="117"/>
      <c r="H405" s="73"/>
      <c r="I405" s="75"/>
      <c r="J405" s="3"/>
      <c r="K405" s="87"/>
      <c r="L405" s="204"/>
      <c r="M405" s="30"/>
      <c r="N405" s="176">
        <f>N381</f>
        <v>102.89999999999999</v>
      </c>
      <c r="O405" s="32"/>
      <c r="P405" s="88"/>
      <c r="Q405" s="30"/>
      <c r="R405" s="89">
        <f>R381</f>
        <v>0</v>
      </c>
      <c r="S405" s="89">
        <f>S381</f>
        <v>102.89999999999999</v>
      </c>
      <c r="T405" s="89">
        <f>T381</f>
        <v>0</v>
      </c>
      <c r="U405" s="89">
        <f>U381</f>
        <v>0</v>
      </c>
      <c r="V405" s="220">
        <f>V381</f>
        <v>0</v>
      </c>
      <c r="X405" s="199"/>
      <c r="Y405" s="118"/>
      <c r="Z405" s="118"/>
      <c r="AA405" s="118"/>
      <c r="AB405" s="119"/>
    </row>
    <row r="406" spans="2:28" ht="12" customHeight="1">
      <c r="C406" s="28"/>
      <c r="E406" s="105" t="s">
        <v>218</v>
      </c>
      <c r="F406" s="41" t="s">
        <v>221</v>
      </c>
      <c r="G406" s="100"/>
      <c r="H406" s="94"/>
      <c r="I406" s="43"/>
      <c r="J406" s="3"/>
      <c r="K406" s="101"/>
      <c r="L406" s="204"/>
      <c r="M406" s="30"/>
      <c r="N406" s="178">
        <f>N385</f>
        <v>6.5</v>
      </c>
      <c r="O406" s="32"/>
      <c r="P406" s="96"/>
      <c r="Q406" s="30"/>
      <c r="R406" s="157">
        <f>SUM(R379:R382)</f>
        <v>0</v>
      </c>
      <c r="S406" s="157">
        <f t="shared" ref="S406:V406" si="79">SUM(S379:S382)</f>
        <v>195.29999999999998</v>
      </c>
      <c r="T406" s="157">
        <f t="shared" si="79"/>
        <v>0</v>
      </c>
      <c r="U406" s="157">
        <f t="shared" si="79"/>
        <v>0</v>
      </c>
      <c r="V406" s="157">
        <f t="shared" si="79"/>
        <v>0</v>
      </c>
      <c r="W406" s="30"/>
      <c r="X406" s="102"/>
      <c r="Y406" s="103"/>
      <c r="Z406" s="103"/>
      <c r="AA406" s="103"/>
      <c r="AB406" s="104"/>
    </row>
    <row r="407" spans="2:28" ht="12" customHeight="1">
      <c r="C407" s="28"/>
      <c r="E407" s="105" t="s">
        <v>29</v>
      </c>
      <c r="F407" s="41" t="s">
        <v>220</v>
      </c>
      <c r="G407" s="100"/>
      <c r="H407" s="94"/>
      <c r="I407" s="43"/>
      <c r="J407" s="3"/>
      <c r="K407" s="101"/>
      <c r="L407" s="204"/>
      <c r="M407" s="30"/>
      <c r="N407" s="178">
        <f>SUM(N386:N389)</f>
        <v>11.475</v>
      </c>
      <c r="O407" s="32"/>
      <c r="P407" s="96"/>
      <c r="Q407" s="30"/>
      <c r="R407" s="157">
        <f>SUM(R386:R389)</f>
        <v>0</v>
      </c>
      <c r="S407" s="157">
        <f t="shared" ref="S407:V407" si="80">SUM(S386:S389)</f>
        <v>11.475</v>
      </c>
      <c r="T407" s="157">
        <f t="shared" si="80"/>
        <v>0</v>
      </c>
      <c r="U407" s="157">
        <f t="shared" si="80"/>
        <v>0</v>
      </c>
      <c r="V407" s="157">
        <f t="shared" si="80"/>
        <v>0</v>
      </c>
      <c r="W407" s="30"/>
      <c r="X407" s="102"/>
      <c r="Y407" s="103"/>
      <c r="Z407" s="103"/>
      <c r="AA407" s="103"/>
      <c r="AB407" s="104"/>
    </row>
    <row r="408" spans="2:28" ht="12" customHeight="1">
      <c r="C408" s="28"/>
      <c r="E408" s="105" t="s">
        <v>93</v>
      </c>
      <c r="F408" s="41" t="s">
        <v>94</v>
      </c>
      <c r="G408" s="100"/>
      <c r="H408" s="94"/>
      <c r="I408" s="43"/>
      <c r="J408" s="3"/>
      <c r="K408" s="101"/>
      <c r="L408" s="204"/>
      <c r="M408" s="30"/>
      <c r="N408" s="178">
        <f>SUM(N391:N392)</f>
        <v>20</v>
      </c>
      <c r="O408" s="32"/>
      <c r="P408" s="96"/>
      <c r="Q408" s="30"/>
      <c r="R408" s="178">
        <f>SUM(R391:R392)</f>
        <v>2</v>
      </c>
      <c r="S408" s="178">
        <f t="shared" ref="S408:V408" si="81">SUM(S391:S392)</f>
        <v>10</v>
      </c>
      <c r="T408" s="178">
        <f t="shared" si="81"/>
        <v>8</v>
      </c>
      <c r="U408" s="178">
        <f t="shared" si="81"/>
        <v>0</v>
      </c>
      <c r="V408" s="178">
        <f t="shared" si="81"/>
        <v>0</v>
      </c>
      <c r="W408" s="30"/>
      <c r="X408" s="102"/>
      <c r="Y408" s="103"/>
      <c r="Z408" s="103"/>
      <c r="AA408" s="103"/>
      <c r="AB408" s="104"/>
    </row>
    <row r="409" spans="2:28" ht="12" customHeight="1">
      <c r="C409" s="28"/>
      <c r="E409" s="105" t="s">
        <v>104</v>
      </c>
      <c r="F409" s="41" t="s">
        <v>106</v>
      </c>
      <c r="G409" s="100"/>
      <c r="H409" s="94"/>
      <c r="I409" s="43"/>
      <c r="J409" s="3"/>
      <c r="K409" s="101"/>
      <c r="L409" s="204"/>
      <c r="M409" s="30"/>
      <c r="N409" s="178">
        <f>SUM(N393:N393)</f>
        <v>51.839999999999996</v>
      </c>
      <c r="O409" s="32"/>
      <c r="P409" s="96"/>
      <c r="Q409" s="30"/>
      <c r="R409" s="178">
        <f t="shared" ref="R409:V411" si="82">SUM(R395:R395)</f>
        <v>1</v>
      </c>
      <c r="S409" s="178">
        <f t="shared" si="82"/>
        <v>5</v>
      </c>
      <c r="T409" s="178">
        <f t="shared" si="82"/>
        <v>4</v>
      </c>
      <c r="U409" s="178">
        <f t="shared" si="82"/>
        <v>0</v>
      </c>
      <c r="V409" s="178">
        <f t="shared" si="82"/>
        <v>0</v>
      </c>
      <c r="W409" s="30"/>
      <c r="X409" s="102"/>
      <c r="Y409" s="103"/>
      <c r="Z409" s="103"/>
      <c r="AA409" s="103"/>
      <c r="AB409" s="104"/>
    </row>
    <row r="410" spans="2:28" ht="12" customHeight="1">
      <c r="C410" s="28"/>
      <c r="E410" s="105" t="s">
        <v>105</v>
      </c>
      <c r="F410" s="41" t="s">
        <v>43</v>
      </c>
      <c r="G410" s="100"/>
      <c r="H410" s="94"/>
      <c r="I410" s="43"/>
      <c r="J410" s="3"/>
      <c r="K410" s="101"/>
      <c r="L410" s="204"/>
      <c r="M410" s="30"/>
      <c r="N410" s="178">
        <f>SUM(N395:N395)</f>
        <v>10</v>
      </c>
      <c r="O410" s="32"/>
      <c r="P410" s="96"/>
      <c r="Q410" s="30"/>
      <c r="R410" s="178">
        <f t="shared" si="82"/>
        <v>4.7519999999999998</v>
      </c>
      <c r="S410" s="178">
        <f t="shared" si="82"/>
        <v>23.759999999999998</v>
      </c>
      <c r="T410" s="178">
        <f t="shared" si="82"/>
        <v>19.007999999999999</v>
      </c>
      <c r="U410" s="178">
        <f t="shared" si="82"/>
        <v>0</v>
      </c>
      <c r="V410" s="178">
        <f t="shared" si="82"/>
        <v>0</v>
      </c>
      <c r="W410" s="30"/>
      <c r="X410" s="102"/>
      <c r="Y410" s="103"/>
      <c r="Z410" s="103"/>
      <c r="AA410" s="103"/>
      <c r="AB410" s="104"/>
    </row>
    <row r="411" spans="2:28" ht="12" customHeight="1">
      <c r="C411" s="28"/>
      <c r="E411" s="105" t="s">
        <v>105</v>
      </c>
      <c r="F411" s="41" t="s">
        <v>101</v>
      </c>
      <c r="G411" s="100"/>
      <c r="H411" s="94"/>
      <c r="I411" s="43"/>
      <c r="J411" s="3"/>
      <c r="K411" s="101"/>
      <c r="L411" s="204"/>
      <c r="M411" s="30"/>
      <c r="N411" s="178">
        <f>SUM(N396:N396)</f>
        <v>47.519999999999996</v>
      </c>
      <c r="O411" s="32"/>
      <c r="P411" s="96"/>
      <c r="Q411" s="30"/>
      <c r="R411" s="178">
        <f t="shared" si="82"/>
        <v>1.4733499999999999</v>
      </c>
      <c r="S411" s="178">
        <f t="shared" si="82"/>
        <v>7.3667499999999997</v>
      </c>
      <c r="T411" s="178">
        <f t="shared" si="82"/>
        <v>5.8933999999999997</v>
      </c>
      <c r="U411" s="178">
        <f t="shared" si="82"/>
        <v>0</v>
      </c>
      <c r="V411" s="178">
        <f t="shared" si="82"/>
        <v>0</v>
      </c>
      <c r="W411" s="30"/>
      <c r="X411" s="102"/>
      <c r="Y411" s="103"/>
      <c r="Z411" s="103"/>
      <c r="AA411" s="103"/>
      <c r="AB411" s="104"/>
    </row>
    <row r="412" spans="2:28" ht="12" customHeight="1">
      <c r="C412" s="28"/>
      <c r="E412" s="108" t="s">
        <v>59</v>
      </c>
      <c r="F412" s="256" t="s">
        <v>139</v>
      </c>
      <c r="G412" s="120"/>
      <c r="H412" s="94"/>
      <c r="I412" s="43"/>
      <c r="J412" s="3"/>
      <c r="K412" s="121"/>
      <c r="L412" s="204"/>
      <c r="M412" s="30"/>
      <c r="N412" s="234">
        <f>N397</f>
        <v>14.733499999999999</v>
      </c>
      <c r="O412" s="32"/>
      <c r="P412" s="109"/>
      <c r="Q412" s="30"/>
      <c r="R412" s="163">
        <f t="shared" ref="R412:V412" si="83">R397</f>
        <v>1.4733499999999999</v>
      </c>
      <c r="S412" s="163">
        <f t="shared" si="83"/>
        <v>7.3667499999999997</v>
      </c>
      <c r="T412" s="163">
        <f t="shared" si="83"/>
        <v>5.8933999999999997</v>
      </c>
      <c r="U412" s="163">
        <f t="shared" si="83"/>
        <v>0</v>
      </c>
      <c r="V412" s="163">
        <f t="shared" si="83"/>
        <v>0</v>
      </c>
      <c r="W412" s="30"/>
      <c r="X412" s="218"/>
      <c r="Y412" s="111"/>
      <c r="Z412" s="111"/>
      <c r="AA412" s="111"/>
      <c r="AB412" s="112"/>
    </row>
    <row r="413" spans="2:28" ht="4" customHeight="1">
      <c r="E413" s="3"/>
      <c r="J413" s="3"/>
    </row>
    <row r="414" spans="2:28" ht="15" customHeight="1">
      <c r="F414" s="122" t="s">
        <v>24</v>
      </c>
      <c r="G414" s="114"/>
      <c r="H414" s="114"/>
      <c r="I414" s="85"/>
      <c r="K414" s="22"/>
      <c r="L414" s="207"/>
      <c r="M414" s="20"/>
      <c r="N414" s="162">
        <f>SUM(N405:N412)</f>
        <v>264.96850000000001</v>
      </c>
      <c r="O414" s="20"/>
      <c r="P414" s="22"/>
      <c r="Q414" s="20"/>
      <c r="R414" s="198">
        <f>SUM(R405:R412)</f>
        <v>10.698699999999999</v>
      </c>
      <c r="S414" s="198">
        <f>SUM(S405:S412)</f>
        <v>363.16850000000005</v>
      </c>
      <c r="T414" s="198">
        <f>SUM(T405:T412)</f>
        <v>42.794799999999995</v>
      </c>
      <c r="U414" s="198">
        <f>SUM(U405:U412)</f>
        <v>0</v>
      </c>
      <c r="V414" s="198">
        <f>SUM(V405:V412)</f>
        <v>0</v>
      </c>
      <c r="W414" s="115"/>
      <c r="X414" s="160">
        <f>SUM(X405:X412)</f>
        <v>0</v>
      </c>
      <c r="Y414" s="160">
        <f>SUM(Y405:Y412)</f>
        <v>0</v>
      </c>
      <c r="Z414" s="160">
        <f>SUM(Z405:Z412)</f>
        <v>0</v>
      </c>
      <c r="AA414" s="160">
        <f>SUM(AA405:AA412)</f>
        <v>0</v>
      </c>
      <c r="AB414" s="160">
        <f>SUM(AB405:AB412)</f>
        <v>0</v>
      </c>
    </row>
    <row r="415" spans="2:28" ht="10" customHeight="1"/>
    <row r="416" spans="2:28" ht="12" customHeight="1">
      <c r="N416" s="67"/>
    </row>
    <row r="417" spans="2:28" ht="12" customHeight="1"/>
    <row r="418" spans="2:28" ht="12" customHeight="1"/>
    <row r="419" spans="2:28" ht="12" customHeight="1"/>
    <row r="420" spans="2:28" ht="12" customHeight="1"/>
    <row r="421" spans="2:28" ht="12" customHeight="1"/>
    <row r="422" spans="2:28" ht="10" customHeight="1" thickBot="1"/>
    <row r="423" spans="2:28" ht="18" customHeight="1" thickBot="1">
      <c r="B423" s="315" t="s">
        <v>77</v>
      </c>
      <c r="C423" s="316"/>
      <c r="D423" s="316"/>
      <c r="E423" s="316"/>
      <c r="F423" s="316"/>
      <c r="G423" s="316"/>
      <c r="H423" s="316"/>
      <c r="I423" s="316"/>
      <c r="J423" s="316"/>
      <c r="K423" s="316"/>
      <c r="L423" s="316"/>
      <c r="M423" s="316"/>
      <c r="N423" s="316"/>
      <c r="O423" s="316"/>
      <c r="P423" s="316"/>
      <c r="Q423" s="316"/>
      <c r="R423" s="316"/>
      <c r="S423" s="316"/>
      <c r="T423" s="316"/>
      <c r="U423" s="316"/>
      <c r="V423" s="316"/>
      <c r="W423" s="316"/>
      <c r="X423" s="316"/>
      <c r="Y423" s="316"/>
      <c r="Z423" s="316"/>
      <c r="AA423" s="316"/>
      <c r="AB423" s="317"/>
    </row>
    <row r="424" spans="2:28" ht="10" customHeight="1" thickBot="1"/>
    <row r="425" spans="2:28" ht="15" customHeight="1" thickBot="1">
      <c r="B425" s="164" t="s">
        <v>107</v>
      </c>
      <c r="C425" s="6"/>
      <c r="D425" s="132"/>
      <c r="E425" s="275" t="s">
        <v>129</v>
      </c>
      <c r="F425" s="7"/>
      <c r="G425" s="8"/>
    </row>
    <row r="426" spans="2:28" ht="15" customHeight="1">
      <c r="B426" s="6"/>
      <c r="C426" s="9"/>
      <c r="D426" s="130"/>
      <c r="E426" s="9" t="s">
        <v>58</v>
      </c>
      <c r="F426" s="251" t="s">
        <v>128</v>
      </c>
      <c r="G426" s="11"/>
    </row>
    <row r="427" spans="2:28" ht="12" customHeight="1">
      <c r="B427" s="6"/>
      <c r="C427" s="6"/>
      <c r="D427" s="132"/>
      <c r="E427" s="12"/>
      <c r="F427" s="26" t="s">
        <v>159</v>
      </c>
      <c r="G427" s="11"/>
    </row>
    <row r="428" spans="2:28" ht="12" customHeight="1">
      <c r="B428" s="6"/>
      <c r="C428" s="6"/>
      <c r="D428" s="132"/>
      <c r="E428" s="12"/>
      <c r="F428" s="273" t="s">
        <v>7</v>
      </c>
      <c r="G428" s="14">
        <v>2014</v>
      </c>
      <c r="P428" s="137">
        <v>2011</v>
      </c>
      <c r="Q428" s="138"/>
      <c r="R428" s="137">
        <f>P428+1</f>
        <v>2012</v>
      </c>
      <c r="S428" s="137">
        <f>R428+1</f>
        <v>2013</v>
      </c>
      <c r="T428" s="137">
        <f>S428+1</f>
        <v>2014</v>
      </c>
      <c r="U428" s="137">
        <f>T428+1</f>
        <v>2015</v>
      </c>
      <c r="V428" s="137">
        <f>U428+1</f>
        <v>2016</v>
      </c>
      <c r="W428" s="138"/>
      <c r="X428" s="139">
        <f>V428+1</f>
        <v>2017</v>
      </c>
      <c r="Y428" s="139">
        <f>X428+1</f>
        <v>2018</v>
      </c>
      <c r="Z428" s="139">
        <f>Y428+1</f>
        <v>2019</v>
      </c>
      <c r="AA428" s="139">
        <f>Z428+1</f>
        <v>2020</v>
      </c>
      <c r="AB428" s="139">
        <f>AA428+1</f>
        <v>2021</v>
      </c>
    </row>
    <row r="429" spans="2:28" ht="12" customHeight="1">
      <c r="F429" s="1"/>
      <c r="G429" s="209" t="s">
        <v>68</v>
      </c>
      <c r="H429" s="18"/>
      <c r="I429" s="18"/>
      <c r="K429" s="19"/>
      <c r="L429" s="203"/>
      <c r="M429" s="20"/>
      <c r="N429" s="21" t="s">
        <v>0</v>
      </c>
      <c r="O429" s="20"/>
      <c r="P429" s="22"/>
      <c r="Q429" s="20"/>
      <c r="R429" s="140"/>
      <c r="S429" s="141"/>
      <c r="T429" s="142">
        <v>23.7</v>
      </c>
      <c r="U429" s="140">
        <v>33.799999999999997</v>
      </c>
      <c r="V429" s="143">
        <v>30.5</v>
      </c>
      <c r="W429" s="23"/>
      <c r="X429" s="144">
        <v>28.3</v>
      </c>
      <c r="Y429" s="144">
        <v>25.700000000000003</v>
      </c>
      <c r="Z429" s="144">
        <v>19.100000000000001</v>
      </c>
      <c r="AA429" s="144">
        <v>15.1</v>
      </c>
      <c r="AB429" s="144">
        <v>15.1</v>
      </c>
    </row>
    <row r="430" spans="2:28" ht="12" customHeight="1">
      <c r="F430" s="1"/>
      <c r="G430" s="210" t="s">
        <v>69</v>
      </c>
      <c r="H430" s="18"/>
      <c r="I430" s="18"/>
      <c r="K430" s="19"/>
      <c r="L430" s="203"/>
      <c r="M430" s="20"/>
      <c r="N430" s="21" t="s">
        <v>1</v>
      </c>
      <c r="O430" s="20"/>
      <c r="P430" s="22"/>
      <c r="Q430" s="20"/>
      <c r="R430" s="140"/>
      <c r="S430" s="141"/>
      <c r="T430" s="142">
        <v>11.600000000000001</v>
      </c>
      <c r="U430" s="140">
        <v>16.600000000000001</v>
      </c>
      <c r="V430" s="143">
        <v>15.899999999999999</v>
      </c>
      <c r="W430" s="23"/>
      <c r="X430" s="144">
        <v>15.1</v>
      </c>
      <c r="Y430" s="144">
        <v>14.100000000000001</v>
      </c>
      <c r="Z430" s="144">
        <v>10.600000000000001</v>
      </c>
      <c r="AA430" s="144">
        <v>7.9</v>
      </c>
      <c r="AB430" s="144">
        <v>7.9</v>
      </c>
    </row>
    <row r="431" spans="2:28" ht="10" customHeight="1">
      <c r="F431" s="1"/>
      <c r="G431" s="165"/>
      <c r="H431" s="166"/>
      <c r="I431" s="166"/>
      <c r="K431" s="167"/>
      <c r="L431" s="204"/>
      <c r="M431" s="168"/>
      <c r="N431" s="169"/>
      <c r="O431" s="168"/>
      <c r="P431" s="168"/>
      <c r="Q431" s="168"/>
      <c r="R431" s="170"/>
      <c r="S431" s="170"/>
      <c r="T431" s="170"/>
      <c r="U431" s="170"/>
      <c r="V431" s="170"/>
      <c r="W431" s="171"/>
      <c r="X431" s="172"/>
      <c r="Y431" s="172"/>
      <c r="Z431" s="172"/>
      <c r="AA431" s="172"/>
      <c r="AB431" s="172"/>
    </row>
    <row r="432" spans="2:28" ht="12" customHeight="1">
      <c r="E432" s="26" t="s">
        <v>8</v>
      </c>
      <c r="F432" s="27" t="s">
        <v>27</v>
      </c>
      <c r="O432" s="24"/>
      <c r="P432" s="134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6"/>
    </row>
    <row r="433" spans="2:29" ht="12" customHeight="1">
      <c r="C433" s="25"/>
      <c r="F433" s="1"/>
      <c r="G433" s="5"/>
      <c r="O433" s="24"/>
      <c r="P433" s="15">
        <v>2011</v>
      </c>
      <c r="Q433" s="16"/>
      <c r="R433" s="16">
        <f>P433+1</f>
        <v>2012</v>
      </c>
      <c r="S433" s="16">
        <f>R433+1</f>
        <v>2013</v>
      </c>
      <c r="T433" s="16">
        <f>S433+1</f>
        <v>2014</v>
      </c>
      <c r="U433" s="16">
        <f>T433+1</f>
        <v>2015</v>
      </c>
      <c r="V433" s="16">
        <f>U433+1</f>
        <v>2016</v>
      </c>
      <c r="W433" s="16"/>
      <c r="X433" s="17">
        <f>V433+1</f>
        <v>2017</v>
      </c>
      <c r="Y433" s="17">
        <f>X433+1</f>
        <v>2018</v>
      </c>
      <c r="Z433" s="17">
        <f>Y433+1</f>
        <v>2019</v>
      </c>
      <c r="AA433" s="17">
        <f>Z433+1</f>
        <v>2020</v>
      </c>
      <c r="AB433" s="17">
        <f>AA433+1</f>
        <v>2021</v>
      </c>
      <c r="AC433" s="24"/>
    </row>
    <row r="434" spans="2:29" ht="4" customHeight="1"/>
    <row r="435" spans="2:29" ht="12" customHeight="1">
      <c r="D435" s="242">
        <v>1</v>
      </c>
      <c r="E435" s="125" t="s">
        <v>209</v>
      </c>
      <c r="F435" s="125" t="s">
        <v>210</v>
      </c>
      <c r="G435" s="145"/>
      <c r="H435" s="150"/>
      <c r="I435" s="151"/>
      <c r="J435" s="3"/>
      <c r="K435" s="295">
        <v>4</v>
      </c>
      <c r="L435" s="201"/>
      <c r="M435" s="30"/>
      <c r="N435" s="87"/>
      <c r="O435" s="32"/>
      <c r="P435" s="33"/>
      <c r="Q435" s="30"/>
      <c r="R435" s="34"/>
      <c r="S435" s="35">
        <f>K435</f>
        <v>4</v>
      </c>
      <c r="T435" s="35"/>
      <c r="U435" s="35"/>
      <c r="V435" s="36"/>
      <c r="W435" s="30"/>
      <c r="X435" s="37"/>
      <c r="Y435" s="38"/>
      <c r="Z435" s="38"/>
      <c r="AA435" s="38"/>
      <c r="AB435" s="39"/>
    </row>
    <row r="436" spans="2:29" ht="12" customHeight="1">
      <c r="D436" s="243">
        <v>2</v>
      </c>
      <c r="E436" s="126" t="s">
        <v>222</v>
      </c>
      <c r="F436" s="126" t="s">
        <v>223</v>
      </c>
      <c r="G436" s="146"/>
      <c r="H436" s="152"/>
      <c r="I436" s="153"/>
      <c r="J436" s="3"/>
      <c r="K436" s="296">
        <v>2</v>
      </c>
      <c r="L436" s="201"/>
      <c r="M436" s="30"/>
      <c r="N436" s="101"/>
      <c r="O436" s="32"/>
      <c r="P436" s="45"/>
      <c r="Q436" s="30"/>
      <c r="R436" s="46"/>
      <c r="S436" s="47">
        <f>K436</f>
        <v>2</v>
      </c>
      <c r="T436" s="47"/>
      <c r="U436" s="47"/>
      <c r="V436" s="48"/>
      <c r="W436" s="30"/>
      <c r="X436" s="49"/>
      <c r="Y436" s="50"/>
      <c r="Z436" s="50"/>
      <c r="AA436" s="50"/>
      <c r="AB436" s="51"/>
    </row>
    <row r="437" spans="2:29" ht="12" customHeight="1">
      <c r="D437" s="243">
        <v>3</v>
      </c>
      <c r="E437" s="126" t="s">
        <v>211</v>
      </c>
      <c r="F437" s="126" t="s">
        <v>26</v>
      </c>
      <c r="G437" s="146"/>
      <c r="H437" s="152"/>
      <c r="I437" s="153"/>
      <c r="J437" s="3"/>
      <c r="K437" s="44">
        <v>2</v>
      </c>
      <c r="L437" s="201"/>
      <c r="M437" s="30"/>
      <c r="N437" s="53"/>
      <c r="O437" s="32"/>
      <c r="P437" s="45"/>
      <c r="Q437" s="30"/>
      <c r="R437" s="46"/>
      <c r="S437" s="47">
        <f t="shared" ref="S437" si="84">K437</f>
        <v>2</v>
      </c>
      <c r="T437" s="47"/>
      <c r="U437" s="47"/>
      <c r="V437" s="48"/>
      <c r="W437" s="30"/>
      <c r="X437" s="49"/>
      <c r="Y437" s="50"/>
      <c r="Z437" s="50"/>
      <c r="AA437" s="50"/>
      <c r="AB437" s="51"/>
    </row>
    <row r="438" spans="2:29" ht="12" customHeight="1">
      <c r="D438" s="244">
        <v>4</v>
      </c>
      <c r="E438" s="127" t="s">
        <v>212</v>
      </c>
      <c r="F438" s="127" t="s">
        <v>26</v>
      </c>
      <c r="G438" s="147"/>
      <c r="H438" s="154"/>
      <c r="I438" s="155"/>
      <c r="J438" s="3"/>
      <c r="K438" s="297">
        <v>4</v>
      </c>
      <c r="L438" s="201"/>
      <c r="M438" s="30"/>
      <c r="N438" s="53"/>
      <c r="O438" s="32"/>
      <c r="P438" s="45"/>
      <c r="Q438" s="30"/>
      <c r="R438" s="46"/>
      <c r="S438" s="47">
        <f>K438</f>
        <v>4</v>
      </c>
      <c r="T438" s="47"/>
      <c r="U438" s="47"/>
      <c r="V438" s="48"/>
      <c r="W438" s="30"/>
      <c r="X438" s="49"/>
      <c r="Y438" s="50"/>
      <c r="Z438" s="50"/>
      <c r="AA438" s="50"/>
      <c r="AB438" s="51"/>
    </row>
    <row r="439" spans="2:29" s="67" customFormat="1" ht="15" customHeight="1">
      <c r="B439" s="54"/>
      <c r="C439" s="55"/>
      <c r="D439" s="133"/>
      <c r="E439" s="124"/>
      <c r="F439" s="128" t="s">
        <v>2</v>
      </c>
      <c r="G439" s="129"/>
      <c r="H439" s="148"/>
      <c r="I439" s="149"/>
      <c r="J439" s="61"/>
      <c r="K439" s="29">
        <f>SUM(K435:K438)</f>
        <v>12</v>
      </c>
      <c r="L439" s="205"/>
      <c r="M439" s="62"/>
      <c r="N439" s="31"/>
      <c r="O439" s="61"/>
      <c r="P439" s="63"/>
      <c r="Q439" s="62"/>
      <c r="R439" s="64">
        <f>SUM(R435:R438)</f>
        <v>0</v>
      </c>
      <c r="S439" s="64">
        <f>SUM(S435:S438)</f>
        <v>12</v>
      </c>
      <c r="T439" s="64">
        <f>SUM(T435:T438)</f>
        <v>0</v>
      </c>
      <c r="U439" s="64">
        <f>SUM(U435:U438)</f>
        <v>0</v>
      </c>
      <c r="V439" s="64">
        <f>SUM(V435:V438)</f>
        <v>0</v>
      </c>
      <c r="W439" s="62"/>
      <c r="X439" s="65"/>
      <c r="Y439" s="59"/>
      <c r="Z439" s="59"/>
      <c r="AA439" s="59"/>
      <c r="AB439" s="66"/>
    </row>
    <row r="440" spans="2:29" ht="9" customHeight="1"/>
    <row r="441" spans="2:29" ht="14.15" customHeight="1">
      <c r="L441" s="1"/>
      <c r="O441" s="24"/>
      <c r="P441" s="84" t="s">
        <v>10</v>
      </c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  <c r="AB441" s="222"/>
    </row>
    <row r="442" spans="2:29" ht="15" customHeight="1">
      <c r="E442" s="26" t="s">
        <v>28</v>
      </c>
      <c r="K442" s="137" t="s">
        <v>67</v>
      </c>
      <c r="L442" s="211" t="s">
        <v>66</v>
      </c>
      <c r="M442" s="24"/>
      <c r="N442" s="212" t="s">
        <v>11</v>
      </c>
      <c r="O442" s="24"/>
      <c r="P442" s="137">
        <v>2011</v>
      </c>
      <c r="Q442" s="5"/>
      <c r="R442" s="137">
        <f>P442+1</f>
        <v>2012</v>
      </c>
      <c r="S442" s="137">
        <f>R442+1</f>
        <v>2013</v>
      </c>
      <c r="T442" s="137">
        <f>S442+1</f>
        <v>2014</v>
      </c>
      <c r="U442" s="137">
        <f>T442+1</f>
        <v>2015</v>
      </c>
      <c r="V442" s="137">
        <f>U442+1</f>
        <v>2016</v>
      </c>
      <c r="W442" s="5"/>
      <c r="X442" s="139">
        <f>V442+1</f>
        <v>2017</v>
      </c>
      <c r="Y442" s="139">
        <f>X442+1</f>
        <v>2018</v>
      </c>
      <c r="Z442" s="139">
        <f>Y442+1</f>
        <v>2019</v>
      </c>
      <c r="AA442" s="139">
        <f>Z442+1</f>
        <v>2020</v>
      </c>
      <c r="AB442" s="139">
        <f>AA442+1</f>
        <v>2021</v>
      </c>
    </row>
    <row r="443" spans="2:29" ht="4.5" customHeight="1"/>
    <row r="444" spans="2:29" ht="12" customHeight="1">
      <c r="D444" s="242">
        <v>1</v>
      </c>
      <c r="E444" s="125" t="s">
        <v>209</v>
      </c>
      <c r="F444" s="125" t="s">
        <v>213</v>
      </c>
      <c r="G444" s="299">
        <f>(3*1+2.5)/4</f>
        <v>1.375</v>
      </c>
      <c r="H444" s="78" t="s">
        <v>12</v>
      </c>
      <c r="I444" s="79" t="s">
        <v>13</v>
      </c>
      <c r="J444" s="3"/>
      <c r="K444" s="80">
        <f>K435</f>
        <v>4</v>
      </c>
      <c r="L444" s="225" t="s">
        <v>13</v>
      </c>
      <c r="M444" s="30"/>
      <c r="N444" s="156">
        <f>G444*K444</f>
        <v>5.5</v>
      </c>
      <c r="O444" s="32"/>
      <c r="P444" s="33"/>
      <c r="Q444" s="30"/>
      <c r="R444" s="81">
        <f t="shared" ref="R444:V447" si="85">$G444*R435</f>
        <v>0</v>
      </c>
      <c r="S444" s="81">
        <f t="shared" si="85"/>
        <v>5.5</v>
      </c>
      <c r="T444" s="81">
        <f t="shared" si="85"/>
        <v>0</v>
      </c>
      <c r="U444" s="81">
        <f t="shared" si="85"/>
        <v>0</v>
      </c>
      <c r="V444" s="81">
        <f t="shared" si="85"/>
        <v>0</v>
      </c>
      <c r="W444" s="30"/>
      <c r="X444" s="37"/>
      <c r="Y444" s="38"/>
      <c r="Z444" s="38"/>
      <c r="AA444" s="38"/>
      <c r="AB444" s="39"/>
    </row>
    <row r="445" spans="2:29" ht="12" customHeight="1">
      <c r="D445" s="243">
        <v>2</v>
      </c>
      <c r="E445" s="126" t="s">
        <v>222</v>
      </c>
      <c r="F445" s="126" t="s">
        <v>214</v>
      </c>
      <c r="G445" s="300">
        <f>(2.3+2.7)/2</f>
        <v>2.5</v>
      </c>
      <c r="H445" s="42" t="s">
        <v>12</v>
      </c>
      <c r="I445" s="43" t="s">
        <v>13</v>
      </c>
      <c r="J445" s="3"/>
      <c r="K445" s="52">
        <f>K436</f>
        <v>2</v>
      </c>
      <c r="L445" s="226" t="s">
        <v>13</v>
      </c>
      <c r="M445" s="30"/>
      <c r="N445" s="157">
        <f>G445*K445</f>
        <v>5</v>
      </c>
      <c r="O445" s="32"/>
      <c r="P445" s="45"/>
      <c r="Q445" s="30"/>
      <c r="R445" s="81">
        <f t="shared" si="85"/>
        <v>0</v>
      </c>
      <c r="S445" s="81">
        <f t="shared" si="85"/>
        <v>5</v>
      </c>
      <c r="T445" s="81">
        <f t="shared" si="85"/>
        <v>0</v>
      </c>
      <c r="U445" s="81">
        <f t="shared" si="85"/>
        <v>0</v>
      </c>
      <c r="V445" s="81">
        <f t="shared" si="85"/>
        <v>0</v>
      </c>
      <c r="W445" s="30"/>
      <c r="X445" s="49"/>
      <c r="Y445" s="50"/>
      <c r="Z445" s="50"/>
      <c r="AA445" s="50"/>
      <c r="AB445" s="51"/>
    </row>
    <row r="446" spans="2:29" ht="12" customHeight="1">
      <c r="D446" s="243">
        <v>3</v>
      </c>
      <c r="E446" s="126" t="s">
        <v>211</v>
      </c>
      <c r="F446" s="126" t="s">
        <v>26</v>
      </c>
      <c r="G446" s="300">
        <f>(17.5+22)/2</f>
        <v>19.75</v>
      </c>
      <c r="H446" s="42" t="s">
        <v>12</v>
      </c>
      <c r="I446" s="43" t="s">
        <v>13</v>
      </c>
      <c r="J446" s="3"/>
      <c r="K446" s="52">
        <f>K437</f>
        <v>2</v>
      </c>
      <c r="L446" s="226" t="s">
        <v>13</v>
      </c>
      <c r="M446" s="30"/>
      <c r="N446" s="157">
        <f>G446*K446</f>
        <v>39.5</v>
      </c>
      <c r="O446" s="32"/>
      <c r="P446" s="45"/>
      <c r="Q446" s="30"/>
      <c r="R446" s="81">
        <f t="shared" si="85"/>
        <v>0</v>
      </c>
      <c r="S446" s="81">
        <f t="shared" si="85"/>
        <v>39.5</v>
      </c>
      <c r="T446" s="81">
        <f t="shared" si="85"/>
        <v>0</v>
      </c>
      <c r="U446" s="81">
        <f t="shared" si="85"/>
        <v>0</v>
      </c>
      <c r="V446" s="81">
        <f t="shared" si="85"/>
        <v>0</v>
      </c>
      <c r="W446" s="30"/>
      <c r="X446" s="49"/>
      <c r="Y446" s="50"/>
      <c r="Z446" s="50"/>
      <c r="AA446" s="50"/>
      <c r="AB446" s="51"/>
    </row>
    <row r="447" spans="2:29" ht="12" customHeight="1">
      <c r="D447" s="244">
        <v>4</v>
      </c>
      <c r="E447" s="127" t="s">
        <v>212</v>
      </c>
      <c r="F447" s="127" t="s">
        <v>26</v>
      </c>
      <c r="G447" s="300">
        <f>(3*13.7+11.8)/4</f>
        <v>13.224999999999998</v>
      </c>
      <c r="H447" s="42" t="s">
        <v>12</v>
      </c>
      <c r="I447" s="43" t="s">
        <v>13</v>
      </c>
      <c r="J447" s="3"/>
      <c r="K447" s="52">
        <f>K438</f>
        <v>4</v>
      </c>
      <c r="L447" s="227" t="s">
        <v>13</v>
      </c>
      <c r="M447" s="30"/>
      <c r="N447" s="157">
        <f>G447*K447</f>
        <v>52.899999999999991</v>
      </c>
      <c r="O447" s="32"/>
      <c r="P447" s="45"/>
      <c r="Q447" s="30"/>
      <c r="R447" s="81">
        <f t="shared" si="85"/>
        <v>0</v>
      </c>
      <c r="S447" s="81">
        <f t="shared" si="85"/>
        <v>52.899999999999991</v>
      </c>
      <c r="T447" s="81">
        <f t="shared" si="85"/>
        <v>0</v>
      </c>
      <c r="U447" s="81">
        <f t="shared" si="85"/>
        <v>0</v>
      </c>
      <c r="V447" s="81">
        <f t="shared" si="85"/>
        <v>0</v>
      </c>
      <c r="W447" s="30"/>
      <c r="X447" s="49"/>
      <c r="Y447" s="50"/>
      <c r="Z447" s="50"/>
      <c r="AA447" s="50"/>
      <c r="AB447" s="51"/>
    </row>
    <row r="448" spans="2:29" s="67" customFormat="1" ht="15" customHeight="1">
      <c r="B448" s="54"/>
      <c r="C448" s="55"/>
      <c r="D448" s="133"/>
      <c r="E448" s="56"/>
      <c r="F448" s="57" t="s">
        <v>14</v>
      </c>
      <c r="G448" s="58"/>
      <c r="H448" s="59"/>
      <c r="I448" s="60"/>
      <c r="J448" s="61"/>
      <c r="K448" s="82"/>
      <c r="L448" s="206"/>
      <c r="M448" s="62"/>
      <c r="N448" s="180">
        <f>SUM(N444:N447)</f>
        <v>102.89999999999999</v>
      </c>
      <c r="O448" s="61"/>
      <c r="P448" s="63"/>
      <c r="Q448" s="62"/>
      <c r="R448" s="83">
        <f>SUM(R444:R447)</f>
        <v>0</v>
      </c>
      <c r="S448" s="83">
        <f>SUM(S444:S447)</f>
        <v>102.89999999999999</v>
      </c>
      <c r="T448" s="83">
        <f>SUM(T444:T447)</f>
        <v>0</v>
      </c>
      <c r="U448" s="83">
        <f>SUM(U444:U447)</f>
        <v>0</v>
      </c>
      <c r="V448" s="83">
        <f>SUM(V444:V447)</f>
        <v>0</v>
      </c>
      <c r="W448" s="62"/>
      <c r="X448" s="65"/>
      <c r="Y448" s="59"/>
      <c r="Z448" s="59"/>
      <c r="AA448" s="59"/>
      <c r="AB448" s="66"/>
    </row>
    <row r="449" spans="3:28" ht="5.15" customHeight="1"/>
    <row r="450" spans="3:28" ht="20.149999999999999" customHeight="1">
      <c r="E450" s="26" t="s">
        <v>15</v>
      </c>
      <c r="F450" s="84" t="s">
        <v>16</v>
      </c>
      <c r="G450" s="85"/>
      <c r="H450" s="215" t="s">
        <v>4</v>
      </c>
      <c r="I450" s="232" t="s">
        <v>76</v>
      </c>
      <c r="K450" s="137" t="s">
        <v>67</v>
      </c>
      <c r="L450" s="211" t="s">
        <v>66</v>
      </c>
      <c r="N450" s="212" t="s">
        <v>11</v>
      </c>
      <c r="P450" s="73">
        <v>2011</v>
      </c>
      <c r="Q450" s="74"/>
      <c r="R450" s="75">
        <f>P450+1</f>
        <v>2012</v>
      </c>
      <c r="S450" s="75">
        <f>R450+1</f>
        <v>2013</v>
      </c>
      <c r="T450" s="75">
        <f>S450+1</f>
        <v>2014</v>
      </c>
      <c r="U450" s="75">
        <f>T450+1</f>
        <v>2015</v>
      </c>
      <c r="V450" s="75">
        <f>U450+1</f>
        <v>2016</v>
      </c>
      <c r="W450" s="74"/>
      <c r="X450" s="76">
        <f>V450+1</f>
        <v>2017</v>
      </c>
      <c r="Y450" s="76">
        <f>X450+1</f>
        <v>2018</v>
      </c>
      <c r="Z450" s="76">
        <f>Y450+1</f>
        <v>2019</v>
      </c>
      <c r="AA450" s="76">
        <f>Z450+1</f>
        <v>2020</v>
      </c>
      <c r="AB450" s="76">
        <f>AA450+1</f>
        <v>2021</v>
      </c>
    </row>
    <row r="451" spans="3:28" ht="4" customHeight="1"/>
    <row r="452" spans="3:28" ht="12" customHeight="1">
      <c r="C452" s="28"/>
      <c r="E452" s="77" t="s">
        <v>218</v>
      </c>
      <c r="F452" s="158" t="s">
        <v>219</v>
      </c>
      <c r="G452" s="86"/>
      <c r="H452" s="213" t="s">
        <v>71</v>
      </c>
      <c r="I452" s="216">
        <v>0.5</v>
      </c>
      <c r="J452" s="3"/>
      <c r="K452" s="298">
        <v>13</v>
      </c>
      <c r="L452" s="229" t="s">
        <v>73</v>
      </c>
      <c r="M452" s="30"/>
      <c r="N452" s="176">
        <f>I452*K452</f>
        <v>6.5</v>
      </c>
      <c r="O452" s="32"/>
      <c r="P452" s="88"/>
      <c r="Q452" s="30"/>
      <c r="R452" s="90"/>
      <c r="S452" s="91">
        <f>N452</f>
        <v>6.5</v>
      </c>
      <c r="T452" s="91"/>
      <c r="U452" s="91"/>
      <c r="V452" s="92"/>
      <c r="W452" s="30"/>
      <c r="X452" s="90"/>
      <c r="Y452" s="91"/>
      <c r="Z452" s="91"/>
      <c r="AA452" s="91"/>
      <c r="AB452" s="92"/>
    </row>
    <row r="453" spans="3:28" ht="12" customHeight="1">
      <c r="C453" s="28"/>
      <c r="E453" s="77" t="s">
        <v>215</v>
      </c>
      <c r="F453" s="158" t="s">
        <v>70</v>
      </c>
      <c r="G453" s="86"/>
      <c r="H453" s="213" t="s">
        <v>71</v>
      </c>
      <c r="I453" s="216">
        <v>0.25</v>
      </c>
      <c r="J453" s="3"/>
      <c r="K453" s="228">
        <v>5.7</v>
      </c>
      <c r="L453" s="229" t="s">
        <v>72</v>
      </c>
      <c r="M453" s="30"/>
      <c r="N453" s="176">
        <f>I453*K453</f>
        <v>1.425</v>
      </c>
      <c r="O453" s="32"/>
      <c r="P453" s="88"/>
      <c r="Q453" s="30"/>
      <c r="R453" s="90"/>
      <c r="S453" s="91">
        <f>N453</f>
        <v>1.425</v>
      </c>
      <c r="T453" s="91"/>
      <c r="U453" s="91"/>
      <c r="V453" s="92"/>
      <c r="W453" s="30"/>
      <c r="X453" s="90"/>
      <c r="Y453" s="91"/>
      <c r="Z453" s="91"/>
      <c r="AA453" s="91"/>
      <c r="AB453" s="92"/>
    </row>
    <row r="454" spans="3:28" ht="12" customHeight="1">
      <c r="C454" s="28"/>
      <c r="E454" s="105"/>
      <c r="F454" s="41" t="s">
        <v>17</v>
      </c>
      <c r="G454" s="93"/>
      <c r="H454" s="94"/>
      <c r="I454" s="217">
        <v>0.1</v>
      </c>
      <c r="J454" s="3"/>
      <c r="K454" s="174">
        <v>7</v>
      </c>
      <c r="L454" s="226" t="s">
        <v>73</v>
      </c>
      <c r="M454" s="30"/>
      <c r="N454" s="177">
        <f>I454*K454</f>
        <v>0.70000000000000007</v>
      </c>
      <c r="O454" s="32"/>
      <c r="P454" s="96"/>
      <c r="Q454" s="30"/>
      <c r="R454" s="97"/>
      <c r="S454" s="98">
        <f>N454</f>
        <v>0.70000000000000007</v>
      </c>
      <c r="T454" s="98"/>
      <c r="U454" s="98"/>
      <c r="V454" s="99"/>
      <c r="W454" s="30"/>
      <c r="X454" s="97"/>
      <c r="Y454" s="98"/>
      <c r="Z454" s="98"/>
      <c r="AA454" s="98"/>
      <c r="AB454" s="99"/>
    </row>
    <row r="455" spans="3:28" ht="12" customHeight="1">
      <c r="C455" s="28"/>
      <c r="E455" s="105" t="s">
        <v>216</v>
      </c>
      <c r="F455" s="41" t="s">
        <v>217</v>
      </c>
      <c r="G455" s="100"/>
      <c r="H455" s="94"/>
      <c r="I455" s="217">
        <f>0.25</f>
        <v>0.25</v>
      </c>
      <c r="J455" s="3"/>
      <c r="K455" s="200">
        <f>11*3</f>
        <v>33</v>
      </c>
      <c r="L455" s="230" t="s">
        <v>72</v>
      </c>
      <c r="M455" s="30"/>
      <c r="N455" s="177">
        <f>I455*K455</f>
        <v>8.25</v>
      </c>
      <c r="O455" s="32"/>
      <c r="P455" s="96"/>
      <c r="Q455" s="30"/>
      <c r="R455" s="257"/>
      <c r="S455" s="214">
        <f>N455</f>
        <v>8.25</v>
      </c>
      <c r="T455" s="214"/>
      <c r="U455" s="103"/>
      <c r="V455" s="104"/>
      <c r="W455" s="30"/>
      <c r="X455" s="102"/>
      <c r="Y455" s="103"/>
      <c r="Z455" s="103"/>
      <c r="AA455" s="103"/>
      <c r="AB455" s="104"/>
    </row>
    <row r="456" spans="3:28" ht="12" customHeight="1">
      <c r="C456" s="28"/>
      <c r="E456" s="105"/>
      <c r="F456" s="253" t="s">
        <v>17</v>
      </c>
      <c r="G456" s="100"/>
      <c r="H456" s="94"/>
      <c r="I456" s="217">
        <v>0.1</v>
      </c>
      <c r="J456" s="3"/>
      <c r="K456" s="174">
        <v>11</v>
      </c>
      <c r="L456" s="226" t="s">
        <v>73</v>
      </c>
      <c r="M456" s="30"/>
      <c r="N456" s="177">
        <f>I456*K456</f>
        <v>1.1000000000000001</v>
      </c>
      <c r="O456" s="32"/>
      <c r="P456" s="96"/>
      <c r="Q456" s="30"/>
      <c r="R456" s="257"/>
      <c r="S456" s="214">
        <f>N456</f>
        <v>1.1000000000000001</v>
      </c>
      <c r="T456" s="214"/>
      <c r="U456" s="103"/>
      <c r="V456" s="104"/>
      <c r="W456" s="30"/>
      <c r="X456" s="102"/>
      <c r="Y456" s="103"/>
      <c r="Z456" s="103"/>
      <c r="AA456" s="103"/>
      <c r="AB456" s="104"/>
    </row>
    <row r="457" spans="3:28" ht="12" customHeight="1">
      <c r="C457" s="28"/>
      <c r="E457" s="183" t="s">
        <v>93</v>
      </c>
      <c r="F457" s="186"/>
      <c r="G457" s="184"/>
      <c r="H457" s="94"/>
      <c r="I457" s="95"/>
      <c r="J457" s="3"/>
      <c r="K457" s="174"/>
      <c r="L457" s="226"/>
      <c r="M457" s="30"/>
      <c r="N457" s="177"/>
      <c r="O457" s="32"/>
      <c r="P457" s="96"/>
      <c r="Q457" s="30"/>
      <c r="R457" s="102"/>
      <c r="S457" s="103"/>
      <c r="T457" s="103"/>
      <c r="U457" s="103"/>
      <c r="V457" s="104"/>
      <c r="W457" s="30"/>
      <c r="X457" s="102"/>
      <c r="Y457" s="103"/>
      <c r="Z457" s="103"/>
      <c r="AA457" s="103"/>
      <c r="AB457" s="104"/>
    </row>
    <row r="458" spans="3:28" ht="12" customHeight="1">
      <c r="C458" s="28"/>
      <c r="E458" s="107" t="s">
        <v>87</v>
      </c>
      <c r="F458" s="248" t="s">
        <v>88</v>
      </c>
      <c r="G458" s="185"/>
      <c r="H458" s="94" t="s">
        <v>25</v>
      </c>
      <c r="I458" s="43"/>
      <c r="J458" s="3"/>
      <c r="K458" s="174"/>
      <c r="L458" s="226"/>
      <c r="M458" s="30"/>
      <c r="N458" s="178">
        <v>5</v>
      </c>
      <c r="O458" s="32"/>
      <c r="P458" s="96"/>
      <c r="Q458" s="30"/>
      <c r="R458" s="257">
        <f>0.1*N458</f>
        <v>0.5</v>
      </c>
      <c r="S458" s="214">
        <f t="shared" ref="S458:S460" si="86">0.5*N458</f>
        <v>2.5</v>
      </c>
      <c r="T458" s="214">
        <f>0.4*N458</f>
        <v>2</v>
      </c>
      <c r="U458" s="103"/>
      <c r="V458" s="104"/>
      <c r="W458" s="30"/>
      <c r="X458" s="102"/>
      <c r="Y458" s="103"/>
      <c r="Z458" s="103"/>
      <c r="AA458" s="103"/>
      <c r="AB458" s="104"/>
    </row>
    <row r="459" spans="3:28" ht="12" customHeight="1">
      <c r="C459" s="28"/>
      <c r="E459" s="107" t="s">
        <v>89</v>
      </c>
      <c r="F459" s="248" t="s">
        <v>154</v>
      </c>
      <c r="G459" s="185"/>
      <c r="H459" s="274" t="s">
        <v>150</v>
      </c>
      <c r="I459" s="43"/>
      <c r="J459" s="3"/>
      <c r="K459" s="174"/>
      <c r="L459" s="226"/>
      <c r="M459" s="30"/>
      <c r="N459" s="178">
        <v>30</v>
      </c>
      <c r="O459" s="32"/>
      <c r="P459" s="96"/>
      <c r="Q459" s="30"/>
      <c r="R459" s="257">
        <f>0.1*N459</f>
        <v>3</v>
      </c>
      <c r="S459" s="214">
        <f t="shared" si="86"/>
        <v>15</v>
      </c>
      <c r="T459" s="214">
        <f>0.4*N459</f>
        <v>12</v>
      </c>
      <c r="U459" s="103"/>
      <c r="V459" s="104"/>
      <c r="W459" s="30"/>
      <c r="X459" s="102"/>
      <c r="Y459" s="103"/>
      <c r="Z459" s="103"/>
      <c r="AA459" s="103"/>
      <c r="AB459" s="104"/>
    </row>
    <row r="460" spans="3:28" ht="12" customHeight="1">
      <c r="C460" s="28"/>
      <c r="E460" s="107" t="s">
        <v>90</v>
      </c>
      <c r="F460" s="248" t="s">
        <v>108</v>
      </c>
      <c r="G460" s="184"/>
      <c r="H460" s="94" t="s">
        <v>18</v>
      </c>
      <c r="I460" s="43">
        <v>1.25</v>
      </c>
      <c r="J460" s="3"/>
      <c r="K460" s="200">
        <v>48</v>
      </c>
      <c r="L460" s="230" t="s">
        <v>91</v>
      </c>
      <c r="M460" s="30"/>
      <c r="N460" s="177">
        <f>I460*K460</f>
        <v>60</v>
      </c>
      <c r="O460" s="32"/>
      <c r="P460" s="96"/>
      <c r="Q460" s="30"/>
      <c r="R460" s="257">
        <f t="shared" ref="R460" si="87">0.1*N460</f>
        <v>6</v>
      </c>
      <c r="S460" s="214">
        <f t="shared" si="86"/>
        <v>30</v>
      </c>
      <c r="T460" s="214">
        <f t="shared" ref="T460" si="88">0.4*N460</f>
        <v>24</v>
      </c>
      <c r="U460" s="103"/>
      <c r="V460" s="104"/>
      <c r="W460" s="30"/>
      <c r="X460" s="102"/>
      <c r="Y460" s="103"/>
      <c r="Z460" s="103"/>
      <c r="AA460" s="103"/>
      <c r="AB460" s="104"/>
    </row>
    <row r="461" spans="3:28" ht="12" customHeight="1">
      <c r="C461" s="28"/>
      <c r="E461" s="245" t="s">
        <v>102</v>
      </c>
      <c r="F461" s="246"/>
      <c r="G461" s="184"/>
      <c r="H461" s="94"/>
      <c r="I461" s="43"/>
      <c r="J461" s="3"/>
      <c r="K461" s="200"/>
      <c r="L461" s="230"/>
      <c r="M461" s="30"/>
      <c r="N461" s="177"/>
      <c r="O461" s="32"/>
      <c r="P461" s="96"/>
      <c r="Q461" s="30"/>
      <c r="R461" s="257"/>
      <c r="S461" s="214"/>
      <c r="T461" s="214"/>
      <c r="U461" s="103"/>
      <c r="V461" s="104"/>
      <c r="W461" s="30"/>
      <c r="X461" s="102"/>
      <c r="Y461" s="103"/>
      <c r="Z461" s="103"/>
      <c r="AA461" s="103"/>
      <c r="AB461" s="104"/>
    </row>
    <row r="462" spans="3:28" ht="14.15" customHeight="1">
      <c r="C462" s="28"/>
      <c r="E462" s="107" t="s">
        <v>63</v>
      </c>
      <c r="F462" s="249" t="s">
        <v>153</v>
      </c>
      <c r="G462" s="184"/>
      <c r="H462" s="94" t="s">
        <v>18</v>
      </c>
      <c r="I462" s="43">
        <v>10</v>
      </c>
      <c r="J462" s="3"/>
      <c r="K462" s="174">
        <v>1</v>
      </c>
      <c r="L462" s="226"/>
      <c r="M462" s="30"/>
      <c r="N462" s="178">
        <f>I462*K462</f>
        <v>10</v>
      </c>
      <c r="O462" s="32"/>
      <c r="P462" s="96"/>
      <c r="Q462" s="30"/>
      <c r="R462" s="257">
        <f t="shared" ref="R462:R464" si="89">0.1*N462</f>
        <v>1</v>
      </c>
      <c r="S462" s="214">
        <f t="shared" ref="S462:S464" si="90">0.5*N462</f>
        <v>5</v>
      </c>
      <c r="T462" s="214">
        <f t="shared" ref="T462:T464" si="91">0.4*N462</f>
        <v>4</v>
      </c>
      <c r="U462" s="103"/>
      <c r="V462" s="104"/>
      <c r="W462" s="30"/>
      <c r="X462" s="102"/>
      <c r="Y462" s="103"/>
      <c r="Z462" s="103"/>
      <c r="AA462" s="103"/>
      <c r="AB462" s="104"/>
    </row>
    <row r="463" spans="3:28" ht="14.15" customHeight="1">
      <c r="C463" s="28"/>
      <c r="E463" s="107" t="s">
        <v>103</v>
      </c>
      <c r="F463" s="249" t="s">
        <v>101</v>
      </c>
      <c r="G463" s="184"/>
      <c r="H463" s="94" t="s">
        <v>18</v>
      </c>
      <c r="I463" s="43">
        <v>0.12</v>
      </c>
      <c r="J463" s="3"/>
      <c r="K463" s="200">
        <f>33*12</f>
        <v>396</v>
      </c>
      <c r="L463" s="230"/>
      <c r="M463" s="30"/>
      <c r="N463" s="177">
        <f>I463*K463</f>
        <v>47.519999999999996</v>
      </c>
      <c r="O463" s="32"/>
      <c r="P463" s="96"/>
      <c r="Q463" s="30"/>
      <c r="R463" s="257">
        <f t="shared" si="89"/>
        <v>4.7519999999999998</v>
      </c>
      <c r="S463" s="214">
        <f t="shared" si="90"/>
        <v>23.759999999999998</v>
      </c>
      <c r="T463" s="214">
        <f t="shared" si="91"/>
        <v>19.007999999999999</v>
      </c>
      <c r="U463" s="103"/>
      <c r="V463" s="104"/>
      <c r="W463" s="30"/>
      <c r="X463" s="102"/>
      <c r="Y463" s="103"/>
      <c r="Z463" s="103"/>
      <c r="AA463" s="103"/>
      <c r="AB463" s="104"/>
    </row>
    <row r="464" spans="3:28" ht="12" customHeight="1">
      <c r="C464" s="28"/>
      <c r="E464" s="189" t="s">
        <v>59</v>
      </c>
      <c r="F464" s="256" t="s">
        <v>139</v>
      </c>
      <c r="G464" s="190"/>
      <c r="H464" s="94"/>
      <c r="I464" s="43"/>
      <c r="J464" s="3"/>
      <c r="K464" s="175"/>
      <c r="L464" s="231"/>
      <c r="M464" s="30"/>
      <c r="N464" s="234">
        <f>SUM(N452:N463)*0.1</f>
        <v>17.049500000000002</v>
      </c>
      <c r="O464" s="32"/>
      <c r="P464" s="109"/>
      <c r="Q464" s="30"/>
      <c r="R464" s="258">
        <f t="shared" si="89"/>
        <v>1.7049500000000002</v>
      </c>
      <c r="S464" s="259">
        <f t="shared" si="90"/>
        <v>8.5247500000000009</v>
      </c>
      <c r="T464" s="259">
        <f t="shared" si="91"/>
        <v>6.8198000000000008</v>
      </c>
      <c r="U464" s="111"/>
      <c r="V464" s="112"/>
      <c r="W464" s="30"/>
      <c r="X464" s="110"/>
      <c r="Y464" s="111"/>
      <c r="Z464" s="111"/>
      <c r="AA464" s="111"/>
      <c r="AB464" s="112"/>
    </row>
    <row r="465" spans="2:28" ht="4" customHeight="1">
      <c r="E465" s="3"/>
      <c r="J465" s="3"/>
    </row>
    <row r="466" spans="2:28" ht="15" customHeight="1">
      <c r="F466" s="113" t="s">
        <v>19</v>
      </c>
      <c r="G466" s="114"/>
      <c r="H466" s="114"/>
      <c r="I466" s="85"/>
      <c r="K466" s="22"/>
      <c r="L466" s="207"/>
      <c r="M466" s="20"/>
      <c r="N466" s="179">
        <f>SUM(N452:N464)</f>
        <v>187.5445</v>
      </c>
      <c r="O466" s="20"/>
      <c r="P466" s="22"/>
      <c r="Q466" s="20"/>
      <c r="R466" s="180">
        <f>SUM(R453:R464)</f>
        <v>16.956949999999999</v>
      </c>
      <c r="S466" s="181">
        <f>SUM(S453:S464)</f>
        <v>96.259749999999997</v>
      </c>
      <c r="T466" s="181">
        <f>SUM(T453:T464)</f>
        <v>67.827799999999996</v>
      </c>
      <c r="U466" s="182">
        <f>SUM(U453:U464)</f>
        <v>0</v>
      </c>
      <c r="V466" s="180">
        <f>SUM(V453:V464)</f>
        <v>0</v>
      </c>
      <c r="W466" s="115"/>
      <c r="X466" s="160">
        <f>SUM(X453:X464)</f>
        <v>0</v>
      </c>
      <c r="Y466" s="161">
        <f>SUM(Y453:Y464)</f>
        <v>0</v>
      </c>
      <c r="Z466" s="161">
        <f>SUM(Z453:Z464)</f>
        <v>0</v>
      </c>
      <c r="AA466" s="161">
        <f>SUM(AA453:AA464)</f>
        <v>0</v>
      </c>
      <c r="AB466" s="161">
        <f>SUM(AB453:AB464)</f>
        <v>0</v>
      </c>
    </row>
    <row r="467" spans="2:28" ht="10" customHeight="1">
      <c r="F467" s="192"/>
      <c r="G467" s="193"/>
      <c r="H467" s="193"/>
      <c r="I467" s="193"/>
      <c r="K467" s="168"/>
      <c r="L467" s="20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94"/>
      <c r="X467" s="195"/>
      <c r="Y467" s="195"/>
      <c r="Z467" s="195"/>
      <c r="AA467" s="195"/>
      <c r="AB467" s="195"/>
    </row>
    <row r="468" spans="2:28" ht="15" customHeight="1">
      <c r="B468" s="164" t="s">
        <v>107</v>
      </c>
      <c r="C468" s="6"/>
      <c r="E468" s="116" t="s">
        <v>20</v>
      </c>
    </row>
    <row r="469" spans="2:28" ht="15" customHeight="1">
      <c r="B469" s="6"/>
      <c r="C469" s="9"/>
      <c r="E469" s="9" t="s">
        <v>126</v>
      </c>
      <c r="F469" s="237"/>
      <c r="K469" s="333" t="s">
        <v>9</v>
      </c>
      <c r="L469" s="334"/>
      <c r="M469" s="334"/>
      <c r="N469" s="335"/>
      <c r="O469" s="24"/>
      <c r="P469" s="68" t="s">
        <v>10</v>
      </c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70"/>
    </row>
    <row r="470" spans="2:28" ht="15" customHeight="1">
      <c r="E470" s="26" t="s">
        <v>21</v>
      </c>
      <c r="F470" s="84" t="s">
        <v>22</v>
      </c>
      <c r="G470" s="85"/>
      <c r="H470" s="73" t="s">
        <v>4</v>
      </c>
      <c r="I470" s="75" t="s">
        <v>23</v>
      </c>
      <c r="K470" s="71"/>
      <c r="M470" s="24"/>
      <c r="N470" s="72" t="s">
        <v>11</v>
      </c>
      <c r="O470" s="24"/>
      <c r="P470" s="73">
        <v>2011</v>
      </c>
      <c r="Q470" s="74"/>
      <c r="R470" s="75">
        <f>P470+1</f>
        <v>2012</v>
      </c>
      <c r="S470" s="75">
        <f>R470+1</f>
        <v>2013</v>
      </c>
      <c r="T470" s="75">
        <f>S470+1</f>
        <v>2014</v>
      </c>
      <c r="U470" s="75">
        <f>T470+1</f>
        <v>2015</v>
      </c>
      <c r="V470" s="75">
        <f>U470+1</f>
        <v>2016</v>
      </c>
      <c r="W470" s="74"/>
      <c r="X470" s="76">
        <f>V470+1</f>
        <v>2017</v>
      </c>
      <c r="Y470" s="76">
        <f>X470+1</f>
        <v>2018</v>
      </c>
      <c r="Z470" s="76">
        <f>Y470+1</f>
        <v>2019</v>
      </c>
      <c r="AA470" s="76">
        <f>Z470+1</f>
        <v>2020</v>
      </c>
      <c r="AB470" s="76">
        <f>AA470+1</f>
        <v>2021</v>
      </c>
    </row>
    <row r="471" spans="2:28" ht="4" customHeight="1"/>
    <row r="472" spans="2:28" ht="12" customHeight="1">
      <c r="C472" s="28"/>
      <c r="E472" s="77" t="s">
        <v>3</v>
      </c>
      <c r="F472" s="197" t="s">
        <v>224</v>
      </c>
      <c r="G472" s="117"/>
      <c r="H472" s="73"/>
      <c r="I472" s="75"/>
      <c r="J472" s="3"/>
      <c r="K472" s="87"/>
      <c r="L472" s="204"/>
      <c r="M472" s="30"/>
      <c r="N472" s="176">
        <f>N448</f>
        <v>102.89999999999999</v>
      </c>
      <c r="O472" s="32"/>
      <c r="P472" s="88"/>
      <c r="Q472" s="30"/>
      <c r="R472" s="89">
        <f>R448</f>
        <v>0</v>
      </c>
      <c r="S472" s="89">
        <f>S448</f>
        <v>102.89999999999999</v>
      </c>
      <c r="T472" s="89">
        <f>T448</f>
        <v>0</v>
      </c>
      <c r="U472" s="89">
        <f>U448</f>
        <v>0</v>
      </c>
      <c r="V472" s="220">
        <f>V448</f>
        <v>0</v>
      </c>
      <c r="X472" s="199"/>
      <c r="Y472" s="118"/>
      <c r="Z472" s="118"/>
      <c r="AA472" s="118"/>
      <c r="AB472" s="119"/>
    </row>
    <row r="473" spans="2:28" ht="12" customHeight="1">
      <c r="C473" s="28"/>
      <c r="E473" s="105" t="s">
        <v>218</v>
      </c>
      <c r="F473" s="41" t="s">
        <v>221</v>
      </c>
      <c r="G473" s="100"/>
      <c r="H473" s="94"/>
      <c r="I473" s="43"/>
      <c r="J473" s="3"/>
      <c r="K473" s="101"/>
      <c r="L473" s="204"/>
      <c r="M473" s="30"/>
      <c r="N473" s="178">
        <f>N452</f>
        <v>6.5</v>
      </c>
      <c r="O473" s="32"/>
      <c r="P473" s="96"/>
      <c r="Q473" s="30"/>
      <c r="R473" s="157">
        <f>SUM(R446:R449)</f>
        <v>0</v>
      </c>
      <c r="S473" s="157">
        <f t="shared" ref="S473:V473" si="92">SUM(S446:S449)</f>
        <v>195.29999999999998</v>
      </c>
      <c r="T473" s="157">
        <f t="shared" si="92"/>
        <v>0</v>
      </c>
      <c r="U473" s="157">
        <f t="shared" si="92"/>
        <v>0</v>
      </c>
      <c r="V473" s="157">
        <f t="shared" si="92"/>
        <v>0</v>
      </c>
      <c r="W473" s="30"/>
      <c r="X473" s="102"/>
      <c r="Y473" s="103"/>
      <c r="Z473" s="103"/>
      <c r="AA473" s="103"/>
      <c r="AB473" s="104"/>
    </row>
    <row r="474" spans="2:28" ht="12" customHeight="1">
      <c r="C474" s="28"/>
      <c r="E474" s="105" t="s">
        <v>29</v>
      </c>
      <c r="F474" s="41" t="s">
        <v>220</v>
      </c>
      <c r="G474" s="100"/>
      <c r="H474" s="94"/>
      <c r="I474" s="43"/>
      <c r="J474" s="3"/>
      <c r="K474" s="101"/>
      <c r="L474" s="204"/>
      <c r="M474" s="30"/>
      <c r="N474" s="178">
        <f>SUM(N453:N456)</f>
        <v>11.475</v>
      </c>
      <c r="O474" s="32"/>
      <c r="P474" s="96"/>
      <c r="Q474" s="30"/>
      <c r="R474" s="157">
        <f>SUM(R453:R456)</f>
        <v>0</v>
      </c>
      <c r="S474" s="157">
        <f t="shared" ref="S474:V474" si="93">SUM(S453:S456)</f>
        <v>11.475</v>
      </c>
      <c r="T474" s="157">
        <f t="shared" si="93"/>
        <v>0</v>
      </c>
      <c r="U474" s="157">
        <f t="shared" si="93"/>
        <v>0</v>
      </c>
      <c r="V474" s="157">
        <f t="shared" si="93"/>
        <v>0</v>
      </c>
      <c r="W474" s="30"/>
      <c r="X474" s="102"/>
      <c r="Y474" s="103"/>
      <c r="Z474" s="103"/>
      <c r="AA474" s="103"/>
      <c r="AB474" s="104"/>
    </row>
    <row r="475" spans="2:28" ht="12" customHeight="1">
      <c r="C475" s="28"/>
      <c r="E475" s="105" t="s">
        <v>93</v>
      </c>
      <c r="F475" s="41" t="s">
        <v>94</v>
      </c>
      <c r="G475" s="100"/>
      <c r="H475" s="94"/>
      <c r="I475" s="43"/>
      <c r="J475" s="3"/>
      <c r="K475" s="101"/>
      <c r="L475" s="204"/>
      <c r="M475" s="30"/>
      <c r="N475" s="178">
        <f>SUM(N458:N459)</f>
        <v>35</v>
      </c>
      <c r="O475" s="32"/>
      <c r="P475" s="96"/>
      <c r="Q475" s="30"/>
      <c r="R475" s="178">
        <f>SUM(R458:R459)</f>
        <v>3.5</v>
      </c>
      <c r="S475" s="178">
        <f t="shared" ref="S475:V475" si="94">SUM(S458:S459)</f>
        <v>17.5</v>
      </c>
      <c r="T475" s="178">
        <f t="shared" si="94"/>
        <v>14</v>
      </c>
      <c r="U475" s="178">
        <f t="shared" si="94"/>
        <v>0</v>
      </c>
      <c r="V475" s="178">
        <f t="shared" si="94"/>
        <v>0</v>
      </c>
      <c r="W475" s="30"/>
      <c r="X475" s="102"/>
      <c r="Y475" s="103"/>
      <c r="Z475" s="103"/>
      <c r="AA475" s="103"/>
      <c r="AB475" s="104"/>
    </row>
    <row r="476" spans="2:28" ht="12" customHeight="1">
      <c r="C476" s="28"/>
      <c r="E476" s="105" t="s">
        <v>95</v>
      </c>
      <c r="F476" s="41" t="s">
        <v>108</v>
      </c>
      <c r="G476" s="100"/>
      <c r="H476" s="94"/>
      <c r="I476" s="43"/>
      <c r="J476" s="3"/>
      <c r="K476" s="101"/>
      <c r="L476" s="204"/>
      <c r="M476" s="30"/>
      <c r="N476" s="178">
        <f>SUM(N460:N460)</f>
        <v>60</v>
      </c>
      <c r="O476" s="32"/>
      <c r="P476" s="96"/>
      <c r="Q476" s="30"/>
      <c r="R476" s="178">
        <f t="shared" ref="R476:V478" si="95">SUM(R462:R462)</f>
        <v>1</v>
      </c>
      <c r="S476" s="178">
        <f t="shared" si="95"/>
        <v>5</v>
      </c>
      <c r="T476" s="178">
        <f t="shared" si="95"/>
        <v>4</v>
      </c>
      <c r="U476" s="178">
        <f t="shared" si="95"/>
        <v>0</v>
      </c>
      <c r="V476" s="178">
        <f t="shared" si="95"/>
        <v>0</v>
      </c>
      <c r="W476" s="30"/>
      <c r="X476" s="102"/>
      <c r="Y476" s="103"/>
      <c r="Z476" s="103"/>
      <c r="AA476" s="103"/>
      <c r="AB476" s="104"/>
    </row>
    <row r="477" spans="2:28" ht="12" customHeight="1">
      <c r="C477" s="28"/>
      <c r="E477" s="105" t="s">
        <v>105</v>
      </c>
      <c r="F477" s="41" t="s">
        <v>226</v>
      </c>
      <c r="G477" s="100"/>
      <c r="H477" s="94"/>
      <c r="I477" s="43"/>
      <c r="J477" s="3"/>
      <c r="K477" s="101"/>
      <c r="L477" s="204"/>
      <c r="M477" s="30"/>
      <c r="N477" s="178">
        <f>SUM(N462:N462)</f>
        <v>10</v>
      </c>
      <c r="O477" s="32"/>
      <c r="P477" s="96"/>
      <c r="Q477" s="30"/>
      <c r="R477" s="178">
        <f t="shared" si="95"/>
        <v>4.7519999999999998</v>
      </c>
      <c r="S477" s="178">
        <f t="shared" si="95"/>
        <v>23.759999999999998</v>
      </c>
      <c r="T477" s="178">
        <f t="shared" si="95"/>
        <v>19.007999999999999</v>
      </c>
      <c r="U477" s="178">
        <f t="shared" si="95"/>
        <v>0</v>
      </c>
      <c r="V477" s="178">
        <f t="shared" si="95"/>
        <v>0</v>
      </c>
      <c r="W477" s="30"/>
      <c r="X477" s="102"/>
      <c r="Y477" s="103"/>
      <c r="Z477" s="103"/>
      <c r="AA477" s="103"/>
      <c r="AB477" s="104"/>
    </row>
    <row r="478" spans="2:28" ht="12" customHeight="1">
      <c r="C478" s="28"/>
      <c r="E478" s="105" t="s">
        <v>105</v>
      </c>
      <c r="F478" s="41" t="s">
        <v>101</v>
      </c>
      <c r="G478" s="100"/>
      <c r="H478" s="94"/>
      <c r="I478" s="43"/>
      <c r="J478" s="3"/>
      <c r="K478" s="101"/>
      <c r="L478" s="204"/>
      <c r="M478" s="30"/>
      <c r="N478" s="178">
        <f>SUM(N463:N463)</f>
        <v>47.519999999999996</v>
      </c>
      <c r="O478" s="32"/>
      <c r="P478" s="96"/>
      <c r="Q478" s="30"/>
      <c r="R478" s="178">
        <f t="shared" si="95"/>
        <v>1.7049500000000002</v>
      </c>
      <c r="S478" s="178">
        <f t="shared" si="95"/>
        <v>8.5247500000000009</v>
      </c>
      <c r="T478" s="178">
        <f t="shared" si="95"/>
        <v>6.8198000000000008</v>
      </c>
      <c r="U478" s="178">
        <f t="shared" si="95"/>
        <v>0</v>
      </c>
      <c r="V478" s="178">
        <f t="shared" si="95"/>
        <v>0</v>
      </c>
      <c r="W478" s="30"/>
      <c r="X478" s="102"/>
      <c r="Y478" s="103"/>
      <c r="Z478" s="103"/>
      <c r="AA478" s="103"/>
      <c r="AB478" s="104"/>
    </row>
    <row r="479" spans="2:28" ht="12" customHeight="1">
      <c r="C479" s="28"/>
      <c r="E479" s="108" t="s">
        <v>59</v>
      </c>
      <c r="F479" s="256" t="s">
        <v>139</v>
      </c>
      <c r="G479" s="120"/>
      <c r="H479" s="94"/>
      <c r="I479" s="43"/>
      <c r="J479" s="3"/>
      <c r="K479" s="121"/>
      <c r="L479" s="204"/>
      <c r="M479" s="30"/>
      <c r="N479" s="234">
        <f>N464</f>
        <v>17.049500000000002</v>
      </c>
      <c r="O479" s="32"/>
      <c r="P479" s="109"/>
      <c r="Q479" s="30"/>
      <c r="R479" s="163">
        <f t="shared" ref="R479:V479" si="96">R464</f>
        <v>1.7049500000000002</v>
      </c>
      <c r="S479" s="163">
        <f t="shared" si="96"/>
        <v>8.5247500000000009</v>
      </c>
      <c r="T479" s="163">
        <f t="shared" si="96"/>
        <v>6.8198000000000008</v>
      </c>
      <c r="U479" s="163">
        <f t="shared" si="96"/>
        <v>0</v>
      </c>
      <c r="V479" s="163">
        <f t="shared" si="96"/>
        <v>0</v>
      </c>
      <c r="W479" s="30"/>
      <c r="X479" s="218"/>
      <c r="Y479" s="111"/>
      <c r="Z479" s="111"/>
      <c r="AA479" s="111"/>
      <c r="AB479" s="112"/>
    </row>
    <row r="480" spans="2:28" ht="4" customHeight="1">
      <c r="E480" s="3"/>
      <c r="J480" s="3"/>
    </row>
    <row r="481" spans="2:28" ht="15" customHeight="1">
      <c r="F481" s="122" t="s">
        <v>24</v>
      </c>
      <c r="G481" s="114"/>
      <c r="H481" s="114"/>
      <c r="I481" s="85"/>
      <c r="K481" s="22"/>
      <c r="L481" s="207"/>
      <c r="M481" s="20"/>
      <c r="N481" s="162">
        <f>SUM(N472:N479)</f>
        <v>290.44450000000001</v>
      </c>
      <c r="O481" s="20"/>
      <c r="P481" s="22"/>
      <c r="Q481" s="20"/>
      <c r="R481" s="198">
        <f>SUM(R472:R479)</f>
        <v>12.661899999999999</v>
      </c>
      <c r="S481" s="198">
        <f>SUM(S472:S479)</f>
        <v>372.98449999999997</v>
      </c>
      <c r="T481" s="198">
        <f>SUM(T472:T479)</f>
        <v>50.647599999999997</v>
      </c>
      <c r="U481" s="198">
        <f>SUM(U472:U479)</f>
        <v>0</v>
      </c>
      <c r="V481" s="198">
        <f>SUM(V472:V479)</f>
        <v>0</v>
      </c>
      <c r="W481" s="115"/>
      <c r="X481" s="160">
        <f>SUM(X472:X479)</f>
        <v>0</v>
      </c>
      <c r="Y481" s="160">
        <f>SUM(Y472:Y479)</f>
        <v>0</v>
      </c>
      <c r="Z481" s="160">
        <f>SUM(Z472:Z479)</f>
        <v>0</v>
      </c>
      <c r="AA481" s="160">
        <f>SUM(AA472:AA479)</f>
        <v>0</v>
      </c>
      <c r="AB481" s="160">
        <f>SUM(AB472:AB479)</f>
        <v>0</v>
      </c>
    </row>
    <row r="482" spans="2:28" ht="10" customHeight="1"/>
    <row r="483" spans="2:28" ht="12" customHeight="1">
      <c r="N483" s="67"/>
    </row>
    <row r="484" spans="2:28" ht="12" customHeight="1"/>
    <row r="485" spans="2:28" ht="12" customHeight="1"/>
    <row r="486" spans="2:28" ht="12" customHeight="1"/>
    <row r="487" spans="2:28" ht="12" customHeight="1"/>
    <row r="488" spans="2:28" ht="12" customHeight="1"/>
    <row r="489" spans="2:28" ht="10" customHeight="1" thickBot="1"/>
    <row r="490" spans="2:28" ht="18" customHeight="1" thickBot="1">
      <c r="B490" s="315" t="s">
        <v>77</v>
      </c>
      <c r="C490" s="316"/>
      <c r="D490" s="316"/>
      <c r="E490" s="316"/>
      <c r="F490" s="316"/>
      <c r="G490" s="316"/>
      <c r="H490" s="316"/>
      <c r="I490" s="316"/>
      <c r="J490" s="316"/>
      <c r="K490" s="316"/>
      <c r="L490" s="316"/>
      <c r="M490" s="316"/>
      <c r="N490" s="316"/>
      <c r="O490" s="316"/>
      <c r="P490" s="316"/>
      <c r="Q490" s="316"/>
      <c r="R490" s="316"/>
      <c r="S490" s="316"/>
      <c r="T490" s="316"/>
      <c r="U490" s="316"/>
      <c r="V490" s="316"/>
      <c r="W490" s="316"/>
      <c r="X490" s="316"/>
      <c r="Y490" s="316"/>
      <c r="Z490" s="316"/>
      <c r="AA490" s="316"/>
      <c r="AB490" s="317"/>
    </row>
    <row r="491" spans="2:28" ht="10" customHeight="1" thickBot="1"/>
    <row r="492" spans="2:28" ht="15" customHeight="1" thickBot="1">
      <c r="B492" s="164" t="s">
        <v>109</v>
      </c>
      <c r="C492" s="6"/>
      <c r="D492" s="132"/>
      <c r="E492" s="252" t="s">
        <v>132</v>
      </c>
      <c r="F492" s="7"/>
      <c r="G492" s="8"/>
    </row>
    <row r="493" spans="2:28" ht="15" customHeight="1">
      <c r="B493" s="6"/>
      <c r="C493" s="9"/>
      <c r="D493" s="130"/>
      <c r="E493" s="9" t="s">
        <v>126</v>
      </c>
      <c r="F493" s="10" t="s">
        <v>140</v>
      </c>
      <c r="G493" s="11"/>
    </row>
    <row r="494" spans="2:28" ht="12" customHeight="1">
      <c r="B494" s="6"/>
      <c r="C494" s="6"/>
      <c r="D494" s="132"/>
      <c r="E494" s="12"/>
      <c r="F494" s="26" t="s">
        <v>162</v>
      </c>
      <c r="G494" s="11"/>
    </row>
    <row r="495" spans="2:28" ht="12" customHeight="1">
      <c r="B495" s="6"/>
      <c r="C495" s="6"/>
      <c r="D495" s="132"/>
      <c r="E495" s="12"/>
      <c r="F495" s="13" t="s">
        <v>7</v>
      </c>
      <c r="G495" s="14">
        <v>2014</v>
      </c>
      <c r="P495" s="137">
        <v>2011</v>
      </c>
      <c r="Q495" s="138"/>
      <c r="R495" s="137">
        <f>P495+1</f>
        <v>2012</v>
      </c>
      <c r="S495" s="137">
        <f>R495+1</f>
        <v>2013</v>
      </c>
      <c r="T495" s="137">
        <f>S495+1</f>
        <v>2014</v>
      </c>
      <c r="U495" s="137">
        <f>T495+1</f>
        <v>2015</v>
      </c>
      <c r="V495" s="137">
        <f>U495+1</f>
        <v>2016</v>
      </c>
      <c r="W495" s="138"/>
      <c r="X495" s="139">
        <f>V495+1</f>
        <v>2017</v>
      </c>
      <c r="Y495" s="139">
        <f>X495+1</f>
        <v>2018</v>
      </c>
      <c r="Z495" s="139">
        <f>Y495+1</f>
        <v>2019</v>
      </c>
      <c r="AA495" s="139">
        <f>Z495+1</f>
        <v>2020</v>
      </c>
      <c r="AB495" s="139">
        <f>AA495+1</f>
        <v>2021</v>
      </c>
    </row>
    <row r="496" spans="2:28" ht="12" customHeight="1">
      <c r="F496" s="1"/>
      <c r="G496" s="209" t="s">
        <v>68</v>
      </c>
      <c r="H496" s="18"/>
      <c r="I496" s="18"/>
      <c r="K496" s="19"/>
      <c r="L496" s="203"/>
      <c r="M496" s="20"/>
      <c r="N496" s="21" t="s">
        <v>0</v>
      </c>
      <c r="O496" s="20"/>
      <c r="P496" s="22"/>
      <c r="Q496" s="20"/>
      <c r="R496" s="140"/>
      <c r="S496" s="141"/>
      <c r="T496" s="142">
        <v>23.7</v>
      </c>
      <c r="U496" s="140">
        <v>33.799999999999997</v>
      </c>
      <c r="V496" s="143">
        <v>30.5</v>
      </c>
      <c r="W496" s="23"/>
      <c r="X496" s="144">
        <v>28.3</v>
      </c>
      <c r="Y496" s="144">
        <v>25.700000000000003</v>
      </c>
      <c r="Z496" s="144">
        <v>19.100000000000001</v>
      </c>
      <c r="AA496" s="144">
        <v>15.1</v>
      </c>
      <c r="AB496" s="144">
        <v>15.1</v>
      </c>
    </row>
    <row r="497" spans="2:29" ht="12" customHeight="1">
      <c r="F497" s="1"/>
      <c r="G497" s="210" t="s">
        <v>69</v>
      </c>
      <c r="H497" s="18"/>
      <c r="I497" s="18"/>
      <c r="K497" s="19"/>
      <c r="L497" s="203"/>
      <c r="M497" s="20"/>
      <c r="N497" s="21" t="s">
        <v>1</v>
      </c>
      <c r="O497" s="20"/>
      <c r="P497" s="22"/>
      <c r="Q497" s="20"/>
      <c r="R497" s="140"/>
      <c r="S497" s="141"/>
      <c r="T497" s="142">
        <v>11.600000000000001</v>
      </c>
      <c r="U497" s="140">
        <v>16.600000000000001</v>
      </c>
      <c r="V497" s="143">
        <v>15.899999999999999</v>
      </c>
      <c r="W497" s="23"/>
      <c r="X497" s="144">
        <v>15.1</v>
      </c>
      <c r="Y497" s="144">
        <v>14.100000000000001</v>
      </c>
      <c r="Z497" s="144">
        <v>10.600000000000001</v>
      </c>
      <c r="AA497" s="144">
        <v>7.9</v>
      </c>
      <c r="AB497" s="144">
        <v>7.9</v>
      </c>
    </row>
    <row r="498" spans="2:29" ht="10" customHeight="1">
      <c r="F498" s="1"/>
      <c r="G498" s="165"/>
      <c r="H498" s="166"/>
      <c r="I498" s="166"/>
      <c r="K498" s="167"/>
      <c r="L498" s="204"/>
      <c r="M498" s="168"/>
      <c r="N498" s="169"/>
      <c r="O498" s="168"/>
      <c r="P498" s="168"/>
      <c r="Q498" s="168"/>
      <c r="R498" s="170"/>
      <c r="S498" s="170"/>
      <c r="T498" s="170"/>
      <c r="U498" s="170"/>
      <c r="V498" s="170"/>
      <c r="W498" s="171"/>
      <c r="X498" s="172"/>
      <c r="Y498" s="172"/>
      <c r="Z498" s="172"/>
      <c r="AA498" s="172"/>
      <c r="AB498" s="172"/>
    </row>
    <row r="499" spans="2:29" ht="12" customHeight="1">
      <c r="E499" s="26" t="s">
        <v>8</v>
      </c>
      <c r="F499" s="27" t="s">
        <v>27</v>
      </c>
      <c r="O499" s="24"/>
      <c r="P499" s="134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6"/>
    </row>
    <row r="500" spans="2:29" ht="12" customHeight="1">
      <c r="C500" s="25"/>
      <c r="F500" s="1"/>
      <c r="G500" s="5"/>
      <c r="O500" s="24"/>
      <c r="P500" s="15">
        <v>2011</v>
      </c>
      <c r="Q500" s="16"/>
      <c r="R500" s="16">
        <f>P500+1</f>
        <v>2012</v>
      </c>
      <c r="S500" s="16">
        <f>R500+1</f>
        <v>2013</v>
      </c>
      <c r="T500" s="16">
        <f>S500+1</f>
        <v>2014</v>
      </c>
      <c r="U500" s="16">
        <f>T500+1</f>
        <v>2015</v>
      </c>
      <c r="V500" s="16">
        <f>U500+1</f>
        <v>2016</v>
      </c>
      <c r="W500" s="16"/>
      <c r="X500" s="17">
        <f>V500+1</f>
        <v>2017</v>
      </c>
      <c r="Y500" s="17">
        <f>X500+1</f>
        <v>2018</v>
      </c>
      <c r="Z500" s="17">
        <f>Y500+1</f>
        <v>2019</v>
      </c>
      <c r="AA500" s="17">
        <f>Z500+1</f>
        <v>2020</v>
      </c>
      <c r="AB500" s="17">
        <f>AA500+1</f>
        <v>2021</v>
      </c>
      <c r="AC500" s="24"/>
    </row>
    <row r="501" spans="2:29" ht="4" customHeight="1"/>
    <row r="502" spans="2:29" ht="12" customHeight="1">
      <c r="D502" s="242">
        <v>1</v>
      </c>
      <c r="E502" s="125" t="s">
        <v>209</v>
      </c>
      <c r="F502" s="125" t="s">
        <v>210</v>
      </c>
      <c r="G502" s="145"/>
      <c r="H502" s="150"/>
      <c r="I502" s="151"/>
      <c r="J502" s="3"/>
      <c r="K502" s="295">
        <v>4</v>
      </c>
      <c r="L502" s="201"/>
      <c r="M502" s="30"/>
      <c r="N502" s="87"/>
      <c r="O502" s="32"/>
      <c r="P502" s="33"/>
      <c r="Q502" s="30"/>
      <c r="R502" s="34"/>
      <c r="S502" s="35">
        <f>K502</f>
        <v>4</v>
      </c>
      <c r="T502" s="35"/>
      <c r="U502" s="35"/>
      <c r="V502" s="36"/>
      <c r="W502" s="30"/>
      <c r="X502" s="37"/>
      <c r="Y502" s="38"/>
      <c r="Z502" s="38"/>
      <c r="AA502" s="38"/>
      <c r="AB502" s="39"/>
    </row>
    <row r="503" spans="2:29" ht="12" customHeight="1">
      <c r="D503" s="243">
        <v>2</v>
      </c>
      <c r="E503" s="126" t="s">
        <v>222</v>
      </c>
      <c r="F503" s="126" t="s">
        <v>223</v>
      </c>
      <c r="G503" s="146"/>
      <c r="H503" s="152"/>
      <c r="I503" s="153"/>
      <c r="J503" s="3"/>
      <c r="K503" s="296">
        <v>2</v>
      </c>
      <c r="L503" s="201"/>
      <c r="M503" s="30"/>
      <c r="N503" s="101"/>
      <c r="O503" s="32"/>
      <c r="P503" s="45"/>
      <c r="Q503" s="30"/>
      <c r="R503" s="46"/>
      <c r="S503" s="47">
        <f>K503</f>
        <v>2</v>
      </c>
      <c r="T503" s="47"/>
      <c r="U503" s="47"/>
      <c r="V503" s="48"/>
      <c r="W503" s="30"/>
      <c r="X503" s="49"/>
      <c r="Y503" s="50"/>
      <c r="Z503" s="50"/>
      <c r="AA503" s="50"/>
      <c r="AB503" s="51"/>
    </row>
    <row r="504" spans="2:29" ht="12" customHeight="1">
      <c r="D504" s="243">
        <v>3</v>
      </c>
      <c r="E504" s="126" t="s">
        <v>211</v>
      </c>
      <c r="F504" s="126" t="s">
        <v>26</v>
      </c>
      <c r="G504" s="146"/>
      <c r="H504" s="152"/>
      <c r="I504" s="153"/>
      <c r="J504" s="3"/>
      <c r="K504" s="44">
        <v>2</v>
      </c>
      <c r="L504" s="201"/>
      <c r="M504" s="30"/>
      <c r="N504" s="53"/>
      <c r="O504" s="32"/>
      <c r="P504" s="45"/>
      <c r="Q504" s="30"/>
      <c r="R504" s="46"/>
      <c r="S504" s="47">
        <f t="shared" ref="S504" si="97">K504</f>
        <v>2</v>
      </c>
      <c r="T504" s="47"/>
      <c r="U504" s="47"/>
      <c r="V504" s="48"/>
      <c r="W504" s="30"/>
      <c r="X504" s="49"/>
      <c r="Y504" s="50"/>
      <c r="Z504" s="50"/>
      <c r="AA504" s="50"/>
      <c r="AB504" s="51"/>
    </row>
    <row r="505" spans="2:29" ht="12" customHeight="1">
      <c r="D505" s="244">
        <v>4</v>
      </c>
      <c r="E505" s="127" t="s">
        <v>212</v>
      </c>
      <c r="F505" s="127" t="s">
        <v>26</v>
      </c>
      <c r="G505" s="147"/>
      <c r="H505" s="154"/>
      <c r="I505" s="155"/>
      <c r="J505" s="3"/>
      <c r="K505" s="297">
        <v>4</v>
      </c>
      <c r="L505" s="201"/>
      <c r="M505" s="30"/>
      <c r="N505" s="53"/>
      <c r="O505" s="32"/>
      <c r="P505" s="45"/>
      <c r="Q505" s="30"/>
      <c r="R505" s="46"/>
      <c r="S505" s="47">
        <f>K505</f>
        <v>4</v>
      </c>
      <c r="T505" s="47"/>
      <c r="U505" s="47"/>
      <c r="V505" s="48"/>
      <c r="W505" s="30"/>
      <c r="X505" s="49"/>
      <c r="Y505" s="50"/>
      <c r="Z505" s="50"/>
      <c r="AA505" s="50"/>
      <c r="AB505" s="51"/>
    </row>
    <row r="506" spans="2:29" s="67" customFormat="1" ht="15" customHeight="1">
      <c r="B506" s="54"/>
      <c r="C506" s="55"/>
      <c r="D506" s="133"/>
      <c r="E506" s="124"/>
      <c r="F506" s="128" t="s">
        <v>2</v>
      </c>
      <c r="G506" s="129"/>
      <c r="H506" s="148"/>
      <c r="I506" s="149"/>
      <c r="J506" s="61"/>
      <c r="K506" s="29">
        <f>SUM(K502:K505)</f>
        <v>12</v>
      </c>
      <c r="L506" s="205"/>
      <c r="M506" s="62"/>
      <c r="N506" s="31"/>
      <c r="O506" s="61"/>
      <c r="P506" s="63"/>
      <c r="Q506" s="62"/>
      <c r="R506" s="64">
        <f>SUM(R502:R505)</f>
        <v>0</v>
      </c>
      <c r="S506" s="64">
        <f>SUM(S502:S505)</f>
        <v>12</v>
      </c>
      <c r="T506" s="64">
        <f>SUM(T502:T505)</f>
        <v>0</v>
      </c>
      <c r="U506" s="64">
        <f>SUM(U502:U505)</f>
        <v>0</v>
      </c>
      <c r="V506" s="64">
        <f>SUM(V502:V505)</f>
        <v>0</v>
      </c>
      <c r="W506" s="62"/>
      <c r="X506" s="65"/>
      <c r="Y506" s="59"/>
      <c r="Z506" s="59"/>
      <c r="AA506" s="59"/>
      <c r="AB506" s="66"/>
    </row>
    <row r="507" spans="2:29" ht="9" customHeight="1"/>
    <row r="508" spans="2:29" ht="14.15" customHeight="1">
      <c r="L508" s="1"/>
      <c r="O508" s="24"/>
      <c r="P508" s="84" t="s">
        <v>10</v>
      </c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  <c r="AB508" s="222"/>
    </row>
    <row r="509" spans="2:29" ht="15" customHeight="1">
      <c r="E509" s="26" t="s">
        <v>28</v>
      </c>
      <c r="K509" s="137" t="s">
        <v>67</v>
      </c>
      <c r="L509" s="211" t="s">
        <v>66</v>
      </c>
      <c r="M509" s="24"/>
      <c r="N509" s="212" t="s">
        <v>11</v>
      </c>
      <c r="O509" s="24"/>
      <c r="P509" s="137">
        <v>2011</v>
      </c>
      <c r="Q509" s="5"/>
      <c r="R509" s="137">
        <f>P509+1</f>
        <v>2012</v>
      </c>
      <c r="S509" s="137">
        <f>R509+1</f>
        <v>2013</v>
      </c>
      <c r="T509" s="137">
        <f>S509+1</f>
        <v>2014</v>
      </c>
      <c r="U509" s="137">
        <f>T509+1</f>
        <v>2015</v>
      </c>
      <c r="V509" s="137">
        <f>U509+1</f>
        <v>2016</v>
      </c>
      <c r="W509" s="5"/>
      <c r="X509" s="139">
        <f>V509+1</f>
        <v>2017</v>
      </c>
      <c r="Y509" s="139">
        <f>X509+1</f>
        <v>2018</v>
      </c>
      <c r="Z509" s="139">
        <f>Y509+1</f>
        <v>2019</v>
      </c>
      <c r="AA509" s="139">
        <f>Z509+1</f>
        <v>2020</v>
      </c>
      <c r="AB509" s="139">
        <f>AA509+1</f>
        <v>2021</v>
      </c>
    </row>
    <row r="510" spans="2:29" ht="4.5" customHeight="1"/>
    <row r="511" spans="2:29" ht="12" customHeight="1">
      <c r="D511" s="242">
        <v>1</v>
      </c>
      <c r="E511" s="125" t="s">
        <v>209</v>
      </c>
      <c r="F511" s="125" t="s">
        <v>213</v>
      </c>
      <c r="G511" s="299">
        <f>(3*1+2.5)/4</f>
        <v>1.375</v>
      </c>
      <c r="H511" s="78" t="s">
        <v>12</v>
      </c>
      <c r="I511" s="79" t="s">
        <v>13</v>
      </c>
      <c r="J511" s="3"/>
      <c r="K511" s="80">
        <f>K502</f>
        <v>4</v>
      </c>
      <c r="L511" s="225" t="s">
        <v>13</v>
      </c>
      <c r="M511" s="30"/>
      <c r="N511" s="156">
        <f>G511*K511</f>
        <v>5.5</v>
      </c>
      <c r="O511" s="32"/>
      <c r="P511" s="33"/>
      <c r="Q511" s="30"/>
      <c r="R511" s="81">
        <f t="shared" ref="R511:V514" si="98">$G511*R502</f>
        <v>0</v>
      </c>
      <c r="S511" s="81">
        <f t="shared" si="98"/>
        <v>5.5</v>
      </c>
      <c r="T511" s="81">
        <f t="shared" si="98"/>
        <v>0</v>
      </c>
      <c r="U511" s="81">
        <f t="shared" si="98"/>
        <v>0</v>
      </c>
      <c r="V511" s="81">
        <f t="shared" si="98"/>
        <v>0</v>
      </c>
      <c r="W511" s="30"/>
      <c r="X511" s="37"/>
      <c r="Y511" s="38"/>
      <c r="Z511" s="38"/>
      <c r="AA511" s="38"/>
      <c r="AB511" s="39"/>
    </row>
    <row r="512" spans="2:29" ht="12" customHeight="1">
      <c r="D512" s="243">
        <v>2</v>
      </c>
      <c r="E512" s="126" t="s">
        <v>222</v>
      </c>
      <c r="F512" s="126" t="s">
        <v>214</v>
      </c>
      <c r="G512" s="300">
        <f>(2.3+2.7)/2</f>
        <v>2.5</v>
      </c>
      <c r="H512" s="42" t="s">
        <v>12</v>
      </c>
      <c r="I512" s="43" t="s">
        <v>13</v>
      </c>
      <c r="J512" s="3"/>
      <c r="K512" s="52">
        <f>K503</f>
        <v>2</v>
      </c>
      <c r="L512" s="226" t="s">
        <v>13</v>
      </c>
      <c r="M512" s="30"/>
      <c r="N512" s="157">
        <f>G512*K512</f>
        <v>5</v>
      </c>
      <c r="O512" s="32"/>
      <c r="P512" s="45"/>
      <c r="Q512" s="30"/>
      <c r="R512" s="81">
        <f t="shared" si="98"/>
        <v>0</v>
      </c>
      <c r="S512" s="81">
        <f t="shared" si="98"/>
        <v>5</v>
      </c>
      <c r="T512" s="81">
        <f t="shared" si="98"/>
        <v>0</v>
      </c>
      <c r="U512" s="81">
        <f t="shared" si="98"/>
        <v>0</v>
      </c>
      <c r="V512" s="81">
        <f t="shared" si="98"/>
        <v>0</v>
      </c>
      <c r="W512" s="30"/>
      <c r="X512" s="49"/>
      <c r="Y512" s="50"/>
      <c r="Z512" s="50"/>
      <c r="AA512" s="50"/>
      <c r="AB512" s="51"/>
    </row>
    <row r="513" spans="2:28" ht="12" customHeight="1">
      <c r="D513" s="243">
        <v>3</v>
      </c>
      <c r="E513" s="126" t="s">
        <v>211</v>
      </c>
      <c r="F513" s="126" t="s">
        <v>26</v>
      </c>
      <c r="G513" s="300">
        <f>(17.5+22)/2</f>
        <v>19.75</v>
      </c>
      <c r="H513" s="42" t="s">
        <v>12</v>
      </c>
      <c r="I513" s="43" t="s">
        <v>13</v>
      </c>
      <c r="J513" s="3"/>
      <c r="K513" s="52">
        <f>K504</f>
        <v>2</v>
      </c>
      <c r="L513" s="226" t="s">
        <v>13</v>
      </c>
      <c r="M513" s="30"/>
      <c r="N513" s="157">
        <f>G513*K513</f>
        <v>39.5</v>
      </c>
      <c r="O513" s="32"/>
      <c r="P513" s="45"/>
      <c r="Q513" s="30"/>
      <c r="R513" s="81">
        <f t="shared" si="98"/>
        <v>0</v>
      </c>
      <c r="S513" s="81">
        <f t="shared" si="98"/>
        <v>39.5</v>
      </c>
      <c r="T513" s="81">
        <f t="shared" si="98"/>
        <v>0</v>
      </c>
      <c r="U513" s="81">
        <f t="shared" si="98"/>
        <v>0</v>
      </c>
      <c r="V513" s="81">
        <f t="shared" si="98"/>
        <v>0</v>
      </c>
      <c r="W513" s="30"/>
      <c r="X513" s="49"/>
      <c r="Y513" s="50"/>
      <c r="Z513" s="50"/>
      <c r="AA513" s="50"/>
      <c r="AB513" s="51"/>
    </row>
    <row r="514" spans="2:28" ht="12" customHeight="1">
      <c r="D514" s="244">
        <v>4</v>
      </c>
      <c r="E514" s="127" t="s">
        <v>212</v>
      </c>
      <c r="F514" s="127" t="s">
        <v>26</v>
      </c>
      <c r="G514" s="300">
        <f>(3*13.7+11.8)/4</f>
        <v>13.224999999999998</v>
      </c>
      <c r="H514" s="42" t="s">
        <v>12</v>
      </c>
      <c r="I514" s="43" t="s">
        <v>13</v>
      </c>
      <c r="J514" s="3"/>
      <c r="K514" s="52">
        <f>K505</f>
        <v>4</v>
      </c>
      <c r="L514" s="227" t="s">
        <v>13</v>
      </c>
      <c r="M514" s="30"/>
      <c r="N514" s="157">
        <f>G514*K514</f>
        <v>52.899999999999991</v>
      </c>
      <c r="O514" s="32"/>
      <c r="P514" s="45"/>
      <c r="Q514" s="30"/>
      <c r="R514" s="81">
        <f t="shared" si="98"/>
        <v>0</v>
      </c>
      <c r="S514" s="81">
        <f t="shared" si="98"/>
        <v>52.899999999999991</v>
      </c>
      <c r="T514" s="81">
        <f t="shared" si="98"/>
        <v>0</v>
      </c>
      <c r="U514" s="81">
        <f t="shared" si="98"/>
        <v>0</v>
      </c>
      <c r="V514" s="81">
        <f t="shared" si="98"/>
        <v>0</v>
      </c>
      <c r="W514" s="30"/>
      <c r="X514" s="49"/>
      <c r="Y514" s="50"/>
      <c r="Z514" s="50"/>
      <c r="AA514" s="50"/>
      <c r="AB514" s="51"/>
    </row>
    <row r="515" spans="2:28" s="67" customFormat="1" ht="15" customHeight="1">
      <c r="B515" s="54"/>
      <c r="C515" s="55"/>
      <c r="D515" s="133"/>
      <c r="E515" s="56"/>
      <c r="F515" s="57" t="s">
        <v>14</v>
      </c>
      <c r="G515" s="58"/>
      <c r="H515" s="59"/>
      <c r="I515" s="60"/>
      <c r="J515" s="61"/>
      <c r="K515" s="82"/>
      <c r="L515" s="206"/>
      <c r="M515" s="62"/>
      <c r="N515" s="180">
        <f>SUM(N511:N514)</f>
        <v>102.89999999999999</v>
      </c>
      <c r="O515" s="61"/>
      <c r="P515" s="63"/>
      <c r="Q515" s="62"/>
      <c r="R515" s="83">
        <f>SUM(R511:R514)</f>
        <v>0</v>
      </c>
      <c r="S515" s="83">
        <f>SUM(S511:S514)</f>
        <v>102.89999999999999</v>
      </c>
      <c r="T515" s="83">
        <f>SUM(T511:T514)</f>
        <v>0</v>
      </c>
      <c r="U515" s="83">
        <f>SUM(U511:U514)</f>
        <v>0</v>
      </c>
      <c r="V515" s="83">
        <f>SUM(V511:V514)</f>
        <v>0</v>
      </c>
      <c r="W515" s="62"/>
      <c r="X515" s="65"/>
      <c r="Y515" s="59"/>
      <c r="Z515" s="59"/>
      <c r="AA515" s="59"/>
      <c r="AB515" s="66"/>
    </row>
    <row r="516" spans="2:28" ht="5.15" customHeight="1"/>
    <row r="517" spans="2:28" ht="20.149999999999999" customHeight="1">
      <c r="E517" s="26" t="s">
        <v>15</v>
      </c>
      <c r="F517" s="84" t="s">
        <v>16</v>
      </c>
      <c r="G517" s="85"/>
      <c r="H517" s="215" t="s">
        <v>4</v>
      </c>
      <c r="I517" s="232" t="s">
        <v>76</v>
      </c>
      <c r="K517" s="137" t="s">
        <v>67</v>
      </c>
      <c r="L517" s="211" t="s">
        <v>66</v>
      </c>
      <c r="N517" s="212" t="s">
        <v>11</v>
      </c>
      <c r="P517" s="73">
        <v>2011</v>
      </c>
      <c r="Q517" s="74"/>
      <c r="R517" s="75">
        <f>P517+1</f>
        <v>2012</v>
      </c>
      <c r="S517" s="75">
        <f>R517+1</f>
        <v>2013</v>
      </c>
      <c r="T517" s="75">
        <f>S517+1</f>
        <v>2014</v>
      </c>
      <c r="U517" s="75">
        <f>T517+1</f>
        <v>2015</v>
      </c>
      <c r="V517" s="75">
        <f>U517+1</f>
        <v>2016</v>
      </c>
      <c r="W517" s="74"/>
      <c r="X517" s="76">
        <f>V517+1</f>
        <v>2017</v>
      </c>
      <c r="Y517" s="76">
        <f>X517+1</f>
        <v>2018</v>
      </c>
      <c r="Z517" s="76">
        <f>Y517+1</f>
        <v>2019</v>
      </c>
      <c r="AA517" s="76">
        <f>Z517+1</f>
        <v>2020</v>
      </c>
      <c r="AB517" s="76">
        <f>AA517+1</f>
        <v>2021</v>
      </c>
    </row>
    <row r="518" spans="2:28" ht="4" customHeight="1"/>
    <row r="519" spans="2:28" ht="12" customHeight="1">
      <c r="C519" s="28"/>
      <c r="E519" s="77" t="s">
        <v>218</v>
      </c>
      <c r="F519" s="158" t="s">
        <v>219</v>
      </c>
      <c r="G519" s="86"/>
      <c r="H519" s="213" t="s">
        <v>71</v>
      </c>
      <c r="I519" s="216">
        <v>0.5</v>
      </c>
      <c r="J519" s="3"/>
      <c r="K519" s="298">
        <v>13</v>
      </c>
      <c r="L519" s="229" t="s">
        <v>73</v>
      </c>
      <c r="M519" s="30"/>
      <c r="N519" s="176">
        <f>I519*K519</f>
        <v>6.5</v>
      </c>
      <c r="O519" s="32"/>
      <c r="P519" s="88"/>
      <c r="Q519" s="30"/>
      <c r="R519" s="90"/>
      <c r="S519" s="91">
        <f>N519</f>
        <v>6.5</v>
      </c>
      <c r="T519" s="91"/>
      <c r="U519" s="91"/>
      <c r="V519" s="92"/>
      <c r="W519" s="30"/>
      <c r="X519" s="90"/>
      <c r="Y519" s="91"/>
      <c r="Z519" s="91"/>
      <c r="AA519" s="91"/>
      <c r="AB519" s="92"/>
    </row>
    <row r="520" spans="2:28" ht="12" customHeight="1">
      <c r="C520" s="28"/>
      <c r="E520" s="77" t="s">
        <v>215</v>
      </c>
      <c r="F520" s="158" t="s">
        <v>70</v>
      </c>
      <c r="G520" s="86"/>
      <c r="H520" s="213" t="s">
        <v>71</v>
      </c>
      <c r="I520" s="216">
        <v>0.25</v>
      </c>
      <c r="J520" s="3"/>
      <c r="K520" s="228">
        <v>5.7</v>
      </c>
      <c r="L520" s="229" t="s">
        <v>72</v>
      </c>
      <c r="M520" s="30"/>
      <c r="N520" s="176">
        <f>I520*K520</f>
        <v>1.425</v>
      </c>
      <c r="O520" s="32"/>
      <c r="P520" s="88"/>
      <c r="Q520" s="30"/>
      <c r="R520" s="90"/>
      <c r="S520" s="91">
        <f>N520</f>
        <v>1.425</v>
      </c>
      <c r="T520" s="91"/>
      <c r="U520" s="91"/>
      <c r="V520" s="92"/>
      <c r="W520" s="30"/>
      <c r="X520" s="90"/>
      <c r="Y520" s="91"/>
      <c r="Z520" s="91"/>
      <c r="AA520" s="91"/>
      <c r="AB520" s="92"/>
    </row>
    <row r="521" spans="2:28" ht="12" customHeight="1">
      <c r="C521" s="28"/>
      <c r="E521" s="105"/>
      <c r="F521" s="41" t="s">
        <v>17</v>
      </c>
      <c r="G521" s="93"/>
      <c r="H521" s="94"/>
      <c r="I521" s="217">
        <v>0.1</v>
      </c>
      <c r="J521" s="3"/>
      <c r="K521" s="174">
        <v>7</v>
      </c>
      <c r="L521" s="226" t="s">
        <v>73</v>
      </c>
      <c r="M521" s="30"/>
      <c r="N521" s="177">
        <f>I521*K521</f>
        <v>0.70000000000000007</v>
      </c>
      <c r="O521" s="32"/>
      <c r="P521" s="96"/>
      <c r="Q521" s="30"/>
      <c r="R521" s="97"/>
      <c r="S521" s="98">
        <f>N521</f>
        <v>0.70000000000000007</v>
      </c>
      <c r="T521" s="98"/>
      <c r="U521" s="98"/>
      <c r="V521" s="99"/>
      <c r="W521" s="30"/>
      <c r="X521" s="97"/>
      <c r="Y521" s="98"/>
      <c r="Z521" s="98"/>
      <c r="AA521" s="98"/>
      <c r="AB521" s="99"/>
    </row>
    <row r="522" spans="2:28" ht="12" customHeight="1">
      <c r="C522" s="28"/>
      <c r="E522" s="105" t="s">
        <v>216</v>
      </c>
      <c r="F522" s="41" t="s">
        <v>217</v>
      </c>
      <c r="G522" s="100"/>
      <c r="H522" s="94"/>
      <c r="I522" s="217">
        <f>0.25</f>
        <v>0.25</v>
      </c>
      <c r="J522" s="3"/>
      <c r="K522" s="200">
        <f>11*3</f>
        <v>33</v>
      </c>
      <c r="L522" s="230" t="s">
        <v>72</v>
      </c>
      <c r="M522" s="30"/>
      <c r="N522" s="177">
        <f>I522*K522</f>
        <v>8.25</v>
      </c>
      <c r="O522" s="32"/>
      <c r="P522" s="96"/>
      <c r="Q522" s="30"/>
      <c r="R522" s="257"/>
      <c r="S522" s="214">
        <f>N522</f>
        <v>8.25</v>
      </c>
      <c r="T522" s="214"/>
      <c r="U522" s="103"/>
      <c r="V522" s="104"/>
      <c r="W522" s="30"/>
      <c r="X522" s="102"/>
      <c r="Y522" s="103"/>
      <c r="Z522" s="103"/>
      <c r="AA522" s="103"/>
      <c r="AB522" s="104"/>
    </row>
    <row r="523" spans="2:28" ht="12" customHeight="1">
      <c r="C523" s="28"/>
      <c r="E523" s="105"/>
      <c r="F523" s="253" t="s">
        <v>17</v>
      </c>
      <c r="G523" s="100"/>
      <c r="H523" s="94"/>
      <c r="I523" s="217">
        <v>0.1</v>
      </c>
      <c r="J523" s="3"/>
      <c r="K523" s="174">
        <v>11</v>
      </c>
      <c r="L523" s="226" t="s">
        <v>73</v>
      </c>
      <c r="M523" s="30"/>
      <c r="N523" s="177">
        <f>I523*K523</f>
        <v>1.1000000000000001</v>
      </c>
      <c r="O523" s="32"/>
      <c r="P523" s="96"/>
      <c r="Q523" s="30"/>
      <c r="R523" s="257"/>
      <c r="S523" s="214">
        <f>N523</f>
        <v>1.1000000000000001</v>
      </c>
      <c r="T523" s="214"/>
      <c r="U523" s="103"/>
      <c r="V523" s="104"/>
      <c r="W523" s="30"/>
      <c r="X523" s="102"/>
      <c r="Y523" s="103"/>
      <c r="Z523" s="103"/>
      <c r="AA523" s="103"/>
      <c r="AB523" s="104"/>
    </row>
    <row r="524" spans="2:28" ht="12" customHeight="1">
      <c r="C524" s="28"/>
      <c r="E524" s="183" t="s">
        <v>131</v>
      </c>
      <c r="F524" s="186"/>
      <c r="G524" s="184"/>
      <c r="H524" s="94"/>
      <c r="I524" s="95"/>
      <c r="J524" s="3"/>
      <c r="K524" s="174"/>
      <c r="L524" s="201"/>
      <c r="M524" s="30"/>
      <c r="N524" s="177"/>
      <c r="O524" s="32"/>
      <c r="P524" s="96"/>
      <c r="Q524" s="30"/>
      <c r="R524" s="102"/>
      <c r="S524" s="103"/>
      <c r="T524" s="103"/>
      <c r="U524" s="103"/>
      <c r="V524" s="104"/>
      <c r="W524" s="30"/>
      <c r="X524" s="102"/>
      <c r="Y524" s="103"/>
      <c r="Z524" s="103"/>
      <c r="AA524" s="103"/>
      <c r="AB524" s="104"/>
    </row>
    <row r="525" spans="2:28" ht="15" customHeight="1">
      <c r="C525" s="28"/>
      <c r="E525" s="183" t="s">
        <v>111</v>
      </c>
      <c r="F525" s="186"/>
      <c r="G525" s="184"/>
      <c r="H525" s="94"/>
      <c r="I525" s="95"/>
      <c r="J525" s="3"/>
      <c r="K525" s="174"/>
      <c r="L525" s="201"/>
      <c r="M525" s="30"/>
      <c r="N525" s="177"/>
      <c r="O525" s="32"/>
      <c r="P525" s="96"/>
      <c r="Q525" s="30"/>
      <c r="R525" s="102"/>
      <c r="S525" s="103"/>
      <c r="T525" s="103"/>
      <c r="U525" s="103"/>
      <c r="V525" s="104"/>
      <c r="W525" s="30"/>
      <c r="X525" s="102"/>
      <c r="Y525" s="103"/>
      <c r="Z525" s="103"/>
      <c r="AA525" s="103"/>
      <c r="AB525" s="104"/>
    </row>
    <row r="526" spans="2:28" ht="12" customHeight="1">
      <c r="C526" s="28"/>
      <c r="E526" s="107" t="s">
        <v>42</v>
      </c>
      <c r="F526" s="254" t="s">
        <v>136</v>
      </c>
      <c r="G526" s="185"/>
      <c r="H526" s="94" t="s">
        <v>18</v>
      </c>
      <c r="I526" s="43">
        <v>7</v>
      </c>
      <c r="J526" s="3"/>
      <c r="K526" s="174">
        <v>1</v>
      </c>
      <c r="L526" s="201"/>
      <c r="M526" s="30"/>
      <c r="N526" s="178">
        <f>I526*K526</f>
        <v>7</v>
      </c>
      <c r="O526" s="32"/>
      <c r="P526" s="96"/>
      <c r="Q526" s="30"/>
      <c r="R526" s="257">
        <f>0.1*N526</f>
        <v>0.70000000000000007</v>
      </c>
      <c r="S526" s="214">
        <f t="shared" ref="S526:S527" si="99">0.5*N526</f>
        <v>3.5</v>
      </c>
      <c r="T526" s="214">
        <f>0.4*N526</f>
        <v>2.8000000000000003</v>
      </c>
      <c r="U526" s="103"/>
      <c r="V526" s="104"/>
      <c r="W526" s="30"/>
      <c r="X526" s="102"/>
      <c r="Y526" s="103"/>
      <c r="Z526" s="103"/>
      <c r="AA526" s="103"/>
      <c r="AB526" s="104"/>
    </row>
    <row r="527" spans="2:28" ht="12" customHeight="1">
      <c r="C527" s="28"/>
      <c r="E527" s="107" t="s">
        <v>112</v>
      </c>
      <c r="F527" s="248" t="s">
        <v>130</v>
      </c>
      <c r="G527" s="184"/>
      <c r="H527" s="94" t="s">
        <v>18</v>
      </c>
      <c r="I527" s="43">
        <v>0.12</v>
      </c>
      <c r="J527" s="3"/>
      <c r="K527" s="200">
        <f>33*10</f>
        <v>330</v>
      </c>
      <c r="L527" s="204"/>
      <c r="M527" s="30"/>
      <c r="N527" s="177">
        <f>I527*K527</f>
        <v>39.6</v>
      </c>
      <c r="O527" s="32"/>
      <c r="P527" s="96"/>
      <c r="Q527" s="30"/>
      <c r="R527" s="257">
        <f t="shared" ref="R527" si="100">0.1*N527</f>
        <v>3.9600000000000004</v>
      </c>
      <c r="S527" s="214">
        <f t="shared" si="99"/>
        <v>19.8</v>
      </c>
      <c r="T527" s="214">
        <f t="shared" ref="T527" si="101">0.4*N527</f>
        <v>15.840000000000002</v>
      </c>
      <c r="U527" s="103"/>
      <c r="V527" s="104"/>
      <c r="W527" s="30"/>
      <c r="X527" s="102"/>
      <c r="Y527" s="103"/>
      <c r="Z527" s="103"/>
      <c r="AA527" s="103"/>
      <c r="AB527" s="104"/>
    </row>
    <row r="528" spans="2:28" ht="12" customHeight="1">
      <c r="C528" s="28"/>
      <c r="E528" s="245" t="s">
        <v>44</v>
      </c>
      <c r="F528" s="246"/>
      <c r="G528" s="184"/>
      <c r="H528" s="94"/>
      <c r="I528" s="43"/>
      <c r="J528" s="3"/>
      <c r="K528" s="200"/>
      <c r="L528" s="204"/>
      <c r="M528" s="30"/>
      <c r="N528" s="177"/>
      <c r="O528" s="32"/>
      <c r="P528" s="96"/>
      <c r="Q528" s="30"/>
      <c r="R528" s="257"/>
      <c r="S528" s="214"/>
      <c r="T528" s="214"/>
      <c r="U528" s="103"/>
      <c r="V528" s="104"/>
      <c r="W528" s="30"/>
      <c r="X528" s="102"/>
      <c r="Y528" s="103"/>
      <c r="Z528" s="103"/>
      <c r="AA528" s="103"/>
      <c r="AB528" s="104"/>
    </row>
    <row r="529" spans="2:28" ht="12" customHeight="1">
      <c r="C529" s="28"/>
      <c r="E529" s="107" t="s">
        <v>44</v>
      </c>
      <c r="F529" s="247" t="s">
        <v>46</v>
      </c>
      <c r="G529" s="184"/>
      <c r="H529" s="94" t="s">
        <v>18</v>
      </c>
      <c r="I529" s="43">
        <v>65</v>
      </c>
      <c r="J529" s="3"/>
      <c r="K529" s="174">
        <v>1</v>
      </c>
      <c r="L529" s="226"/>
      <c r="M529" s="30"/>
      <c r="N529" s="178">
        <f>I529*K529</f>
        <v>65</v>
      </c>
      <c r="O529" s="32"/>
      <c r="P529" s="96"/>
      <c r="Q529" s="30"/>
      <c r="R529" s="257">
        <f t="shared" ref="R529:R531" si="102">0.1*N529</f>
        <v>6.5</v>
      </c>
      <c r="S529" s="214">
        <f t="shared" ref="S529:S531" si="103">0.5*N529</f>
        <v>32.5</v>
      </c>
      <c r="T529" s="214">
        <f t="shared" ref="T529:T531" si="104">0.4*N529</f>
        <v>26</v>
      </c>
      <c r="U529" s="103"/>
      <c r="V529" s="104"/>
      <c r="W529" s="30"/>
      <c r="X529" s="102"/>
      <c r="Y529" s="103"/>
      <c r="Z529" s="103"/>
      <c r="AA529" s="103"/>
      <c r="AB529" s="104"/>
    </row>
    <row r="530" spans="2:28" ht="12" customHeight="1">
      <c r="C530" s="28"/>
      <c r="E530" s="107"/>
      <c r="F530" s="247" t="s">
        <v>110</v>
      </c>
      <c r="G530" s="184"/>
      <c r="H530" s="94" t="s">
        <v>18</v>
      </c>
      <c r="I530" s="43">
        <v>0.12</v>
      </c>
      <c r="J530" s="3"/>
      <c r="K530" s="200">
        <f>44*10</f>
        <v>440</v>
      </c>
      <c r="L530" s="230" t="s">
        <v>75</v>
      </c>
      <c r="M530" s="30"/>
      <c r="N530" s="177">
        <f>I530*K530</f>
        <v>52.8</v>
      </c>
      <c r="O530" s="32"/>
      <c r="P530" s="96"/>
      <c r="Q530" s="30"/>
      <c r="R530" s="257">
        <f t="shared" si="102"/>
        <v>5.28</v>
      </c>
      <c r="S530" s="214">
        <f t="shared" si="103"/>
        <v>26.4</v>
      </c>
      <c r="T530" s="214">
        <f t="shared" si="104"/>
        <v>21.12</v>
      </c>
      <c r="U530" s="103"/>
      <c r="V530" s="104"/>
      <c r="W530" s="30"/>
      <c r="X530" s="102"/>
      <c r="Y530" s="103"/>
      <c r="Z530" s="103"/>
      <c r="AA530" s="103"/>
      <c r="AB530" s="104"/>
    </row>
    <row r="531" spans="2:28" ht="12" customHeight="1">
      <c r="C531" s="28"/>
      <c r="E531" s="107" t="s">
        <v>48</v>
      </c>
      <c r="F531" s="247" t="s">
        <v>57</v>
      </c>
      <c r="G531" s="184"/>
      <c r="H531" s="94"/>
      <c r="I531" s="43">
        <v>0.12</v>
      </c>
      <c r="J531" s="3"/>
      <c r="K531" s="200">
        <f>30*12</f>
        <v>360</v>
      </c>
      <c r="L531" s="230" t="s">
        <v>75</v>
      </c>
      <c r="M531" s="30"/>
      <c r="N531" s="177">
        <f>I531*K531</f>
        <v>43.199999999999996</v>
      </c>
      <c r="O531" s="32"/>
      <c r="P531" s="96"/>
      <c r="Q531" s="30"/>
      <c r="R531" s="257">
        <f t="shared" si="102"/>
        <v>4.3199999999999994</v>
      </c>
      <c r="S531" s="214">
        <f t="shared" si="103"/>
        <v>21.599999999999998</v>
      </c>
      <c r="T531" s="214">
        <f t="shared" si="104"/>
        <v>17.279999999999998</v>
      </c>
      <c r="U531" s="103"/>
      <c r="V531" s="104"/>
      <c r="W531" s="30"/>
      <c r="X531" s="102"/>
      <c r="Y531" s="103"/>
      <c r="Z531" s="103"/>
      <c r="AA531" s="103"/>
      <c r="AB531" s="104"/>
    </row>
    <row r="532" spans="2:28" ht="12" customHeight="1">
      <c r="C532" s="28"/>
      <c r="E532" s="189" t="s">
        <v>59</v>
      </c>
      <c r="F532" s="256" t="s">
        <v>139</v>
      </c>
      <c r="G532" s="190"/>
      <c r="H532" s="94"/>
      <c r="I532" s="43"/>
      <c r="J532" s="3"/>
      <c r="K532" s="175"/>
      <c r="L532" s="231"/>
      <c r="M532" s="30"/>
      <c r="N532" s="234">
        <f>SUM(N519:N531)*0.1</f>
        <v>22.557500000000001</v>
      </c>
      <c r="O532" s="32"/>
      <c r="P532" s="109"/>
      <c r="Q532" s="30"/>
      <c r="R532" s="258">
        <f t="shared" ref="R532" si="105">0.1*N532</f>
        <v>2.2557500000000004</v>
      </c>
      <c r="S532" s="259">
        <f t="shared" ref="S532" si="106">0.5*N532</f>
        <v>11.27875</v>
      </c>
      <c r="T532" s="259">
        <f t="shared" ref="T532" si="107">0.4*N532</f>
        <v>9.0230000000000015</v>
      </c>
      <c r="U532" s="111"/>
      <c r="V532" s="112"/>
      <c r="W532" s="30"/>
      <c r="X532" s="110"/>
      <c r="Y532" s="111"/>
      <c r="Z532" s="111"/>
      <c r="AA532" s="111"/>
      <c r="AB532" s="112"/>
    </row>
    <row r="533" spans="2:28" ht="4" customHeight="1">
      <c r="E533" s="3"/>
      <c r="J533" s="3"/>
    </row>
    <row r="534" spans="2:28" ht="15" customHeight="1">
      <c r="F534" s="113" t="s">
        <v>19</v>
      </c>
      <c r="G534" s="114"/>
      <c r="H534" s="114"/>
      <c r="I534" s="85"/>
      <c r="K534" s="22"/>
      <c r="L534" s="207"/>
      <c r="M534" s="20"/>
      <c r="N534" s="179">
        <f>SUM(N519:N532)</f>
        <v>248.13249999999999</v>
      </c>
      <c r="O534" s="20"/>
      <c r="P534" s="22"/>
      <c r="Q534" s="20"/>
      <c r="R534" s="180">
        <f>SUM(R520:R532)</f>
        <v>23.015750000000001</v>
      </c>
      <c r="S534" s="181">
        <f>SUM(S520:S532)</f>
        <v>126.55375000000001</v>
      </c>
      <c r="T534" s="181">
        <f>SUM(T520:T532)</f>
        <v>92.063000000000002</v>
      </c>
      <c r="U534" s="182">
        <f>SUM(U520:U532)</f>
        <v>0</v>
      </c>
      <c r="V534" s="180">
        <f>SUM(V520:V532)</f>
        <v>0</v>
      </c>
      <c r="W534" s="115"/>
      <c r="X534" s="160">
        <f>SUM(X520:X532)</f>
        <v>0</v>
      </c>
      <c r="Y534" s="161">
        <f>SUM(Y520:Y532)</f>
        <v>0</v>
      </c>
      <c r="Z534" s="161">
        <f>SUM(Z520:Z532)</f>
        <v>0</v>
      </c>
      <c r="AA534" s="161">
        <f>SUM(AA520:AA532)</f>
        <v>0</v>
      </c>
      <c r="AB534" s="161">
        <f>SUM(AB520:AB532)</f>
        <v>0</v>
      </c>
    </row>
    <row r="535" spans="2:28" ht="10" customHeight="1">
      <c r="F535" s="192"/>
      <c r="G535" s="193"/>
      <c r="H535" s="193"/>
      <c r="I535" s="193"/>
      <c r="K535" s="168"/>
      <c r="L535" s="20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94"/>
      <c r="X535" s="195"/>
      <c r="Y535" s="195"/>
      <c r="Z535" s="195"/>
      <c r="AA535" s="195"/>
      <c r="AB535" s="195"/>
    </row>
    <row r="536" spans="2:28" ht="15" customHeight="1">
      <c r="B536" s="164" t="s">
        <v>109</v>
      </c>
      <c r="C536" s="6"/>
      <c r="E536" s="116" t="s">
        <v>20</v>
      </c>
    </row>
    <row r="537" spans="2:28" ht="15" customHeight="1">
      <c r="B537" s="6"/>
      <c r="C537" s="9"/>
      <c r="E537" s="9" t="s">
        <v>126</v>
      </c>
      <c r="F537" s="237"/>
      <c r="K537" s="333" t="s">
        <v>9</v>
      </c>
      <c r="L537" s="334"/>
      <c r="M537" s="334"/>
      <c r="N537" s="335"/>
      <c r="O537" s="24"/>
      <c r="P537" s="68" t="s">
        <v>10</v>
      </c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70"/>
    </row>
    <row r="538" spans="2:28" ht="15" customHeight="1">
      <c r="E538" s="26" t="s">
        <v>21</v>
      </c>
      <c r="F538" s="84" t="s">
        <v>22</v>
      </c>
      <c r="G538" s="85"/>
      <c r="H538" s="73" t="s">
        <v>4</v>
      </c>
      <c r="I538" s="75" t="s">
        <v>23</v>
      </c>
      <c r="K538" s="71"/>
      <c r="M538" s="24"/>
      <c r="N538" s="72" t="s">
        <v>11</v>
      </c>
      <c r="O538" s="24"/>
      <c r="P538" s="73">
        <v>2011</v>
      </c>
      <c r="Q538" s="74"/>
      <c r="R538" s="75">
        <f>P538+1</f>
        <v>2012</v>
      </c>
      <c r="S538" s="75">
        <f>R538+1</f>
        <v>2013</v>
      </c>
      <c r="T538" s="75">
        <f>S538+1</f>
        <v>2014</v>
      </c>
      <c r="U538" s="75">
        <f>T538+1</f>
        <v>2015</v>
      </c>
      <c r="V538" s="75">
        <f>U538+1</f>
        <v>2016</v>
      </c>
      <c r="W538" s="74"/>
      <c r="X538" s="76">
        <f>V538+1</f>
        <v>2017</v>
      </c>
      <c r="Y538" s="76">
        <f>X538+1</f>
        <v>2018</v>
      </c>
      <c r="Z538" s="76">
        <f>Y538+1</f>
        <v>2019</v>
      </c>
      <c r="AA538" s="76">
        <f>Z538+1</f>
        <v>2020</v>
      </c>
      <c r="AB538" s="76">
        <f>AA538+1</f>
        <v>2021</v>
      </c>
    </row>
    <row r="539" spans="2:28" ht="4" customHeight="1"/>
    <row r="540" spans="2:28" ht="12" customHeight="1">
      <c r="C540" s="28"/>
      <c r="E540" s="77" t="s">
        <v>3</v>
      </c>
      <c r="F540" s="197" t="s">
        <v>224</v>
      </c>
      <c r="G540" s="117"/>
      <c r="H540" s="73"/>
      <c r="I540" s="75"/>
      <c r="J540" s="3"/>
      <c r="K540" s="87"/>
      <c r="L540" s="204"/>
      <c r="M540" s="30"/>
      <c r="N540" s="176">
        <f>N515</f>
        <v>102.89999999999999</v>
      </c>
      <c r="O540" s="32"/>
      <c r="P540" s="88"/>
      <c r="Q540" s="30"/>
      <c r="R540" s="89">
        <f>R515</f>
        <v>0</v>
      </c>
      <c r="S540" s="89">
        <f>S515</f>
        <v>102.89999999999999</v>
      </c>
      <c r="T540" s="89">
        <f>T515</f>
        <v>0</v>
      </c>
      <c r="U540" s="89">
        <f>U515</f>
        <v>0</v>
      </c>
      <c r="V540" s="220">
        <f>V515</f>
        <v>0</v>
      </c>
      <c r="X540" s="199"/>
      <c r="Y540" s="118"/>
      <c r="Z540" s="118"/>
      <c r="AA540" s="118"/>
      <c r="AB540" s="119"/>
    </row>
    <row r="541" spans="2:28" ht="12" customHeight="1">
      <c r="C541" s="28"/>
      <c r="E541" s="105" t="s">
        <v>218</v>
      </c>
      <c r="F541" s="41" t="s">
        <v>221</v>
      </c>
      <c r="G541" s="100"/>
      <c r="H541" s="94"/>
      <c r="I541" s="43"/>
      <c r="J541" s="3"/>
      <c r="K541" s="101"/>
      <c r="L541" s="204"/>
      <c r="M541" s="30"/>
      <c r="N541" s="178">
        <f>N519</f>
        <v>6.5</v>
      </c>
      <c r="O541" s="32"/>
      <c r="P541" s="96"/>
      <c r="Q541" s="30"/>
      <c r="R541" s="157">
        <f>SUM(R515:R518)</f>
        <v>2012</v>
      </c>
      <c r="S541" s="157">
        <f t="shared" ref="S541:V541" si="108">SUM(S515:S518)</f>
        <v>2115.9</v>
      </c>
      <c r="T541" s="157">
        <f t="shared" si="108"/>
        <v>2014</v>
      </c>
      <c r="U541" s="157">
        <f t="shared" si="108"/>
        <v>2015</v>
      </c>
      <c r="V541" s="157">
        <f t="shared" si="108"/>
        <v>2016</v>
      </c>
      <c r="W541" s="30"/>
      <c r="X541" s="102"/>
      <c r="Y541" s="103"/>
      <c r="Z541" s="103"/>
      <c r="AA541" s="103"/>
      <c r="AB541" s="104"/>
    </row>
    <row r="542" spans="2:28" ht="12" customHeight="1">
      <c r="C542" s="28"/>
      <c r="E542" s="105" t="s">
        <v>29</v>
      </c>
      <c r="F542" s="41" t="s">
        <v>220</v>
      </c>
      <c r="G542" s="100"/>
      <c r="H542" s="94"/>
      <c r="I542" s="43"/>
      <c r="J542" s="3"/>
      <c r="K542" s="101"/>
      <c r="L542" s="204"/>
      <c r="M542" s="30"/>
      <c r="N542" s="178">
        <f>SUM(N520:N523)</f>
        <v>11.475</v>
      </c>
      <c r="O542" s="32"/>
      <c r="P542" s="96"/>
      <c r="Q542" s="30"/>
      <c r="R542" s="157">
        <f>SUM(R520:R523)</f>
        <v>0</v>
      </c>
      <c r="S542" s="157">
        <f t="shared" ref="S542:V542" si="109">SUM(S520:S523)</f>
        <v>11.475</v>
      </c>
      <c r="T542" s="157">
        <f t="shared" si="109"/>
        <v>0</v>
      </c>
      <c r="U542" s="157">
        <f t="shared" si="109"/>
        <v>0</v>
      </c>
      <c r="V542" s="157">
        <f t="shared" si="109"/>
        <v>0</v>
      </c>
      <c r="W542" s="30"/>
      <c r="X542" s="102"/>
      <c r="Y542" s="103"/>
      <c r="Z542" s="103"/>
      <c r="AA542" s="103"/>
      <c r="AB542" s="104"/>
    </row>
    <row r="543" spans="2:28" ht="12" customHeight="1">
      <c r="C543" s="28"/>
      <c r="E543" s="105" t="s">
        <v>52</v>
      </c>
      <c r="F543" s="106" t="s">
        <v>113</v>
      </c>
      <c r="G543" s="100"/>
      <c r="H543" s="94"/>
      <c r="I543" s="43"/>
      <c r="J543" s="3"/>
      <c r="K543" s="101"/>
      <c r="L543" s="204"/>
      <c r="M543" s="30"/>
      <c r="N543" s="178">
        <f>SUM(N526:N526)</f>
        <v>7</v>
      </c>
      <c r="O543" s="32"/>
      <c r="P543" s="96"/>
      <c r="Q543" s="30"/>
      <c r="R543" s="178">
        <f>SUM(R526:R527)</f>
        <v>4.66</v>
      </c>
      <c r="S543" s="178">
        <f t="shared" ref="S543:V543" si="110">SUM(S526:S527)</f>
        <v>23.3</v>
      </c>
      <c r="T543" s="178">
        <f t="shared" si="110"/>
        <v>18.64</v>
      </c>
      <c r="U543" s="178">
        <f t="shared" si="110"/>
        <v>0</v>
      </c>
      <c r="V543" s="178">
        <f t="shared" si="110"/>
        <v>0</v>
      </c>
      <c r="W543" s="30"/>
      <c r="X543" s="102"/>
      <c r="Y543" s="103"/>
      <c r="Z543" s="103"/>
      <c r="AA543" s="103"/>
      <c r="AB543" s="104"/>
    </row>
    <row r="544" spans="2:28" ht="12" customHeight="1">
      <c r="C544" s="28"/>
      <c r="E544" s="107" t="s">
        <v>112</v>
      </c>
      <c r="F544" s="248" t="s">
        <v>130</v>
      </c>
      <c r="G544" s="100"/>
      <c r="H544" s="94"/>
      <c r="I544" s="43"/>
      <c r="J544" s="3"/>
      <c r="K544" s="101"/>
      <c r="L544" s="204"/>
      <c r="M544" s="30"/>
      <c r="N544" s="178">
        <f>SUM(N527:N527)</f>
        <v>39.6</v>
      </c>
      <c r="O544" s="32"/>
      <c r="P544" s="96"/>
      <c r="Q544" s="30"/>
      <c r="R544" s="178">
        <f>SUM(R527:R527)</f>
        <v>3.9600000000000004</v>
      </c>
      <c r="S544" s="178">
        <f t="shared" ref="S544:V544" si="111">SUM(S527:S527)</f>
        <v>19.8</v>
      </c>
      <c r="T544" s="178">
        <f t="shared" si="111"/>
        <v>15.840000000000002</v>
      </c>
      <c r="U544" s="178">
        <f t="shared" si="111"/>
        <v>0</v>
      </c>
      <c r="V544" s="178">
        <f t="shared" si="111"/>
        <v>0</v>
      </c>
      <c r="W544" s="30"/>
      <c r="X544" s="102"/>
      <c r="Y544" s="103"/>
      <c r="Z544" s="103"/>
      <c r="AA544" s="103"/>
      <c r="AB544" s="104"/>
    </row>
    <row r="545" spans="2:28" ht="12" customHeight="1">
      <c r="C545" s="28"/>
      <c r="E545" s="105" t="s">
        <v>114</v>
      </c>
      <c r="F545" s="247" t="s">
        <v>110</v>
      </c>
      <c r="G545" s="100"/>
      <c r="H545" s="94"/>
      <c r="I545" s="43"/>
      <c r="J545" s="3"/>
      <c r="K545" s="101"/>
      <c r="L545" s="204"/>
      <c r="M545" s="30"/>
      <c r="N545" s="178">
        <f>SUM(N529:N530)</f>
        <v>117.8</v>
      </c>
      <c r="O545" s="32"/>
      <c r="P545" s="96"/>
      <c r="Q545" s="30"/>
      <c r="R545" s="178">
        <f>SUM(R529:R530)</f>
        <v>11.780000000000001</v>
      </c>
      <c r="S545" s="178">
        <f t="shared" ref="S545:V545" si="112">SUM(S529:S530)</f>
        <v>58.9</v>
      </c>
      <c r="T545" s="178">
        <f t="shared" si="112"/>
        <v>47.120000000000005</v>
      </c>
      <c r="U545" s="178">
        <f t="shared" si="112"/>
        <v>0</v>
      </c>
      <c r="V545" s="178">
        <f t="shared" si="112"/>
        <v>0</v>
      </c>
      <c r="W545" s="30"/>
      <c r="X545" s="102"/>
      <c r="Y545" s="103"/>
      <c r="Z545" s="103"/>
      <c r="AA545" s="103"/>
      <c r="AB545" s="104"/>
    </row>
    <row r="546" spans="2:28" ht="12" customHeight="1">
      <c r="C546" s="28"/>
      <c r="E546" s="105" t="s">
        <v>115</v>
      </c>
      <c r="F546" s="247" t="s">
        <v>57</v>
      </c>
      <c r="G546" s="100"/>
      <c r="H546" s="94"/>
      <c r="I546" s="43"/>
      <c r="J546" s="3"/>
      <c r="K546" s="101"/>
      <c r="L546" s="204"/>
      <c r="M546" s="30"/>
      <c r="N546" s="178">
        <f>SUM(N531:N531)</f>
        <v>43.199999999999996</v>
      </c>
      <c r="O546" s="32"/>
      <c r="P546" s="96"/>
      <c r="Q546" s="30"/>
      <c r="R546" s="178">
        <f>SUM(R531:R531)</f>
        <v>4.3199999999999994</v>
      </c>
      <c r="S546" s="178">
        <f>SUM(S531:S531)</f>
        <v>21.599999999999998</v>
      </c>
      <c r="T546" s="178">
        <f>SUM(T531:T531)</f>
        <v>17.279999999999998</v>
      </c>
      <c r="U546" s="178">
        <f>SUM(U531:U531)</f>
        <v>0</v>
      </c>
      <c r="V546" s="178">
        <f>SUM(V531:V531)</f>
        <v>0</v>
      </c>
      <c r="W546" s="30"/>
      <c r="X546" s="102"/>
      <c r="Y546" s="103"/>
      <c r="Z546" s="103"/>
      <c r="AA546" s="103"/>
      <c r="AB546" s="104"/>
    </row>
    <row r="547" spans="2:28" ht="12" customHeight="1">
      <c r="C547" s="28"/>
      <c r="E547" s="108" t="s">
        <v>59</v>
      </c>
      <c r="F547" s="256" t="s">
        <v>139</v>
      </c>
      <c r="G547" s="120"/>
      <c r="H547" s="94"/>
      <c r="I547" s="43"/>
      <c r="J547" s="3"/>
      <c r="K547" s="121"/>
      <c r="L547" s="204"/>
      <c r="M547" s="30"/>
      <c r="N547" s="234">
        <f>N532</f>
        <v>22.557500000000001</v>
      </c>
      <c r="O547" s="32"/>
      <c r="P547" s="109"/>
      <c r="Q547" s="30"/>
      <c r="R547" s="163">
        <f t="shared" ref="R547:V547" si="113">R532</f>
        <v>2.2557500000000004</v>
      </c>
      <c r="S547" s="163">
        <f t="shared" si="113"/>
        <v>11.27875</v>
      </c>
      <c r="T547" s="163">
        <f t="shared" si="113"/>
        <v>9.0230000000000015</v>
      </c>
      <c r="U547" s="163">
        <f t="shared" si="113"/>
        <v>0</v>
      </c>
      <c r="V547" s="163">
        <f t="shared" si="113"/>
        <v>0</v>
      </c>
      <c r="W547" s="30"/>
      <c r="X547" s="218"/>
      <c r="Y547" s="111"/>
      <c r="Z547" s="111"/>
      <c r="AA547" s="111"/>
      <c r="AB547" s="112"/>
    </row>
    <row r="548" spans="2:28" ht="4" customHeight="1">
      <c r="E548" s="3"/>
      <c r="J548" s="3"/>
    </row>
    <row r="549" spans="2:28" ht="15" customHeight="1">
      <c r="F549" s="122" t="s">
        <v>24</v>
      </c>
      <c r="G549" s="114"/>
      <c r="H549" s="114"/>
      <c r="I549" s="85"/>
      <c r="K549" s="22"/>
      <c r="L549" s="207"/>
      <c r="M549" s="20"/>
      <c r="N549" s="162">
        <f>SUM(N540:N547)</f>
        <v>351.03249999999997</v>
      </c>
      <c r="O549" s="20"/>
      <c r="P549" s="22"/>
      <c r="Q549" s="20"/>
      <c r="R549" s="198">
        <f>SUM(R540:R547)</f>
        <v>2038.9757500000001</v>
      </c>
      <c r="S549" s="198">
        <f>SUM(S540:S547)</f>
        <v>2365.1537500000004</v>
      </c>
      <c r="T549" s="198">
        <f>SUM(T540:T547)</f>
        <v>2121.9030000000002</v>
      </c>
      <c r="U549" s="198">
        <f>SUM(U540:U547)</f>
        <v>2015</v>
      </c>
      <c r="V549" s="198">
        <f>SUM(V540:V547)</f>
        <v>2016</v>
      </c>
      <c r="W549" s="115"/>
      <c r="X549" s="160">
        <f>SUM(X540:X547)</f>
        <v>0</v>
      </c>
      <c r="Y549" s="160">
        <f>SUM(Y540:Y547)</f>
        <v>0</v>
      </c>
      <c r="Z549" s="160">
        <f>SUM(Z540:Z547)</f>
        <v>0</v>
      </c>
      <c r="AA549" s="160">
        <f>SUM(AA540:AA547)</f>
        <v>0</v>
      </c>
      <c r="AB549" s="160">
        <f>SUM(AB540:AB547)</f>
        <v>0</v>
      </c>
    </row>
    <row r="550" spans="2:28" ht="10" customHeight="1"/>
    <row r="551" spans="2:28" ht="12" customHeight="1">
      <c r="N551" s="67"/>
    </row>
    <row r="552" spans="2:28" ht="12" customHeight="1">
      <c r="N552" s="67"/>
    </row>
    <row r="553" spans="2:28" ht="12" customHeight="1">
      <c r="N553" s="67"/>
    </row>
    <row r="554" spans="2:28" ht="12" customHeight="1">
      <c r="N554" s="67"/>
    </row>
    <row r="555" spans="2:28" ht="12" customHeight="1">
      <c r="N555" s="67"/>
    </row>
    <row r="556" spans="2:28" ht="10" customHeight="1" thickBot="1"/>
    <row r="557" spans="2:28" ht="18" customHeight="1" thickBot="1">
      <c r="B557" s="315" t="s">
        <v>77</v>
      </c>
      <c r="C557" s="316"/>
      <c r="D557" s="316"/>
      <c r="E557" s="316"/>
      <c r="F557" s="316"/>
      <c r="G557" s="316"/>
      <c r="H557" s="316"/>
      <c r="I557" s="316"/>
      <c r="J557" s="316"/>
      <c r="K557" s="316"/>
      <c r="L557" s="316"/>
      <c r="M557" s="316"/>
      <c r="N557" s="316"/>
      <c r="O557" s="316"/>
      <c r="P557" s="316"/>
      <c r="Q557" s="316"/>
      <c r="R557" s="316"/>
      <c r="S557" s="316"/>
      <c r="T557" s="316"/>
      <c r="U557" s="316"/>
      <c r="V557" s="316"/>
      <c r="W557" s="316"/>
      <c r="X557" s="316"/>
      <c r="Y557" s="316"/>
      <c r="Z557" s="316"/>
      <c r="AA557" s="316"/>
      <c r="AB557" s="317"/>
    </row>
    <row r="558" spans="2:28" ht="10" customHeight="1" thickBot="1"/>
    <row r="559" spans="2:28" ht="15" customHeight="1" thickBot="1">
      <c r="B559" s="164" t="s">
        <v>116</v>
      </c>
      <c r="C559" s="6"/>
      <c r="D559" s="132"/>
      <c r="E559" s="260" t="s">
        <v>117</v>
      </c>
      <c r="F559" s="7"/>
      <c r="G559" s="8"/>
    </row>
    <row r="560" spans="2:28" ht="24" customHeight="1">
      <c r="B560" s="6"/>
      <c r="C560" s="9"/>
      <c r="D560" s="130"/>
      <c r="E560" s="9" t="s">
        <v>126</v>
      </c>
      <c r="F560" s="10" t="s">
        <v>163</v>
      </c>
      <c r="G560" s="11"/>
    </row>
    <row r="561" spans="2:29" ht="12" customHeight="1">
      <c r="B561" s="6"/>
      <c r="C561" s="6"/>
      <c r="D561" s="132"/>
      <c r="E561" s="12"/>
      <c r="F561" s="26" t="s">
        <v>162</v>
      </c>
      <c r="G561" s="11"/>
    </row>
    <row r="562" spans="2:29" ht="12" customHeight="1">
      <c r="B562" s="6"/>
      <c r="C562" s="6"/>
      <c r="D562" s="132"/>
      <c r="E562" s="12"/>
      <c r="F562" s="13" t="s">
        <v>7</v>
      </c>
      <c r="G562" s="14">
        <v>2014</v>
      </c>
      <c r="P562" s="137">
        <v>2011</v>
      </c>
      <c r="Q562" s="138"/>
      <c r="R562" s="137">
        <f>P562+1</f>
        <v>2012</v>
      </c>
      <c r="S562" s="137">
        <f>R562+1</f>
        <v>2013</v>
      </c>
      <c r="T562" s="137">
        <f>S562+1</f>
        <v>2014</v>
      </c>
      <c r="U562" s="137">
        <f>T562+1</f>
        <v>2015</v>
      </c>
      <c r="V562" s="137">
        <f>U562+1</f>
        <v>2016</v>
      </c>
      <c r="W562" s="138"/>
      <c r="X562" s="139">
        <f>V562+1</f>
        <v>2017</v>
      </c>
      <c r="Y562" s="139">
        <f>X562+1</f>
        <v>2018</v>
      </c>
      <c r="Z562" s="139">
        <f>Y562+1</f>
        <v>2019</v>
      </c>
      <c r="AA562" s="139">
        <f>Z562+1</f>
        <v>2020</v>
      </c>
      <c r="AB562" s="139">
        <f>AA562+1</f>
        <v>2021</v>
      </c>
    </row>
    <row r="563" spans="2:29" ht="12" customHeight="1">
      <c r="F563" s="1"/>
      <c r="G563" s="209" t="s">
        <v>68</v>
      </c>
      <c r="H563" s="18"/>
      <c r="I563" s="18"/>
      <c r="K563" s="19"/>
      <c r="L563" s="203"/>
      <c r="M563" s="20"/>
      <c r="N563" s="21" t="s">
        <v>0</v>
      </c>
      <c r="O563" s="20"/>
      <c r="P563" s="22"/>
      <c r="Q563" s="20"/>
      <c r="R563" s="140"/>
      <c r="S563" s="141"/>
      <c r="T563" s="142">
        <v>23.7</v>
      </c>
      <c r="U563" s="140">
        <v>33.799999999999997</v>
      </c>
      <c r="V563" s="143">
        <v>30.5</v>
      </c>
      <c r="W563" s="23"/>
      <c r="X563" s="144">
        <v>28.3</v>
      </c>
      <c r="Y563" s="144">
        <v>25.700000000000003</v>
      </c>
      <c r="Z563" s="144">
        <v>19.100000000000001</v>
      </c>
      <c r="AA563" s="144">
        <v>15.1</v>
      </c>
      <c r="AB563" s="144">
        <v>15.1</v>
      </c>
    </row>
    <row r="564" spans="2:29" ht="12" customHeight="1">
      <c r="F564" s="1"/>
      <c r="G564" s="210" t="s">
        <v>69</v>
      </c>
      <c r="H564" s="18"/>
      <c r="I564" s="18"/>
      <c r="K564" s="19"/>
      <c r="L564" s="203"/>
      <c r="M564" s="20"/>
      <c r="N564" s="21" t="s">
        <v>1</v>
      </c>
      <c r="O564" s="20"/>
      <c r="P564" s="22"/>
      <c r="Q564" s="20"/>
      <c r="R564" s="140"/>
      <c r="S564" s="141"/>
      <c r="T564" s="142">
        <v>11.600000000000001</v>
      </c>
      <c r="U564" s="140">
        <v>16.600000000000001</v>
      </c>
      <c r="V564" s="143">
        <v>15.899999999999999</v>
      </c>
      <c r="W564" s="23"/>
      <c r="X564" s="144">
        <v>15.1</v>
      </c>
      <c r="Y564" s="144">
        <v>14.100000000000001</v>
      </c>
      <c r="Z564" s="144">
        <v>10.600000000000001</v>
      </c>
      <c r="AA564" s="144">
        <v>7.9</v>
      </c>
      <c r="AB564" s="144">
        <v>7.9</v>
      </c>
    </row>
    <row r="565" spans="2:29" ht="10" customHeight="1">
      <c r="F565" s="1"/>
      <c r="G565" s="165"/>
      <c r="H565" s="166"/>
      <c r="I565" s="166"/>
      <c r="K565" s="167"/>
      <c r="L565" s="204"/>
      <c r="M565" s="168"/>
      <c r="N565" s="169"/>
      <c r="O565" s="168"/>
      <c r="P565" s="168"/>
      <c r="Q565" s="168"/>
      <c r="R565" s="170"/>
      <c r="S565" s="170"/>
      <c r="T565" s="170"/>
      <c r="U565" s="170"/>
      <c r="V565" s="170"/>
      <c r="W565" s="171"/>
      <c r="X565" s="172"/>
      <c r="Y565" s="172"/>
      <c r="Z565" s="172"/>
      <c r="AA565" s="172"/>
      <c r="AB565" s="172"/>
    </row>
    <row r="566" spans="2:29" ht="12" customHeight="1">
      <c r="E566" s="26" t="s">
        <v>8</v>
      </c>
      <c r="F566" s="27" t="s">
        <v>27</v>
      </c>
      <c r="O566" s="24"/>
      <c r="P566" s="134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6"/>
    </row>
    <row r="567" spans="2:29" ht="12" customHeight="1">
      <c r="C567" s="25"/>
      <c r="F567" s="1"/>
      <c r="G567" s="5"/>
      <c r="O567" s="24"/>
      <c r="P567" s="15">
        <v>2011</v>
      </c>
      <c r="Q567" s="16"/>
      <c r="R567" s="16">
        <f>P567+1</f>
        <v>2012</v>
      </c>
      <c r="S567" s="16">
        <f>R567+1</f>
        <v>2013</v>
      </c>
      <c r="T567" s="16">
        <f>S567+1</f>
        <v>2014</v>
      </c>
      <c r="U567" s="16">
        <f>T567+1</f>
        <v>2015</v>
      </c>
      <c r="V567" s="16">
        <f>U567+1</f>
        <v>2016</v>
      </c>
      <c r="W567" s="16"/>
      <c r="X567" s="17">
        <f>V567+1</f>
        <v>2017</v>
      </c>
      <c r="Y567" s="17">
        <f>X567+1</f>
        <v>2018</v>
      </c>
      <c r="Z567" s="17">
        <f>Y567+1</f>
        <v>2019</v>
      </c>
      <c r="AA567" s="17">
        <f>Z567+1</f>
        <v>2020</v>
      </c>
      <c r="AB567" s="17">
        <f>AA567+1</f>
        <v>2021</v>
      </c>
      <c r="AC567" s="24"/>
    </row>
    <row r="568" spans="2:29" ht="4" customHeight="1"/>
    <row r="569" spans="2:29" ht="12" customHeight="1">
      <c r="D569" s="242">
        <v>1</v>
      </c>
      <c r="E569" s="125" t="s">
        <v>209</v>
      </c>
      <c r="F569" s="125" t="s">
        <v>210</v>
      </c>
      <c r="G569" s="145"/>
      <c r="H569" s="150"/>
      <c r="I569" s="151"/>
      <c r="J569" s="3"/>
      <c r="K569" s="295">
        <v>4</v>
      </c>
      <c r="L569" s="201"/>
      <c r="M569" s="30"/>
      <c r="N569" s="87"/>
      <c r="O569" s="32"/>
      <c r="P569" s="33"/>
      <c r="Q569" s="30"/>
      <c r="R569" s="34"/>
      <c r="S569" s="35">
        <f>K569</f>
        <v>4</v>
      </c>
      <c r="T569" s="35"/>
      <c r="U569" s="35"/>
      <c r="V569" s="36"/>
      <c r="W569" s="30"/>
      <c r="X569" s="37"/>
      <c r="Y569" s="38"/>
      <c r="Z569" s="38"/>
      <c r="AA569" s="38"/>
      <c r="AB569" s="39"/>
    </row>
    <row r="570" spans="2:29" ht="12" customHeight="1">
      <c r="D570" s="243">
        <v>2</v>
      </c>
      <c r="E570" s="126" t="s">
        <v>222</v>
      </c>
      <c r="F570" s="126" t="s">
        <v>223</v>
      </c>
      <c r="G570" s="146"/>
      <c r="H570" s="152"/>
      <c r="I570" s="153"/>
      <c r="J570" s="3"/>
      <c r="K570" s="296">
        <v>2</v>
      </c>
      <c r="L570" s="201"/>
      <c r="M570" s="30"/>
      <c r="N570" s="101"/>
      <c r="O570" s="32"/>
      <c r="P570" s="45"/>
      <c r="Q570" s="30"/>
      <c r="R570" s="46"/>
      <c r="S570" s="47">
        <f>K570</f>
        <v>2</v>
      </c>
      <c r="T570" s="47"/>
      <c r="U570" s="47"/>
      <c r="V570" s="48"/>
      <c r="W570" s="30"/>
      <c r="X570" s="49"/>
      <c r="Y570" s="50"/>
      <c r="Z570" s="50"/>
      <c r="AA570" s="50"/>
      <c r="AB570" s="51"/>
    </row>
    <row r="571" spans="2:29" ht="12" customHeight="1">
      <c r="D571" s="243">
        <v>3</v>
      </c>
      <c r="E571" s="126" t="s">
        <v>211</v>
      </c>
      <c r="F571" s="126" t="s">
        <v>26</v>
      </c>
      <c r="G571" s="146"/>
      <c r="H571" s="152"/>
      <c r="I571" s="153"/>
      <c r="J571" s="3"/>
      <c r="K571" s="44">
        <v>2</v>
      </c>
      <c r="L571" s="201"/>
      <c r="M571" s="30"/>
      <c r="N571" s="53"/>
      <c r="O571" s="32"/>
      <c r="P571" s="45"/>
      <c r="Q571" s="30"/>
      <c r="R571" s="46"/>
      <c r="S571" s="47">
        <f t="shared" ref="S571" si="114">K571</f>
        <v>2</v>
      </c>
      <c r="T571" s="47"/>
      <c r="U571" s="47"/>
      <c r="V571" s="48"/>
      <c r="W571" s="30"/>
      <c r="X571" s="49"/>
      <c r="Y571" s="50"/>
      <c r="Z571" s="50"/>
      <c r="AA571" s="50"/>
      <c r="AB571" s="51"/>
    </row>
    <row r="572" spans="2:29" ht="12" customHeight="1">
      <c r="D572" s="244">
        <v>4</v>
      </c>
      <c r="E572" s="127" t="s">
        <v>212</v>
      </c>
      <c r="F572" s="127" t="s">
        <v>26</v>
      </c>
      <c r="G572" s="147"/>
      <c r="H572" s="154"/>
      <c r="I572" s="155"/>
      <c r="J572" s="3"/>
      <c r="K572" s="297">
        <v>4</v>
      </c>
      <c r="L572" s="201"/>
      <c r="M572" s="30"/>
      <c r="N572" s="53"/>
      <c r="O572" s="32"/>
      <c r="P572" s="45"/>
      <c r="Q572" s="30"/>
      <c r="R572" s="46"/>
      <c r="S572" s="47">
        <f>K572</f>
        <v>4</v>
      </c>
      <c r="T572" s="47"/>
      <c r="U572" s="47"/>
      <c r="V572" s="48"/>
      <c r="W572" s="30"/>
      <c r="X572" s="49"/>
      <c r="Y572" s="50"/>
      <c r="Z572" s="50"/>
      <c r="AA572" s="50"/>
      <c r="AB572" s="51"/>
    </row>
    <row r="573" spans="2:29" s="67" customFormat="1" ht="15" customHeight="1">
      <c r="B573" s="54"/>
      <c r="C573" s="55"/>
      <c r="D573" s="133"/>
      <c r="E573" s="124"/>
      <c r="F573" s="128" t="s">
        <v>2</v>
      </c>
      <c r="G573" s="129"/>
      <c r="H573" s="148"/>
      <c r="I573" s="149"/>
      <c r="J573" s="61"/>
      <c r="K573" s="29">
        <f>SUM(K569:K572)</f>
        <v>12</v>
      </c>
      <c r="L573" s="205"/>
      <c r="M573" s="62"/>
      <c r="N573" s="31"/>
      <c r="O573" s="61"/>
      <c r="P573" s="63"/>
      <c r="Q573" s="62"/>
      <c r="R573" s="64">
        <f>SUM(R569:R572)</f>
        <v>0</v>
      </c>
      <c r="S573" s="64">
        <f>SUM(S569:S572)</f>
        <v>12</v>
      </c>
      <c r="T573" s="64">
        <f>SUM(T569:T572)</f>
        <v>0</v>
      </c>
      <c r="U573" s="64">
        <f>SUM(U569:U572)</f>
        <v>0</v>
      </c>
      <c r="V573" s="64">
        <f>SUM(V569:V572)</f>
        <v>0</v>
      </c>
      <c r="W573" s="62"/>
      <c r="X573" s="65"/>
      <c r="Y573" s="59"/>
      <c r="Z573" s="59"/>
      <c r="AA573" s="59"/>
      <c r="AB573" s="66"/>
    </row>
    <row r="574" spans="2:29" ht="9" customHeight="1"/>
    <row r="575" spans="2:29" ht="14.15" customHeight="1">
      <c r="L575" s="1"/>
      <c r="O575" s="24"/>
      <c r="P575" s="84" t="s">
        <v>10</v>
      </c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  <c r="AB575" s="222"/>
    </row>
    <row r="576" spans="2:29" ht="15" customHeight="1">
      <c r="E576" s="26" t="s">
        <v>28</v>
      </c>
      <c r="K576" s="137" t="s">
        <v>67</v>
      </c>
      <c r="L576" s="211" t="s">
        <v>66</v>
      </c>
      <c r="M576" s="24"/>
      <c r="N576" s="212" t="s">
        <v>11</v>
      </c>
      <c r="O576" s="24"/>
      <c r="P576" s="137">
        <v>2011</v>
      </c>
      <c r="Q576" s="5"/>
      <c r="R576" s="137">
        <f>P576+1</f>
        <v>2012</v>
      </c>
      <c r="S576" s="137">
        <f>R576+1</f>
        <v>2013</v>
      </c>
      <c r="T576" s="137">
        <f>S576+1</f>
        <v>2014</v>
      </c>
      <c r="U576" s="137">
        <f>T576+1</f>
        <v>2015</v>
      </c>
      <c r="V576" s="137">
        <f>U576+1</f>
        <v>2016</v>
      </c>
      <c r="W576" s="5"/>
      <c r="X576" s="139">
        <f>V576+1</f>
        <v>2017</v>
      </c>
      <c r="Y576" s="139">
        <f>X576+1</f>
        <v>2018</v>
      </c>
      <c r="Z576" s="139">
        <f>Y576+1</f>
        <v>2019</v>
      </c>
      <c r="AA576" s="139">
        <f>Z576+1</f>
        <v>2020</v>
      </c>
      <c r="AB576" s="139">
        <f>AA576+1</f>
        <v>2021</v>
      </c>
    </row>
    <row r="577" spans="2:28" ht="4.5" customHeight="1"/>
    <row r="578" spans="2:28" ht="12" customHeight="1">
      <c r="D578" s="242">
        <v>1</v>
      </c>
      <c r="E578" s="125" t="s">
        <v>209</v>
      </c>
      <c r="F578" s="125" t="s">
        <v>213</v>
      </c>
      <c r="G578" s="299">
        <f>(3*1+2.5)/4</f>
        <v>1.375</v>
      </c>
      <c r="H578" s="78" t="s">
        <v>12</v>
      </c>
      <c r="I578" s="79" t="s">
        <v>13</v>
      </c>
      <c r="J578" s="3"/>
      <c r="K578" s="80">
        <f>K569</f>
        <v>4</v>
      </c>
      <c r="L578" s="225" t="s">
        <v>13</v>
      </c>
      <c r="M578" s="30"/>
      <c r="N578" s="156">
        <f>G578*K578</f>
        <v>5.5</v>
      </c>
      <c r="O578" s="32"/>
      <c r="P578" s="33"/>
      <c r="Q578" s="30"/>
      <c r="R578" s="81">
        <f t="shared" ref="R578:V581" si="115">$G578*R569</f>
        <v>0</v>
      </c>
      <c r="S578" s="81">
        <f t="shared" si="115"/>
        <v>5.5</v>
      </c>
      <c r="T578" s="81">
        <f t="shared" si="115"/>
        <v>0</v>
      </c>
      <c r="U578" s="81">
        <f t="shared" si="115"/>
        <v>0</v>
      </c>
      <c r="V578" s="81">
        <f t="shared" si="115"/>
        <v>0</v>
      </c>
      <c r="W578" s="30"/>
      <c r="X578" s="37"/>
      <c r="Y578" s="38"/>
      <c r="Z578" s="38"/>
      <c r="AA578" s="38"/>
      <c r="AB578" s="39"/>
    </row>
    <row r="579" spans="2:28" ht="12" customHeight="1">
      <c r="D579" s="243">
        <v>2</v>
      </c>
      <c r="E579" s="126" t="s">
        <v>222</v>
      </c>
      <c r="F579" s="126" t="s">
        <v>214</v>
      </c>
      <c r="G579" s="300">
        <f>(2.3+2.7)/2</f>
        <v>2.5</v>
      </c>
      <c r="H579" s="42" t="s">
        <v>12</v>
      </c>
      <c r="I579" s="43" t="s">
        <v>13</v>
      </c>
      <c r="J579" s="3"/>
      <c r="K579" s="52">
        <f>K570</f>
        <v>2</v>
      </c>
      <c r="L579" s="226" t="s">
        <v>13</v>
      </c>
      <c r="M579" s="30"/>
      <c r="N579" s="157">
        <f>G579*K579</f>
        <v>5</v>
      </c>
      <c r="O579" s="32"/>
      <c r="P579" s="45"/>
      <c r="Q579" s="30"/>
      <c r="R579" s="81">
        <f t="shared" si="115"/>
        <v>0</v>
      </c>
      <c r="S579" s="81">
        <f t="shared" si="115"/>
        <v>5</v>
      </c>
      <c r="T579" s="81">
        <f t="shared" si="115"/>
        <v>0</v>
      </c>
      <c r="U579" s="81">
        <f t="shared" si="115"/>
        <v>0</v>
      </c>
      <c r="V579" s="81">
        <f t="shared" si="115"/>
        <v>0</v>
      </c>
      <c r="W579" s="30"/>
      <c r="X579" s="49"/>
      <c r="Y579" s="50"/>
      <c r="Z579" s="50"/>
      <c r="AA579" s="50"/>
      <c r="AB579" s="51"/>
    </row>
    <row r="580" spans="2:28" ht="12" customHeight="1">
      <c r="D580" s="243">
        <v>3</v>
      </c>
      <c r="E580" s="126" t="s">
        <v>211</v>
      </c>
      <c r="F580" s="126" t="s">
        <v>26</v>
      </c>
      <c r="G580" s="300">
        <f>(17.5+22)/2</f>
        <v>19.75</v>
      </c>
      <c r="H580" s="42" t="s">
        <v>12</v>
      </c>
      <c r="I580" s="43" t="s">
        <v>13</v>
      </c>
      <c r="J580" s="3"/>
      <c r="K580" s="52">
        <f>K571</f>
        <v>2</v>
      </c>
      <c r="L580" s="226" t="s">
        <v>13</v>
      </c>
      <c r="M580" s="30"/>
      <c r="N580" s="157">
        <f>G580*K580</f>
        <v>39.5</v>
      </c>
      <c r="O580" s="32"/>
      <c r="P580" s="45"/>
      <c r="Q580" s="30"/>
      <c r="R580" s="81">
        <f t="shared" si="115"/>
        <v>0</v>
      </c>
      <c r="S580" s="81">
        <f t="shared" si="115"/>
        <v>39.5</v>
      </c>
      <c r="T580" s="81">
        <f t="shared" si="115"/>
        <v>0</v>
      </c>
      <c r="U580" s="81">
        <f t="shared" si="115"/>
        <v>0</v>
      </c>
      <c r="V580" s="81">
        <f t="shared" si="115"/>
        <v>0</v>
      </c>
      <c r="W580" s="30"/>
      <c r="X580" s="49"/>
      <c r="Y580" s="50"/>
      <c r="Z580" s="50"/>
      <c r="AA580" s="50"/>
      <c r="AB580" s="51"/>
    </row>
    <row r="581" spans="2:28" ht="12" customHeight="1">
      <c r="D581" s="244">
        <v>4</v>
      </c>
      <c r="E581" s="127" t="s">
        <v>212</v>
      </c>
      <c r="F581" s="127" t="s">
        <v>26</v>
      </c>
      <c r="G581" s="300">
        <f>(3*13.7+11.8)/4</f>
        <v>13.224999999999998</v>
      </c>
      <c r="H581" s="42" t="s">
        <v>12</v>
      </c>
      <c r="I581" s="43" t="s">
        <v>13</v>
      </c>
      <c r="J581" s="3"/>
      <c r="K581" s="52">
        <f>K572</f>
        <v>4</v>
      </c>
      <c r="L581" s="227" t="s">
        <v>13</v>
      </c>
      <c r="M581" s="30"/>
      <c r="N581" s="157">
        <f>G581*K581</f>
        <v>52.899999999999991</v>
      </c>
      <c r="O581" s="32"/>
      <c r="P581" s="45"/>
      <c r="Q581" s="30"/>
      <c r="R581" s="81">
        <f t="shared" si="115"/>
        <v>0</v>
      </c>
      <c r="S581" s="81">
        <f t="shared" si="115"/>
        <v>52.899999999999991</v>
      </c>
      <c r="T581" s="81">
        <f t="shared" si="115"/>
        <v>0</v>
      </c>
      <c r="U581" s="81">
        <f t="shared" si="115"/>
        <v>0</v>
      </c>
      <c r="V581" s="81">
        <f t="shared" si="115"/>
        <v>0</v>
      </c>
      <c r="W581" s="30"/>
      <c r="X581" s="49"/>
      <c r="Y581" s="50"/>
      <c r="Z581" s="50"/>
      <c r="AA581" s="50"/>
      <c r="AB581" s="51"/>
    </row>
    <row r="582" spans="2:28" s="67" customFormat="1" ht="15" customHeight="1">
      <c r="B582" s="54"/>
      <c r="C582" s="55"/>
      <c r="D582" s="133"/>
      <c r="E582" s="56"/>
      <c r="F582" s="57" t="s">
        <v>14</v>
      </c>
      <c r="G582" s="58"/>
      <c r="H582" s="59"/>
      <c r="I582" s="60"/>
      <c r="J582" s="61"/>
      <c r="K582" s="82"/>
      <c r="L582" s="206"/>
      <c r="M582" s="62"/>
      <c r="N582" s="180">
        <f>SUM(N578:N581)</f>
        <v>102.89999999999999</v>
      </c>
      <c r="O582" s="61"/>
      <c r="P582" s="63"/>
      <c r="Q582" s="62"/>
      <c r="R582" s="83">
        <f>SUM(R578:R581)</f>
        <v>0</v>
      </c>
      <c r="S582" s="83">
        <f>SUM(S578:S581)</f>
        <v>102.89999999999999</v>
      </c>
      <c r="T582" s="83">
        <f>SUM(T578:T581)</f>
        <v>0</v>
      </c>
      <c r="U582" s="83">
        <f>SUM(U578:U581)</f>
        <v>0</v>
      </c>
      <c r="V582" s="83">
        <f>SUM(V578:V581)</f>
        <v>0</v>
      </c>
      <c r="W582" s="62"/>
      <c r="X582" s="65"/>
      <c r="Y582" s="59"/>
      <c r="Z582" s="59"/>
      <c r="AA582" s="59"/>
      <c r="AB582" s="66"/>
    </row>
    <row r="583" spans="2:28" ht="5.15" customHeight="1"/>
    <row r="584" spans="2:28" ht="20.149999999999999" customHeight="1">
      <c r="E584" s="26" t="s">
        <v>15</v>
      </c>
      <c r="F584" s="84" t="s">
        <v>16</v>
      </c>
      <c r="G584" s="85"/>
      <c r="H584" s="215" t="s">
        <v>4</v>
      </c>
      <c r="I584" s="232" t="s">
        <v>76</v>
      </c>
      <c r="K584" s="137" t="s">
        <v>67</v>
      </c>
      <c r="L584" s="211" t="s">
        <v>66</v>
      </c>
      <c r="N584" s="212" t="s">
        <v>11</v>
      </c>
      <c r="P584" s="73">
        <v>2011</v>
      </c>
      <c r="Q584" s="74"/>
      <c r="R584" s="75">
        <f>P584+1</f>
        <v>2012</v>
      </c>
      <c r="S584" s="75">
        <f>R584+1</f>
        <v>2013</v>
      </c>
      <c r="T584" s="75">
        <f>S584+1</f>
        <v>2014</v>
      </c>
      <c r="U584" s="75">
        <f>T584+1</f>
        <v>2015</v>
      </c>
      <c r="V584" s="75">
        <f>U584+1</f>
        <v>2016</v>
      </c>
      <c r="W584" s="74"/>
      <c r="X584" s="76">
        <f>V584+1</f>
        <v>2017</v>
      </c>
      <c r="Y584" s="76">
        <f>X584+1</f>
        <v>2018</v>
      </c>
      <c r="Z584" s="76">
        <f>Y584+1</f>
        <v>2019</v>
      </c>
      <c r="AA584" s="76">
        <f>Z584+1</f>
        <v>2020</v>
      </c>
      <c r="AB584" s="76">
        <f>AA584+1</f>
        <v>2021</v>
      </c>
    </row>
    <row r="585" spans="2:28" ht="4" customHeight="1"/>
    <row r="586" spans="2:28" ht="12" customHeight="1">
      <c r="C586" s="28"/>
      <c r="E586" s="77" t="s">
        <v>218</v>
      </c>
      <c r="F586" s="158" t="s">
        <v>219</v>
      </c>
      <c r="G586" s="86"/>
      <c r="H586" s="213" t="s">
        <v>71</v>
      </c>
      <c r="I586" s="216">
        <v>0.5</v>
      </c>
      <c r="J586" s="3"/>
      <c r="K586" s="298">
        <v>13</v>
      </c>
      <c r="L586" s="229" t="s">
        <v>73</v>
      </c>
      <c r="M586" s="30"/>
      <c r="N586" s="176">
        <f>I586*K586</f>
        <v>6.5</v>
      </c>
      <c r="O586" s="32"/>
      <c r="P586" s="88"/>
      <c r="Q586" s="30"/>
      <c r="R586" s="90"/>
      <c r="S586" s="91">
        <f>N586</f>
        <v>6.5</v>
      </c>
      <c r="T586" s="91"/>
      <c r="U586" s="91"/>
      <c r="V586" s="92"/>
      <c r="W586" s="30"/>
      <c r="X586" s="90"/>
      <c r="Y586" s="91"/>
      <c r="Z586" s="91"/>
      <c r="AA586" s="91"/>
      <c r="AB586" s="92"/>
    </row>
    <row r="587" spans="2:28" ht="12" customHeight="1">
      <c r="C587" s="28"/>
      <c r="E587" s="77" t="s">
        <v>215</v>
      </c>
      <c r="F587" s="158" t="s">
        <v>70</v>
      </c>
      <c r="G587" s="86"/>
      <c r="H587" s="213" t="s">
        <v>71</v>
      </c>
      <c r="I587" s="216">
        <v>0.25</v>
      </c>
      <c r="J587" s="3"/>
      <c r="K587" s="228">
        <v>5.7</v>
      </c>
      <c r="L587" s="229" t="s">
        <v>72</v>
      </c>
      <c r="M587" s="30"/>
      <c r="N587" s="176">
        <f>I587*K587</f>
        <v>1.425</v>
      </c>
      <c r="O587" s="32"/>
      <c r="P587" s="88"/>
      <c r="Q587" s="30"/>
      <c r="R587" s="90"/>
      <c r="S587" s="91">
        <f>N587</f>
        <v>1.425</v>
      </c>
      <c r="T587" s="91"/>
      <c r="U587" s="91"/>
      <c r="V587" s="92"/>
      <c r="W587" s="30"/>
      <c r="X587" s="90"/>
      <c r="Y587" s="91"/>
      <c r="Z587" s="91"/>
      <c r="AA587" s="91"/>
      <c r="AB587" s="92"/>
    </row>
    <row r="588" spans="2:28" ht="12" customHeight="1">
      <c r="C588" s="28"/>
      <c r="E588" s="105"/>
      <c r="F588" s="41" t="s">
        <v>17</v>
      </c>
      <c r="G588" s="93"/>
      <c r="H588" s="94"/>
      <c r="I588" s="217">
        <v>0.1</v>
      </c>
      <c r="J588" s="3"/>
      <c r="K588" s="174">
        <v>7</v>
      </c>
      <c r="L588" s="226" t="s">
        <v>73</v>
      </c>
      <c r="M588" s="30"/>
      <c r="N588" s="177">
        <f>I588*K588</f>
        <v>0.70000000000000007</v>
      </c>
      <c r="O588" s="32"/>
      <c r="P588" s="96"/>
      <c r="Q588" s="30"/>
      <c r="R588" s="97"/>
      <c r="S588" s="98">
        <f>N588</f>
        <v>0.70000000000000007</v>
      </c>
      <c r="T588" s="98"/>
      <c r="U588" s="98"/>
      <c r="V588" s="99"/>
      <c r="W588" s="30"/>
      <c r="X588" s="97"/>
      <c r="Y588" s="98"/>
      <c r="Z588" s="98"/>
      <c r="AA588" s="98"/>
      <c r="AB588" s="99"/>
    </row>
    <row r="589" spans="2:28" ht="12" customHeight="1">
      <c r="C589" s="28"/>
      <c r="E589" s="105" t="s">
        <v>216</v>
      </c>
      <c r="F589" s="41" t="s">
        <v>217</v>
      </c>
      <c r="G589" s="100"/>
      <c r="H589" s="94"/>
      <c r="I589" s="217">
        <f>0.25</f>
        <v>0.25</v>
      </c>
      <c r="J589" s="3"/>
      <c r="K589" s="200">
        <f>11*3</f>
        <v>33</v>
      </c>
      <c r="L589" s="230" t="s">
        <v>72</v>
      </c>
      <c r="M589" s="30"/>
      <c r="N589" s="177">
        <f>I589*K589</f>
        <v>8.25</v>
      </c>
      <c r="O589" s="32"/>
      <c r="P589" s="96"/>
      <c r="Q589" s="30"/>
      <c r="R589" s="257"/>
      <c r="S589" s="214">
        <f>N589</f>
        <v>8.25</v>
      </c>
      <c r="T589" s="214"/>
      <c r="U589" s="103"/>
      <c r="V589" s="104"/>
      <c r="W589" s="30"/>
      <c r="X589" s="102"/>
      <c r="Y589" s="103"/>
      <c r="Z589" s="103"/>
      <c r="AA589" s="103"/>
      <c r="AB589" s="104"/>
    </row>
    <row r="590" spans="2:28" ht="12" customHeight="1">
      <c r="C590" s="28"/>
      <c r="E590" s="105"/>
      <c r="F590" s="253" t="s">
        <v>17</v>
      </c>
      <c r="G590" s="100"/>
      <c r="H590" s="94"/>
      <c r="I590" s="217">
        <v>0.1</v>
      </c>
      <c r="J590" s="3"/>
      <c r="K590" s="174">
        <v>11</v>
      </c>
      <c r="L590" s="226" t="s">
        <v>73</v>
      </c>
      <c r="M590" s="30"/>
      <c r="N590" s="177">
        <f>I590*K590</f>
        <v>1.1000000000000001</v>
      </c>
      <c r="O590" s="32"/>
      <c r="P590" s="96"/>
      <c r="Q590" s="30"/>
      <c r="R590" s="257"/>
      <c r="S590" s="214">
        <f>N590</f>
        <v>1.1000000000000001</v>
      </c>
      <c r="T590" s="214"/>
      <c r="U590" s="103"/>
      <c r="V590" s="104"/>
      <c r="W590" s="30"/>
      <c r="X590" s="102"/>
      <c r="Y590" s="103"/>
      <c r="Z590" s="103"/>
      <c r="AA590" s="103"/>
      <c r="AB590" s="104"/>
    </row>
    <row r="591" spans="2:28" ht="15" customHeight="1">
      <c r="C591" s="28"/>
      <c r="E591" s="183" t="s">
        <v>111</v>
      </c>
      <c r="F591" s="186"/>
      <c r="G591" s="184"/>
      <c r="H591" s="94"/>
      <c r="I591" s="95"/>
      <c r="J591" s="3"/>
      <c r="K591" s="174"/>
      <c r="L591" s="226"/>
      <c r="M591" s="30"/>
      <c r="N591" s="177"/>
      <c r="O591" s="32"/>
      <c r="P591" s="96"/>
      <c r="Q591" s="30"/>
      <c r="R591" s="102"/>
      <c r="S591" s="103"/>
      <c r="T591" s="103"/>
      <c r="U591" s="103"/>
      <c r="V591" s="104"/>
      <c r="W591" s="30"/>
      <c r="X591" s="102"/>
      <c r="Y591" s="103"/>
      <c r="Z591" s="103"/>
      <c r="AA591" s="103"/>
      <c r="AB591" s="104"/>
    </row>
    <row r="592" spans="2:28" ht="12" customHeight="1">
      <c r="C592" s="28"/>
      <c r="E592" s="107" t="s">
        <v>118</v>
      </c>
      <c r="F592" s="254" t="s">
        <v>136</v>
      </c>
      <c r="G592" s="185"/>
      <c r="H592" s="94" t="s">
        <v>18</v>
      </c>
      <c r="I592" s="43">
        <v>7</v>
      </c>
      <c r="J592" s="3"/>
      <c r="K592" s="174">
        <v>1</v>
      </c>
      <c r="L592" s="226"/>
      <c r="M592" s="30"/>
      <c r="N592" s="178">
        <f>I592*K592</f>
        <v>7</v>
      </c>
      <c r="O592" s="32"/>
      <c r="P592" s="96"/>
      <c r="Q592" s="30"/>
      <c r="R592" s="257">
        <f>0.1*N592</f>
        <v>0.70000000000000007</v>
      </c>
      <c r="S592" s="214">
        <f t="shared" ref="S592:S593" si="116">0.5*N592</f>
        <v>3.5</v>
      </c>
      <c r="T592" s="214">
        <f>0.4*N592</f>
        <v>2.8000000000000003</v>
      </c>
      <c r="U592" s="103"/>
      <c r="V592" s="104"/>
      <c r="W592" s="30"/>
      <c r="X592" s="102"/>
      <c r="Y592" s="103"/>
      <c r="Z592" s="103"/>
      <c r="AA592" s="103"/>
      <c r="AB592" s="104"/>
    </row>
    <row r="593" spans="2:28" ht="12" customHeight="1">
      <c r="C593" s="28"/>
      <c r="E593" s="261" t="s">
        <v>112</v>
      </c>
      <c r="F593" s="248" t="s">
        <v>133</v>
      </c>
      <c r="G593" s="184"/>
      <c r="H593" s="94" t="s">
        <v>18</v>
      </c>
      <c r="I593" s="43">
        <v>0.12</v>
      </c>
      <c r="J593" s="3"/>
      <c r="K593" s="200">
        <f>33*10</f>
        <v>330</v>
      </c>
      <c r="L593" s="230"/>
      <c r="M593" s="30"/>
      <c r="N593" s="177">
        <f>I593*K593</f>
        <v>39.6</v>
      </c>
      <c r="O593" s="32"/>
      <c r="P593" s="96"/>
      <c r="Q593" s="30"/>
      <c r="R593" s="257">
        <f t="shared" ref="R593" si="117">0.1*N593</f>
        <v>3.9600000000000004</v>
      </c>
      <c r="S593" s="214">
        <f t="shared" si="116"/>
        <v>19.8</v>
      </c>
      <c r="T593" s="214">
        <f t="shared" ref="T593" si="118">0.4*N593</f>
        <v>15.840000000000002</v>
      </c>
      <c r="U593" s="103"/>
      <c r="V593" s="104"/>
      <c r="W593" s="30"/>
      <c r="X593" s="102"/>
      <c r="Y593" s="103"/>
      <c r="Z593" s="103"/>
      <c r="AA593" s="103"/>
      <c r="AB593" s="104"/>
    </row>
    <row r="594" spans="2:28" ht="12" customHeight="1">
      <c r="C594" s="28"/>
      <c r="E594" s="245" t="s">
        <v>44</v>
      </c>
      <c r="F594" s="246"/>
      <c r="G594" s="184"/>
      <c r="H594" s="94"/>
      <c r="I594" s="43"/>
      <c r="J594" s="3"/>
      <c r="K594" s="200"/>
      <c r="L594" s="230"/>
      <c r="M594" s="30"/>
      <c r="N594" s="177"/>
      <c r="O594" s="32"/>
      <c r="P594" s="96"/>
      <c r="Q594" s="30"/>
      <c r="R594" s="257"/>
      <c r="S594" s="214"/>
      <c r="T594" s="214"/>
      <c r="U594" s="103"/>
      <c r="V594" s="104"/>
      <c r="W594" s="30"/>
      <c r="X594" s="102"/>
      <c r="Y594" s="103"/>
      <c r="Z594" s="103"/>
      <c r="AA594" s="103"/>
      <c r="AB594" s="104"/>
    </row>
    <row r="595" spans="2:28" ht="12" customHeight="1">
      <c r="C595" s="28"/>
      <c r="E595" s="107" t="s">
        <v>44</v>
      </c>
      <c r="F595" s="247" t="s">
        <v>46</v>
      </c>
      <c r="G595" s="184"/>
      <c r="H595" s="94" t="s">
        <v>18</v>
      </c>
      <c r="I595" s="43">
        <v>65</v>
      </c>
      <c r="J595" s="3"/>
      <c r="K595" s="174">
        <v>1</v>
      </c>
      <c r="L595" s="226"/>
      <c r="M595" s="30"/>
      <c r="N595" s="178">
        <f>I595*K595</f>
        <v>65</v>
      </c>
      <c r="O595" s="32"/>
      <c r="P595" s="96"/>
      <c r="Q595" s="30"/>
      <c r="R595" s="257">
        <f t="shared" ref="R595:R597" si="119">0.1*N595</f>
        <v>6.5</v>
      </c>
      <c r="S595" s="214">
        <f t="shared" ref="S595:S597" si="120">0.5*N595</f>
        <v>32.5</v>
      </c>
      <c r="T595" s="214">
        <f t="shared" ref="T595:T597" si="121">0.4*N595</f>
        <v>26</v>
      </c>
      <c r="U595" s="103"/>
      <c r="V595" s="104"/>
      <c r="W595" s="30"/>
      <c r="X595" s="102"/>
      <c r="Y595" s="103"/>
      <c r="Z595" s="103"/>
      <c r="AA595" s="103"/>
      <c r="AB595" s="104"/>
    </row>
    <row r="596" spans="2:28" ht="12" customHeight="1">
      <c r="C596" s="28"/>
      <c r="E596" s="107"/>
      <c r="F596" s="247" t="s">
        <v>110</v>
      </c>
      <c r="G596" s="184"/>
      <c r="H596" s="94" t="s">
        <v>18</v>
      </c>
      <c r="I596" s="43">
        <v>0.12</v>
      </c>
      <c r="J596" s="3"/>
      <c r="K596" s="200">
        <f>44*10</f>
        <v>440</v>
      </c>
      <c r="L596" s="230" t="s">
        <v>75</v>
      </c>
      <c r="M596" s="30"/>
      <c r="N596" s="177">
        <f>I596*K596</f>
        <v>52.8</v>
      </c>
      <c r="O596" s="32"/>
      <c r="P596" s="96"/>
      <c r="Q596" s="30"/>
      <c r="R596" s="257">
        <f t="shared" si="119"/>
        <v>5.28</v>
      </c>
      <c r="S596" s="214">
        <f t="shared" si="120"/>
        <v>26.4</v>
      </c>
      <c r="T596" s="214">
        <f t="shared" si="121"/>
        <v>21.12</v>
      </c>
      <c r="U596" s="103"/>
      <c r="V596" s="104"/>
      <c r="W596" s="30"/>
      <c r="X596" s="102"/>
      <c r="Y596" s="103"/>
      <c r="Z596" s="103"/>
      <c r="AA596" s="103"/>
      <c r="AB596" s="104"/>
    </row>
    <row r="597" spans="2:28" ht="12" customHeight="1">
      <c r="C597" s="28"/>
      <c r="E597" s="107"/>
      <c r="F597" s="247" t="s">
        <v>56</v>
      </c>
      <c r="G597" s="184"/>
      <c r="H597" s="94"/>
      <c r="I597" s="43"/>
      <c r="J597" s="3"/>
      <c r="K597" s="173"/>
      <c r="L597" s="230"/>
      <c r="M597" s="30"/>
      <c r="N597" s="177">
        <v>5</v>
      </c>
      <c r="O597" s="32"/>
      <c r="P597" s="96"/>
      <c r="Q597" s="30"/>
      <c r="R597" s="257">
        <f t="shared" si="119"/>
        <v>0.5</v>
      </c>
      <c r="S597" s="214">
        <f t="shared" si="120"/>
        <v>2.5</v>
      </c>
      <c r="T597" s="214">
        <f t="shared" si="121"/>
        <v>2</v>
      </c>
      <c r="U597" s="103"/>
      <c r="V597" s="104"/>
      <c r="W597" s="30"/>
      <c r="X597" s="102"/>
      <c r="Y597" s="103"/>
      <c r="Z597" s="103"/>
      <c r="AA597" s="103"/>
      <c r="AB597" s="104"/>
    </row>
    <row r="598" spans="2:28" ht="12" customHeight="1">
      <c r="C598" s="28"/>
      <c r="E598" s="107" t="s">
        <v>90</v>
      </c>
      <c r="F598" s="247" t="s">
        <v>108</v>
      </c>
      <c r="G598" s="184"/>
      <c r="H598" s="94" t="s">
        <v>18</v>
      </c>
      <c r="I598" s="43">
        <v>1.25</v>
      </c>
      <c r="J598" s="3"/>
      <c r="K598" s="200">
        <v>48</v>
      </c>
      <c r="L598" s="204" t="s">
        <v>91</v>
      </c>
      <c r="M598" s="30"/>
      <c r="N598" s="177">
        <f>I598*K598</f>
        <v>60</v>
      </c>
      <c r="O598" s="32"/>
      <c r="P598" s="96"/>
      <c r="Q598" s="30"/>
      <c r="R598" s="257">
        <f t="shared" ref="R598:R599" si="122">0.1*N598</f>
        <v>6</v>
      </c>
      <c r="S598" s="214">
        <f t="shared" ref="S598:S599" si="123">0.5*N598</f>
        <v>30</v>
      </c>
      <c r="T598" s="214">
        <f t="shared" ref="T598:T599" si="124">0.4*N598</f>
        <v>24</v>
      </c>
      <c r="U598" s="103"/>
      <c r="V598" s="104"/>
      <c r="W598" s="30"/>
      <c r="X598" s="102"/>
      <c r="Y598" s="103"/>
      <c r="Z598" s="103"/>
      <c r="AA598" s="103"/>
      <c r="AB598" s="104"/>
    </row>
    <row r="599" spans="2:28" ht="12" customHeight="1">
      <c r="C599" s="28"/>
      <c r="E599" s="189" t="s">
        <v>59</v>
      </c>
      <c r="F599" s="256" t="s">
        <v>139</v>
      </c>
      <c r="G599" s="190"/>
      <c r="H599" s="94"/>
      <c r="I599" s="43"/>
      <c r="J599" s="3"/>
      <c r="K599" s="175"/>
      <c r="L599" s="231"/>
      <c r="M599" s="30"/>
      <c r="N599" s="234">
        <f>SUM(N586:N597)*0.1</f>
        <v>18.737500000000001</v>
      </c>
      <c r="O599" s="32"/>
      <c r="P599" s="109"/>
      <c r="Q599" s="30"/>
      <c r="R599" s="218">
        <f t="shared" si="122"/>
        <v>1.8737500000000002</v>
      </c>
      <c r="S599" s="219">
        <f t="shared" si="123"/>
        <v>9.3687500000000004</v>
      </c>
      <c r="T599" s="219">
        <f t="shared" si="124"/>
        <v>7.495000000000001</v>
      </c>
      <c r="U599" s="111"/>
      <c r="V599" s="112"/>
      <c r="W599" s="30"/>
      <c r="X599" s="110"/>
      <c r="Y599" s="111"/>
      <c r="Z599" s="111"/>
      <c r="AA599" s="111"/>
      <c r="AB599" s="112"/>
    </row>
    <row r="600" spans="2:28" ht="4" customHeight="1">
      <c r="E600" s="3"/>
      <c r="J600" s="3"/>
    </row>
    <row r="601" spans="2:28" ht="15" customHeight="1">
      <c r="F601" s="113" t="s">
        <v>19</v>
      </c>
      <c r="G601" s="114"/>
      <c r="H601" s="114"/>
      <c r="I601" s="85"/>
      <c r="K601" s="22"/>
      <c r="L601" s="207"/>
      <c r="M601" s="20"/>
      <c r="N601" s="179">
        <f>SUM(N586:N599)</f>
        <v>266.11250000000001</v>
      </c>
      <c r="O601" s="20"/>
      <c r="P601" s="22"/>
      <c r="Q601" s="20"/>
      <c r="R601" s="180">
        <f>SUM(R587:R599)</f>
        <v>24.813750000000002</v>
      </c>
      <c r="S601" s="181">
        <f>SUM(S587:S599)</f>
        <v>135.54375000000002</v>
      </c>
      <c r="T601" s="181">
        <f>SUM(T587:T599)</f>
        <v>99.25500000000001</v>
      </c>
      <c r="U601" s="182">
        <f>SUM(U587:U599)</f>
        <v>0</v>
      </c>
      <c r="V601" s="180">
        <f>SUM(V587:V599)</f>
        <v>0</v>
      </c>
      <c r="W601" s="115"/>
      <c r="X601" s="160">
        <f>SUM(X587:X599)</f>
        <v>0</v>
      </c>
      <c r="Y601" s="161">
        <f>SUM(Y587:Y599)</f>
        <v>0</v>
      </c>
      <c r="Z601" s="161">
        <f>SUM(Z587:Z599)</f>
        <v>0</v>
      </c>
      <c r="AA601" s="161">
        <f>SUM(AA587:AA599)</f>
        <v>0</v>
      </c>
      <c r="AB601" s="161">
        <f>SUM(AB587:AB599)</f>
        <v>0</v>
      </c>
    </row>
    <row r="602" spans="2:28" ht="10" customHeight="1">
      <c r="F602" s="192"/>
      <c r="G602" s="193"/>
      <c r="H602" s="193"/>
      <c r="I602" s="193"/>
      <c r="K602" s="168"/>
      <c r="L602" s="20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94"/>
      <c r="X602" s="195"/>
      <c r="Y602" s="195"/>
      <c r="Z602" s="195"/>
      <c r="AA602" s="195"/>
      <c r="AB602" s="195"/>
    </row>
    <row r="603" spans="2:28" ht="15" customHeight="1">
      <c r="B603" s="164" t="s">
        <v>116</v>
      </c>
      <c r="C603" s="6"/>
      <c r="E603" s="116" t="s">
        <v>20</v>
      </c>
    </row>
    <row r="604" spans="2:28" ht="15" customHeight="1">
      <c r="B604" s="6"/>
      <c r="C604" s="9"/>
      <c r="E604" s="9" t="s">
        <v>126</v>
      </c>
      <c r="F604" s="237"/>
      <c r="K604" s="333" t="s">
        <v>9</v>
      </c>
      <c r="L604" s="334"/>
      <c r="M604" s="334"/>
      <c r="N604" s="335"/>
      <c r="O604" s="24"/>
      <c r="P604" s="68" t="s">
        <v>10</v>
      </c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70"/>
    </row>
    <row r="605" spans="2:28" ht="15" customHeight="1">
      <c r="E605" s="26" t="s">
        <v>21</v>
      </c>
      <c r="F605" s="84" t="s">
        <v>22</v>
      </c>
      <c r="G605" s="85"/>
      <c r="H605" s="73" t="s">
        <v>4</v>
      </c>
      <c r="I605" s="75" t="s">
        <v>23</v>
      </c>
      <c r="K605" s="71"/>
      <c r="M605" s="24"/>
      <c r="N605" s="72" t="s">
        <v>11</v>
      </c>
      <c r="O605" s="24"/>
      <c r="P605" s="73">
        <v>2011</v>
      </c>
      <c r="Q605" s="74"/>
      <c r="R605" s="75">
        <f>P605+1</f>
        <v>2012</v>
      </c>
      <c r="S605" s="75">
        <f>R605+1</f>
        <v>2013</v>
      </c>
      <c r="T605" s="75">
        <f>S605+1</f>
        <v>2014</v>
      </c>
      <c r="U605" s="75">
        <f>T605+1</f>
        <v>2015</v>
      </c>
      <c r="V605" s="75">
        <f>U605+1</f>
        <v>2016</v>
      </c>
      <c r="W605" s="74"/>
      <c r="X605" s="76">
        <f>V605+1</f>
        <v>2017</v>
      </c>
      <c r="Y605" s="76">
        <f>X605+1</f>
        <v>2018</v>
      </c>
      <c r="Z605" s="76">
        <f>Y605+1</f>
        <v>2019</v>
      </c>
      <c r="AA605" s="76">
        <f>Z605+1</f>
        <v>2020</v>
      </c>
      <c r="AB605" s="76">
        <f>AA605+1</f>
        <v>2021</v>
      </c>
    </row>
    <row r="606" spans="2:28" ht="4" customHeight="1"/>
    <row r="607" spans="2:28" ht="12" customHeight="1">
      <c r="C607" s="28"/>
      <c r="E607" s="77" t="s">
        <v>3</v>
      </c>
      <c r="F607" s="197" t="s">
        <v>224</v>
      </c>
      <c r="G607" s="117"/>
      <c r="H607" s="73"/>
      <c r="I607" s="75"/>
      <c r="J607" s="3"/>
      <c r="K607" s="87"/>
      <c r="L607" s="204"/>
      <c r="M607" s="30"/>
      <c r="N607" s="176">
        <f>N582</f>
        <v>102.89999999999999</v>
      </c>
      <c r="O607" s="32"/>
      <c r="P607" s="88"/>
      <c r="Q607" s="30"/>
      <c r="R607" s="89">
        <f>R582</f>
        <v>0</v>
      </c>
      <c r="S607" s="89">
        <f>S582</f>
        <v>102.89999999999999</v>
      </c>
      <c r="T607" s="89">
        <f>T582</f>
        <v>0</v>
      </c>
      <c r="U607" s="89">
        <f>U582</f>
        <v>0</v>
      </c>
      <c r="V607" s="220">
        <f>V582</f>
        <v>0</v>
      </c>
      <c r="X607" s="199"/>
      <c r="Y607" s="118"/>
      <c r="Z607" s="118"/>
      <c r="AA607" s="118"/>
      <c r="AB607" s="119"/>
    </row>
    <row r="608" spans="2:28" ht="12" customHeight="1">
      <c r="C608" s="28"/>
      <c r="E608" s="105" t="s">
        <v>218</v>
      </c>
      <c r="F608" s="41" t="s">
        <v>221</v>
      </c>
      <c r="G608" s="100"/>
      <c r="H608" s="94"/>
      <c r="I608" s="43"/>
      <c r="J608" s="3"/>
      <c r="K608" s="101"/>
      <c r="L608" s="204"/>
      <c r="M608" s="30"/>
      <c r="N608" s="178">
        <f>N586</f>
        <v>6.5</v>
      </c>
      <c r="O608" s="32"/>
      <c r="P608" s="96"/>
      <c r="Q608" s="30"/>
      <c r="R608" s="157">
        <f>SUM(R581:R584)</f>
        <v>2012</v>
      </c>
      <c r="S608" s="157">
        <f t="shared" ref="S608:V608" si="125">SUM(S581:S584)</f>
        <v>2168.8000000000002</v>
      </c>
      <c r="T608" s="157">
        <f t="shared" si="125"/>
        <v>2014</v>
      </c>
      <c r="U608" s="157">
        <f t="shared" si="125"/>
        <v>2015</v>
      </c>
      <c r="V608" s="157">
        <f t="shared" si="125"/>
        <v>2016</v>
      </c>
      <c r="W608" s="30"/>
      <c r="X608" s="102"/>
      <c r="Y608" s="103"/>
      <c r="Z608" s="103"/>
      <c r="AA608" s="103"/>
      <c r="AB608" s="104"/>
    </row>
    <row r="609" spans="2:28" ht="12" customHeight="1">
      <c r="C609" s="28"/>
      <c r="E609" s="105" t="s">
        <v>29</v>
      </c>
      <c r="F609" s="41" t="s">
        <v>220</v>
      </c>
      <c r="G609" s="100"/>
      <c r="H609" s="94"/>
      <c r="I609" s="43"/>
      <c r="J609" s="3"/>
      <c r="K609" s="101"/>
      <c r="L609" s="204"/>
      <c r="M609" s="30"/>
      <c r="N609" s="178">
        <f>SUM(N587:N590)</f>
        <v>11.475</v>
      </c>
      <c r="O609" s="32"/>
      <c r="P609" s="96"/>
      <c r="Q609" s="30"/>
      <c r="R609" s="157">
        <f>SUM(R587:R590)</f>
        <v>0</v>
      </c>
      <c r="S609" s="157">
        <f t="shared" ref="S609:V609" si="126">SUM(S587:S590)</f>
        <v>11.475</v>
      </c>
      <c r="T609" s="157">
        <f t="shared" si="126"/>
        <v>0</v>
      </c>
      <c r="U609" s="157">
        <f t="shared" si="126"/>
        <v>0</v>
      </c>
      <c r="V609" s="157">
        <f t="shared" si="126"/>
        <v>0</v>
      </c>
      <c r="W609" s="30"/>
      <c r="X609" s="102"/>
      <c r="Y609" s="103"/>
      <c r="Z609" s="103"/>
      <c r="AA609" s="103"/>
      <c r="AB609" s="104"/>
    </row>
    <row r="610" spans="2:28" ht="12" customHeight="1">
      <c r="C610" s="28"/>
      <c r="E610" s="105" t="s">
        <v>118</v>
      </c>
      <c r="F610" s="41"/>
      <c r="G610" s="100"/>
      <c r="H610" s="94"/>
      <c r="I610" s="43"/>
      <c r="J610" s="3"/>
      <c r="K610" s="101"/>
      <c r="L610" s="204"/>
      <c r="M610" s="30"/>
      <c r="N610" s="178">
        <f>SUM(N592)</f>
        <v>7</v>
      </c>
      <c r="O610" s="32"/>
      <c r="P610" s="96"/>
      <c r="Q610" s="30"/>
      <c r="R610" s="178">
        <f>SUM(R592)</f>
        <v>0.70000000000000007</v>
      </c>
      <c r="S610" s="178">
        <f t="shared" ref="S610:V610" si="127">SUM(S592)</f>
        <v>3.5</v>
      </c>
      <c r="T610" s="178">
        <f t="shared" si="127"/>
        <v>2.8000000000000003</v>
      </c>
      <c r="U610" s="178">
        <f t="shared" si="127"/>
        <v>0</v>
      </c>
      <c r="V610" s="178">
        <f t="shared" si="127"/>
        <v>0</v>
      </c>
      <c r="W610" s="30"/>
      <c r="X610" s="102"/>
      <c r="Y610" s="103"/>
      <c r="Z610" s="103"/>
      <c r="AA610" s="103"/>
      <c r="AB610" s="104"/>
    </row>
    <row r="611" spans="2:28" ht="12" customHeight="1">
      <c r="C611" s="28"/>
      <c r="E611" s="107" t="s">
        <v>112</v>
      </c>
      <c r="F611" s="187" t="s">
        <v>130</v>
      </c>
      <c r="G611" s="100"/>
      <c r="H611" s="94"/>
      <c r="I611" s="43"/>
      <c r="J611" s="3"/>
      <c r="K611" s="101"/>
      <c r="L611" s="204"/>
      <c r="M611" s="30"/>
      <c r="N611" s="178">
        <f>SUM(N593)</f>
        <v>39.6</v>
      </c>
      <c r="O611" s="32"/>
      <c r="P611" s="96"/>
      <c r="Q611" s="30"/>
      <c r="R611" s="178">
        <f>SUM(R593)</f>
        <v>3.9600000000000004</v>
      </c>
      <c r="S611" s="178">
        <f t="shared" ref="S611:V611" si="128">SUM(S593)</f>
        <v>19.8</v>
      </c>
      <c r="T611" s="178">
        <f t="shared" si="128"/>
        <v>15.840000000000002</v>
      </c>
      <c r="U611" s="178">
        <f t="shared" si="128"/>
        <v>0</v>
      </c>
      <c r="V611" s="178">
        <f t="shared" si="128"/>
        <v>0</v>
      </c>
      <c r="W611" s="30"/>
      <c r="X611" s="102"/>
      <c r="Y611" s="103"/>
      <c r="Z611" s="103"/>
      <c r="AA611" s="103"/>
      <c r="AB611" s="104"/>
    </row>
    <row r="612" spans="2:28" ht="12" customHeight="1">
      <c r="C612" s="28"/>
      <c r="E612" s="105" t="s">
        <v>119</v>
      </c>
      <c r="F612" s="41"/>
      <c r="G612" s="100"/>
      <c r="H612" s="94"/>
      <c r="I612" s="43"/>
      <c r="J612" s="3"/>
      <c r="K612" s="101"/>
      <c r="L612" s="204"/>
      <c r="M612" s="30"/>
      <c r="N612" s="178">
        <f>SUM(N595)</f>
        <v>65</v>
      </c>
      <c r="O612" s="32"/>
      <c r="P612" s="96"/>
      <c r="Q612" s="30"/>
      <c r="R612" s="178">
        <f>SUM(R595)</f>
        <v>6.5</v>
      </c>
      <c r="S612" s="178">
        <f t="shared" ref="S612:W612" si="129">SUM(S595)</f>
        <v>32.5</v>
      </c>
      <c r="T612" s="178">
        <f t="shared" si="129"/>
        <v>26</v>
      </c>
      <c r="U612" s="178">
        <f t="shared" si="129"/>
        <v>0</v>
      </c>
      <c r="V612" s="178">
        <f t="shared" si="129"/>
        <v>0</v>
      </c>
      <c r="W612" s="178">
        <f t="shared" si="129"/>
        <v>0</v>
      </c>
      <c r="X612" s="102"/>
      <c r="Y612" s="103"/>
      <c r="Z612" s="103"/>
      <c r="AA612" s="103"/>
      <c r="AB612" s="104"/>
    </row>
    <row r="613" spans="2:28" ht="12" customHeight="1">
      <c r="C613" s="28"/>
      <c r="E613" s="105" t="s">
        <v>120</v>
      </c>
      <c r="F613" s="247" t="s">
        <v>110</v>
      </c>
      <c r="G613" s="100"/>
      <c r="H613" s="94"/>
      <c r="I613" s="43"/>
      <c r="J613" s="3"/>
      <c r="K613" s="101"/>
      <c r="L613" s="204"/>
      <c r="M613" s="30"/>
      <c r="N613" s="178">
        <f>SUM(N596)</f>
        <v>52.8</v>
      </c>
      <c r="O613" s="32"/>
      <c r="P613" s="96"/>
      <c r="Q613" s="30"/>
      <c r="R613" s="178">
        <f>SUM(R596)</f>
        <v>5.28</v>
      </c>
      <c r="S613" s="178">
        <f t="shared" ref="S613:V613" si="130">SUM(S596)</f>
        <v>26.4</v>
      </c>
      <c r="T613" s="178">
        <f t="shared" si="130"/>
        <v>21.12</v>
      </c>
      <c r="U613" s="178">
        <f t="shared" si="130"/>
        <v>0</v>
      </c>
      <c r="V613" s="178">
        <f t="shared" si="130"/>
        <v>0</v>
      </c>
      <c r="W613" s="30"/>
      <c r="X613" s="102"/>
      <c r="Y613" s="103"/>
      <c r="Z613" s="103"/>
      <c r="AA613" s="103"/>
      <c r="AB613" s="104"/>
    </row>
    <row r="614" spans="2:28" ht="12" customHeight="1">
      <c r="C614" s="28"/>
      <c r="E614" s="105" t="s">
        <v>121</v>
      </c>
      <c r="F614" s="41"/>
      <c r="G614" s="100"/>
      <c r="H614" s="94"/>
      <c r="I614" s="43"/>
      <c r="J614" s="3"/>
      <c r="K614" s="101"/>
      <c r="L614" s="204"/>
      <c r="M614" s="30"/>
      <c r="N614" s="178">
        <f>SUM(N597)</f>
        <v>5</v>
      </c>
      <c r="O614" s="32"/>
      <c r="P614" s="96"/>
      <c r="Q614" s="30"/>
      <c r="R614" s="178">
        <f>SUM(R597)</f>
        <v>0.5</v>
      </c>
      <c r="S614" s="178">
        <f t="shared" ref="S614:V614" si="131">SUM(S597)</f>
        <v>2.5</v>
      </c>
      <c r="T614" s="178">
        <f t="shared" si="131"/>
        <v>2</v>
      </c>
      <c r="U614" s="178">
        <f t="shared" si="131"/>
        <v>0</v>
      </c>
      <c r="V614" s="178">
        <f t="shared" si="131"/>
        <v>0</v>
      </c>
      <c r="W614" s="30"/>
      <c r="X614" s="102"/>
      <c r="Y614" s="103"/>
      <c r="Z614" s="103"/>
      <c r="AA614" s="103"/>
      <c r="AB614" s="104"/>
    </row>
    <row r="615" spans="2:28" ht="12" customHeight="1">
      <c r="C615" s="28"/>
      <c r="E615" s="107" t="s">
        <v>90</v>
      </c>
      <c r="F615" s="247" t="s">
        <v>108</v>
      </c>
      <c r="G615" s="100"/>
      <c r="H615" s="94"/>
      <c r="I615" s="43"/>
      <c r="J615" s="3"/>
      <c r="K615" s="101"/>
      <c r="L615" s="204"/>
      <c r="M615" s="30"/>
      <c r="N615" s="178">
        <f>SUM(N598)</f>
        <v>60</v>
      </c>
      <c r="O615" s="32"/>
      <c r="P615" s="96"/>
      <c r="Q615" s="30"/>
      <c r="R615" s="178">
        <f>SUM(R599:R599)</f>
        <v>1.8737500000000002</v>
      </c>
      <c r="S615" s="178">
        <f>SUM(S599:S599)</f>
        <v>9.3687500000000004</v>
      </c>
      <c r="T615" s="178">
        <f>SUM(T599:T599)</f>
        <v>7.495000000000001</v>
      </c>
      <c r="U615" s="178">
        <f>SUM(U599:U599)</f>
        <v>0</v>
      </c>
      <c r="V615" s="178">
        <f>SUM(V599:V599)</f>
        <v>0</v>
      </c>
      <c r="W615" s="30"/>
      <c r="X615" s="102"/>
      <c r="Y615" s="103"/>
      <c r="Z615" s="103"/>
      <c r="AA615" s="103"/>
      <c r="AB615" s="104"/>
    </row>
    <row r="616" spans="2:28" ht="12" customHeight="1">
      <c r="C616" s="28"/>
      <c r="E616" s="108" t="s">
        <v>59</v>
      </c>
      <c r="F616" s="256" t="s">
        <v>139</v>
      </c>
      <c r="G616" s="120"/>
      <c r="H616" s="94"/>
      <c r="I616" s="43"/>
      <c r="J616" s="3"/>
      <c r="K616" s="121"/>
      <c r="L616" s="204"/>
      <c r="M616" s="30"/>
      <c r="N616" s="234">
        <f>N599</f>
        <v>18.737500000000001</v>
      </c>
      <c r="O616" s="32"/>
      <c r="P616" s="109"/>
      <c r="Q616" s="30"/>
      <c r="R616" s="163">
        <f t="shared" ref="R616:V616" si="132">R599</f>
        <v>1.8737500000000002</v>
      </c>
      <c r="S616" s="163">
        <f t="shared" si="132"/>
        <v>9.3687500000000004</v>
      </c>
      <c r="T616" s="163">
        <f t="shared" si="132"/>
        <v>7.495000000000001</v>
      </c>
      <c r="U616" s="163">
        <f t="shared" si="132"/>
        <v>0</v>
      </c>
      <c r="V616" s="163">
        <f t="shared" si="132"/>
        <v>0</v>
      </c>
      <c r="W616" s="30"/>
      <c r="X616" s="218"/>
      <c r="Y616" s="111"/>
      <c r="Z616" s="111"/>
      <c r="AA616" s="111"/>
      <c r="AB616" s="112"/>
    </row>
    <row r="617" spans="2:28" ht="4" customHeight="1">
      <c r="E617" s="3"/>
      <c r="J617" s="3"/>
    </row>
    <row r="618" spans="2:28" ht="15" customHeight="1">
      <c r="F618" s="122" t="s">
        <v>24</v>
      </c>
      <c r="G618" s="114"/>
      <c r="H618" s="114"/>
      <c r="I618" s="85"/>
      <c r="K618" s="22"/>
      <c r="L618" s="207"/>
      <c r="M618" s="20"/>
      <c r="N618" s="162">
        <f>SUM(N607:N616)</f>
        <v>369.01249999999999</v>
      </c>
      <c r="O618" s="20"/>
      <c r="P618" s="22"/>
      <c r="Q618" s="20"/>
      <c r="R618" s="198">
        <f>SUM(R607:R616)</f>
        <v>2032.6875</v>
      </c>
      <c r="S618" s="198">
        <f>SUM(S607:S616)</f>
        <v>2386.6125000000006</v>
      </c>
      <c r="T618" s="198">
        <f>SUM(T607:T616)</f>
        <v>2096.7499999999995</v>
      </c>
      <c r="U618" s="198">
        <f>SUM(U607:U616)</f>
        <v>2015</v>
      </c>
      <c r="V618" s="198">
        <f>SUM(V607:V616)</f>
        <v>2016</v>
      </c>
      <c r="W618" s="115"/>
      <c r="X618" s="160">
        <f>SUM(X607:X616)</f>
        <v>0</v>
      </c>
      <c r="Y618" s="160">
        <f>SUM(Y607:Y616)</f>
        <v>0</v>
      </c>
      <c r="Z618" s="160">
        <f>SUM(Z607:Z616)</f>
        <v>0</v>
      </c>
      <c r="AA618" s="160">
        <f>SUM(AA607:AA616)</f>
        <v>0</v>
      </c>
      <c r="AB618" s="160">
        <f>SUM(AB607:AB616)</f>
        <v>0</v>
      </c>
    </row>
    <row r="619" spans="2:28" ht="10" customHeight="1"/>
    <row r="620" spans="2:28" ht="12" customHeight="1">
      <c r="N620" s="67"/>
    </row>
    <row r="621" spans="2:28" ht="12" customHeight="1">
      <c r="N621" s="67"/>
    </row>
    <row r="622" spans="2:28" ht="10" customHeight="1">
      <c r="N622" s="67"/>
    </row>
    <row r="623" spans="2:28" ht="10" customHeight="1" thickBot="1">
      <c r="N623" s="67"/>
    </row>
    <row r="624" spans="2:28" ht="16" thickBot="1">
      <c r="B624" s="315" t="s">
        <v>77</v>
      </c>
      <c r="C624" s="316"/>
      <c r="D624" s="316"/>
      <c r="E624" s="316"/>
      <c r="F624" s="316"/>
      <c r="G624" s="316"/>
      <c r="H624" s="316"/>
      <c r="I624" s="316"/>
      <c r="J624" s="316"/>
      <c r="K624" s="316"/>
      <c r="L624" s="316"/>
      <c r="M624" s="316"/>
      <c r="N624" s="316"/>
      <c r="O624" s="316"/>
      <c r="P624" s="316"/>
      <c r="Q624" s="316"/>
      <c r="R624" s="316"/>
      <c r="S624" s="316"/>
      <c r="T624" s="316"/>
      <c r="U624" s="316"/>
      <c r="V624" s="316"/>
      <c r="W624" s="316"/>
      <c r="X624" s="316"/>
      <c r="Y624" s="316"/>
      <c r="Z624" s="316"/>
      <c r="AA624" s="316"/>
      <c r="AB624" s="317"/>
    </row>
    <row r="625" spans="2:29" ht="10" customHeight="1" thickBot="1"/>
    <row r="626" spans="2:29" ht="13" thickBot="1">
      <c r="B626" s="164" t="s">
        <v>60</v>
      </c>
      <c r="C626" s="6"/>
      <c r="D626" s="132"/>
      <c r="E626" s="123" t="s">
        <v>61</v>
      </c>
      <c r="F626" s="7"/>
      <c r="G626" s="8"/>
    </row>
    <row r="627" spans="2:29" ht="45" customHeight="1">
      <c r="B627" s="6"/>
      <c r="C627" s="9" t="s">
        <v>123</v>
      </c>
      <c r="D627" s="130"/>
      <c r="E627" s="269" t="s">
        <v>125</v>
      </c>
      <c r="F627" s="251" t="s">
        <v>156</v>
      </c>
      <c r="G627" s="11"/>
    </row>
    <row r="628" spans="2:29" ht="12" customHeight="1">
      <c r="B628" s="6"/>
      <c r="C628" s="6"/>
      <c r="D628" s="132"/>
      <c r="E628" s="12"/>
      <c r="F628" s="26" t="s">
        <v>159</v>
      </c>
      <c r="G628" s="11"/>
    </row>
    <row r="629" spans="2:29" ht="12" customHeight="1">
      <c r="B629" s="6"/>
      <c r="C629" s="6"/>
      <c r="D629" s="132"/>
      <c r="E629" s="12"/>
      <c r="F629" s="273" t="s">
        <v>7</v>
      </c>
      <c r="G629" s="14">
        <v>2014</v>
      </c>
      <c r="P629" s="137">
        <v>2011</v>
      </c>
      <c r="Q629" s="138"/>
      <c r="R629" s="137">
        <f>P629+1</f>
        <v>2012</v>
      </c>
      <c r="S629" s="137">
        <f>R629+1</f>
        <v>2013</v>
      </c>
      <c r="T629" s="137">
        <f>S629+1</f>
        <v>2014</v>
      </c>
      <c r="U629" s="137">
        <f>T629+1</f>
        <v>2015</v>
      </c>
      <c r="V629" s="137">
        <f>U629+1</f>
        <v>2016</v>
      </c>
      <c r="W629" s="138"/>
      <c r="X629" s="139">
        <f>V629+1</f>
        <v>2017</v>
      </c>
      <c r="Y629" s="139">
        <f>X629+1</f>
        <v>2018</v>
      </c>
      <c r="Z629" s="139">
        <f>Y629+1</f>
        <v>2019</v>
      </c>
      <c r="AA629" s="139">
        <f>Z629+1</f>
        <v>2020</v>
      </c>
      <c r="AB629" s="139">
        <f>AA629+1</f>
        <v>2021</v>
      </c>
    </row>
    <row r="630" spans="2:29" ht="12" customHeight="1">
      <c r="F630" s="1"/>
      <c r="G630" s="209" t="s">
        <v>68</v>
      </c>
      <c r="H630" s="18"/>
      <c r="I630" s="18"/>
      <c r="K630" s="19"/>
      <c r="L630" s="203"/>
      <c r="M630" s="20"/>
      <c r="N630" s="21" t="s">
        <v>0</v>
      </c>
      <c r="O630" s="20"/>
      <c r="P630" s="22"/>
      <c r="Q630" s="20"/>
      <c r="R630" s="141">
        <v>2.6</v>
      </c>
      <c r="S630" s="141">
        <v>2.1</v>
      </c>
      <c r="T630" s="142">
        <v>23.7</v>
      </c>
      <c r="U630" s="140">
        <v>33.799999999999997</v>
      </c>
      <c r="V630" s="143">
        <v>30.5</v>
      </c>
      <c r="W630" s="23"/>
      <c r="X630" s="144">
        <v>28.3</v>
      </c>
      <c r="Y630" s="144">
        <v>25.700000000000003</v>
      </c>
      <c r="Z630" s="144">
        <v>19.100000000000001</v>
      </c>
      <c r="AA630" s="144">
        <v>15.1</v>
      </c>
      <c r="AB630" s="144">
        <v>15.1</v>
      </c>
    </row>
    <row r="631" spans="2:29" ht="12" customHeight="1">
      <c r="F631" s="1"/>
      <c r="G631" s="210" t="s">
        <v>69</v>
      </c>
      <c r="H631" s="18"/>
      <c r="I631" s="18"/>
      <c r="K631" s="19"/>
      <c r="L631" s="203"/>
      <c r="M631" s="20"/>
      <c r="N631" s="21" t="s">
        <v>1</v>
      </c>
      <c r="O631" s="20"/>
      <c r="P631" s="22"/>
      <c r="Q631" s="20"/>
      <c r="R631" s="141">
        <v>1</v>
      </c>
      <c r="S631" s="141">
        <v>0.9</v>
      </c>
      <c r="T631" s="142">
        <v>11.600000000000001</v>
      </c>
      <c r="U631" s="140">
        <v>16.600000000000001</v>
      </c>
      <c r="V631" s="143">
        <v>15.899999999999999</v>
      </c>
      <c r="W631" s="23"/>
      <c r="X631" s="144">
        <v>15.1</v>
      </c>
      <c r="Y631" s="144">
        <v>14.100000000000001</v>
      </c>
      <c r="Z631" s="144">
        <v>10.600000000000001</v>
      </c>
      <c r="AA631" s="144">
        <v>7.9</v>
      </c>
      <c r="AB631" s="144">
        <v>7.9</v>
      </c>
    </row>
    <row r="632" spans="2:29" ht="5.15" customHeight="1">
      <c r="F632" s="1"/>
      <c r="G632" s="165"/>
      <c r="H632" s="166"/>
      <c r="I632" s="166"/>
      <c r="K632" s="167"/>
      <c r="L632" s="204"/>
      <c r="M632" s="168"/>
      <c r="N632" s="169"/>
      <c r="O632" s="168"/>
      <c r="P632" s="168"/>
      <c r="Q632" s="168"/>
      <c r="R632" s="170"/>
      <c r="S632" s="170"/>
      <c r="T632" s="170"/>
      <c r="U632" s="170"/>
      <c r="V632" s="170"/>
      <c r="W632" s="171"/>
      <c r="X632" s="172"/>
      <c r="Y632" s="172"/>
      <c r="Z632" s="172"/>
      <c r="AA632" s="172"/>
      <c r="AB632" s="172"/>
    </row>
    <row r="633" spans="2:29" ht="12" customHeight="1">
      <c r="E633" s="26" t="s">
        <v>8</v>
      </c>
      <c r="F633" s="27" t="s">
        <v>27</v>
      </c>
      <c r="O633" s="24"/>
      <c r="P633" s="134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6"/>
    </row>
    <row r="634" spans="2:29" ht="10" customHeight="1">
      <c r="C634" s="25"/>
      <c r="F634" s="1"/>
      <c r="G634" s="5"/>
      <c r="O634" s="24"/>
      <c r="P634" s="15">
        <v>2011</v>
      </c>
      <c r="Q634" s="16"/>
      <c r="R634" s="16">
        <f>P634+1</f>
        <v>2012</v>
      </c>
      <c r="S634" s="16">
        <f>R634+1</f>
        <v>2013</v>
      </c>
      <c r="T634" s="16">
        <f>S634+1</f>
        <v>2014</v>
      </c>
      <c r="U634" s="16">
        <f>T634+1</f>
        <v>2015</v>
      </c>
      <c r="V634" s="16">
        <f>U634+1</f>
        <v>2016</v>
      </c>
      <c r="W634" s="16"/>
      <c r="X634" s="17">
        <f>V634+1</f>
        <v>2017</v>
      </c>
      <c r="Y634" s="17">
        <f>X634+1</f>
        <v>2018</v>
      </c>
      <c r="Z634" s="17">
        <f>Y634+1</f>
        <v>2019</v>
      </c>
      <c r="AA634" s="17">
        <f>Z634+1</f>
        <v>2020</v>
      </c>
      <c r="AB634" s="17">
        <f>AA634+1</f>
        <v>2021</v>
      </c>
      <c r="AC634" s="24"/>
    </row>
    <row r="635" spans="2:29" ht="4" customHeight="1"/>
    <row r="636" spans="2:29" ht="12" customHeight="1">
      <c r="D636" s="242">
        <v>1</v>
      </c>
      <c r="E636" s="125" t="s">
        <v>209</v>
      </c>
      <c r="F636" s="125" t="s">
        <v>210</v>
      </c>
      <c r="G636" s="145"/>
      <c r="H636" s="150"/>
      <c r="I636" s="151"/>
      <c r="J636" s="3"/>
      <c r="K636" s="295">
        <v>4</v>
      </c>
      <c r="L636" s="201"/>
      <c r="M636" s="30"/>
      <c r="N636" s="87"/>
      <c r="O636" s="32"/>
      <c r="P636" s="33"/>
      <c r="Q636" s="30"/>
      <c r="R636" s="34">
        <f>K636</f>
        <v>4</v>
      </c>
      <c r="S636" s="35"/>
      <c r="T636" s="35"/>
      <c r="U636" s="35"/>
      <c r="V636" s="36"/>
      <c r="W636" s="30"/>
      <c r="X636" s="37"/>
      <c r="Y636" s="38"/>
      <c r="Z636" s="38"/>
      <c r="AA636" s="38"/>
      <c r="AB636" s="39"/>
    </row>
    <row r="637" spans="2:29" ht="12" customHeight="1">
      <c r="D637" s="243">
        <v>2</v>
      </c>
      <c r="E637" s="126" t="s">
        <v>222</v>
      </c>
      <c r="F637" s="126" t="s">
        <v>223</v>
      </c>
      <c r="G637" s="146"/>
      <c r="H637" s="152"/>
      <c r="I637" s="153"/>
      <c r="J637" s="3"/>
      <c r="K637" s="296">
        <v>2</v>
      </c>
      <c r="L637" s="201"/>
      <c r="M637" s="30"/>
      <c r="N637" s="101"/>
      <c r="O637" s="32"/>
      <c r="P637" s="45"/>
      <c r="Q637" s="30"/>
      <c r="R637" s="46"/>
      <c r="S637" s="47">
        <f>K637</f>
        <v>2</v>
      </c>
      <c r="T637" s="47"/>
      <c r="U637" s="47"/>
      <c r="V637" s="48"/>
      <c r="W637" s="30"/>
      <c r="X637" s="49"/>
      <c r="Y637" s="50"/>
      <c r="Z637" s="50"/>
      <c r="AA637" s="50"/>
      <c r="AB637" s="51"/>
    </row>
    <row r="638" spans="2:29" ht="12" customHeight="1">
      <c r="D638" s="243">
        <v>3</v>
      </c>
      <c r="E638" s="126" t="s">
        <v>211</v>
      </c>
      <c r="F638" s="126" t="s">
        <v>26</v>
      </c>
      <c r="G638" s="146"/>
      <c r="H638" s="152"/>
      <c r="I638" s="153"/>
      <c r="J638" s="3"/>
      <c r="K638" s="44">
        <v>2</v>
      </c>
      <c r="L638" s="201"/>
      <c r="M638" s="30"/>
      <c r="N638" s="53"/>
      <c r="O638" s="32"/>
      <c r="P638" s="45"/>
      <c r="Q638" s="30"/>
      <c r="R638" s="46"/>
      <c r="S638" s="47">
        <f t="shared" ref="S638" si="133">K638</f>
        <v>2</v>
      </c>
      <c r="T638" s="47"/>
      <c r="U638" s="47"/>
      <c r="V638" s="48"/>
      <c r="W638" s="30"/>
      <c r="X638" s="49"/>
      <c r="Y638" s="50"/>
      <c r="Z638" s="50"/>
      <c r="AA638" s="50"/>
      <c r="AB638" s="51"/>
    </row>
    <row r="639" spans="2:29" ht="12" customHeight="1">
      <c r="D639" s="244">
        <v>4</v>
      </c>
      <c r="E639" s="127" t="s">
        <v>212</v>
      </c>
      <c r="F639" s="127" t="s">
        <v>26</v>
      </c>
      <c r="G639" s="147"/>
      <c r="H639" s="154"/>
      <c r="I639" s="155"/>
      <c r="J639" s="3"/>
      <c r="K639" s="297">
        <v>4</v>
      </c>
      <c r="L639" s="201"/>
      <c r="M639" s="30"/>
      <c r="N639" s="53"/>
      <c r="O639" s="32"/>
      <c r="P639" s="45"/>
      <c r="Q639" s="30"/>
      <c r="R639" s="46"/>
      <c r="S639" s="47">
        <f>K639</f>
        <v>4</v>
      </c>
      <c r="T639" s="47"/>
      <c r="U639" s="47"/>
      <c r="V639" s="48"/>
      <c r="W639" s="30"/>
      <c r="X639" s="49"/>
      <c r="Y639" s="50"/>
      <c r="Z639" s="50"/>
      <c r="AA639" s="50"/>
      <c r="AB639" s="51"/>
    </row>
    <row r="640" spans="2:29" s="67" customFormat="1" ht="12" customHeight="1">
      <c r="B640" s="54"/>
      <c r="C640" s="55"/>
      <c r="D640" s="133"/>
      <c r="E640" s="124"/>
      <c r="F640" s="128" t="s">
        <v>2</v>
      </c>
      <c r="G640" s="129"/>
      <c r="H640" s="148"/>
      <c r="I640" s="149"/>
      <c r="J640" s="61"/>
      <c r="K640" s="29">
        <f>SUM(K636:K639)</f>
        <v>12</v>
      </c>
      <c r="L640" s="205"/>
      <c r="M640" s="62"/>
      <c r="N640" s="31"/>
      <c r="O640" s="61"/>
      <c r="P640" s="63"/>
      <c r="Q640" s="62"/>
      <c r="R640" s="64">
        <f>SUM(R636:R639)</f>
        <v>4</v>
      </c>
      <c r="S640" s="64">
        <f>SUM(S636:S639)</f>
        <v>8</v>
      </c>
      <c r="T640" s="64">
        <f>SUM(T636:T639)</f>
        <v>0</v>
      </c>
      <c r="U640" s="64">
        <f>SUM(U636:U639)</f>
        <v>0</v>
      </c>
      <c r="V640" s="64">
        <f>SUM(V636:V639)</f>
        <v>0</v>
      </c>
      <c r="W640" s="62"/>
      <c r="X640" s="65"/>
      <c r="Y640" s="59"/>
      <c r="Z640" s="59"/>
      <c r="AA640" s="59"/>
      <c r="AB640" s="66"/>
    </row>
    <row r="641" spans="2:28" ht="9" customHeight="1"/>
    <row r="642" spans="2:28" ht="12" customHeight="1">
      <c r="L642" s="1"/>
      <c r="O642" s="24"/>
      <c r="P642" s="84" t="s">
        <v>10</v>
      </c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  <c r="AB642" s="222"/>
    </row>
    <row r="643" spans="2:28" ht="15" customHeight="1">
      <c r="E643" s="26" t="s">
        <v>28</v>
      </c>
      <c r="K643" s="137" t="s">
        <v>67</v>
      </c>
      <c r="L643" s="211" t="s">
        <v>66</v>
      </c>
      <c r="M643" s="24"/>
      <c r="N643" s="212" t="s">
        <v>11</v>
      </c>
      <c r="O643" s="24"/>
      <c r="P643" s="137">
        <v>2011</v>
      </c>
      <c r="Q643" s="5"/>
      <c r="R643" s="137">
        <f>P643+1</f>
        <v>2012</v>
      </c>
      <c r="S643" s="137">
        <f>R643+1</f>
        <v>2013</v>
      </c>
      <c r="T643" s="137">
        <f>S643+1</f>
        <v>2014</v>
      </c>
      <c r="U643" s="137">
        <f>T643+1</f>
        <v>2015</v>
      </c>
      <c r="V643" s="137">
        <f>U643+1</f>
        <v>2016</v>
      </c>
      <c r="W643" s="5"/>
      <c r="X643" s="139">
        <f>V643+1</f>
        <v>2017</v>
      </c>
      <c r="Y643" s="139">
        <f>X643+1</f>
        <v>2018</v>
      </c>
      <c r="Z643" s="139">
        <f>Y643+1</f>
        <v>2019</v>
      </c>
      <c r="AA643" s="139">
        <f>Z643+1</f>
        <v>2020</v>
      </c>
      <c r="AB643" s="139">
        <f>AA643+1</f>
        <v>2021</v>
      </c>
    </row>
    <row r="644" spans="2:28" ht="4.5" customHeight="1"/>
    <row r="645" spans="2:28" ht="12" customHeight="1">
      <c r="D645" s="242">
        <v>1</v>
      </c>
      <c r="E645" s="125" t="s">
        <v>209</v>
      </c>
      <c r="F645" s="125" t="s">
        <v>213</v>
      </c>
      <c r="G645" s="299">
        <f>(3*1+2.5)/4</f>
        <v>1.375</v>
      </c>
      <c r="H645" s="78" t="s">
        <v>12</v>
      </c>
      <c r="I645" s="79" t="s">
        <v>13</v>
      </c>
      <c r="J645" s="3"/>
      <c r="K645" s="80">
        <f>K636</f>
        <v>4</v>
      </c>
      <c r="L645" s="225" t="s">
        <v>13</v>
      </c>
      <c r="M645" s="30"/>
      <c r="N645" s="156">
        <f>G645*K645</f>
        <v>5.5</v>
      </c>
      <c r="O645" s="32"/>
      <c r="P645" s="33"/>
      <c r="Q645" s="30"/>
      <c r="R645" s="81">
        <f t="shared" ref="R645:V648" si="134">$G645*R636</f>
        <v>5.5</v>
      </c>
      <c r="S645" s="81">
        <f t="shared" si="134"/>
        <v>0</v>
      </c>
      <c r="T645" s="81">
        <f t="shared" si="134"/>
        <v>0</v>
      </c>
      <c r="U645" s="81">
        <f t="shared" si="134"/>
        <v>0</v>
      </c>
      <c r="V645" s="81">
        <f t="shared" si="134"/>
        <v>0</v>
      </c>
      <c r="W645" s="30"/>
      <c r="X645" s="37"/>
      <c r="Y645" s="38"/>
      <c r="Z645" s="38"/>
      <c r="AA645" s="38"/>
      <c r="AB645" s="39"/>
    </row>
    <row r="646" spans="2:28" ht="12" customHeight="1">
      <c r="D646" s="243">
        <v>2</v>
      </c>
      <c r="E646" s="126" t="s">
        <v>222</v>
      </c>
      <c r="F646" s="126" t="s">
        <v>214</v>
      </c>
      <c r="G646" s="300">
        <f>(2.3+2.7)/2</f>
        <v>2.5</v>
      </c>
      <c r="H646" s="42" t="s">
        <v>12</v>
      </c>
      <c r="I646" s="43" t="s">
        <v>13</v>
      </c>
      <c r="J646" s="3"/>
      <c r="K646" s="52">
        <f>K637</f>
        <v>2</v>
      </c>
      <c r="L646" s="226" t="s">
        <v>13</v>
      </c>
      <c r="M646" s="30"/>
      <c r="N646" s="157">
        <f>G646*K646</f>
        <v>5</v>
      </c>
      <c r="O646" s="32"/>
      <c r="P646" s="45"/>
      <c r="Q646" s="30"/>
      <c r="R646" s="81">
        <f t="shared" si="134"/>
        <v>0</v>
      </c>
      <c r="S646" s="81">
        <f t="shared" si="134"/>
        <v>5</v>
      </c>
      <c r="T646" s="81">
        <f t="shared" si="134"/>
        <v>0</v>
      </c>
      <c r="U646" s="81">
        <f t="shared" si="134"/>
        <v>0</v>
      </c>
      <c r="V646" s="81">
        <f t="shared" si="134"/>
        <v>0</v>
      </c>
      <c r="W646" s="30"/>
      <c r="X646" s="49"/>
      <c r="Y646" s="50"/>
      <c r="Z646" s="50"/>
      <c r="AA646" s="50"/>
      <c r="AB646" s="51"/>
    </row>
    <row r="647" spans="2:28" ht="12" customHeight="1">
      <c r="D647" s="243">
        <v>3</v>
      </c>
      <c r="E647" s="126" t="s">
        <v>211</v>
      </c>
      <c r="F647" s="126" t="s">
        <v>26</v>
      </c>
      <c r="G647" s="300">
        <f>(17.5+22)/2</f>
        <v>19.75</v>
      </c>
      <c r="H647" s="42" t="s">
        <v>12</v>
      </c>
      <c r="I647" s="43" t="s">
        <v>13</v>
      </c>
      <c r="J647" s="3"/>
      <c r="K647" s="52">
        <f>K638</f>
        <v>2</v>
      </c>
      <c r="L647" s="226" t="s">
        <v>13</v>
      </c>
      <c r="M647" s="30"/>
      <c r="N647" s="157">
        <f>G647*K647</f>
        <v>39.5</v>
      </c>
      <c r="O647" s="32"/>
      <c r="P647" s="45"/>
      <c r="Q647" s="30"/>
      <c r="R647" s="81">
        <f t="shared" si="134"/>
        <v>0</v>
      </c>
      <c r="S647" s="81">
        <f t="shared" si="134"/>
        <v>39.5</v>
      </c>
      <c r="T647" s="81">
        <f t="shared" si="134"/>
        <v>0</v>
      </c>
      <c r="U647" s="81">
        <f t="shared" si="134"/>
        <v>0</v>
      </c>
      <c r="V647" s="81">
        <f t="shared" si="134"/>
        <v>0</v>
      </c>
      <c r="W647" s="30"/>
      <c r="X647" s="49"/>
      <c r="Y647" s="50"/>
      <c r="Z647" s="50"/>
      <c r="AA647" s="50"/>
      <c r="AB647" s="51"/>
    </row>
    <row r="648" spans="2:28" ht="12" customHeight="1">
      <c r="D648" s="244">
        <v>4</v>
      </c>
      <c r="E648" s="127" t="s">
        <v>212</v>
      </c>
      <c r="F648" s="127" t="s">
        <v>26</v>
      </c>
      <c r="G648" s="300">
        <f>(3*13.7+11.8)/4</f>
        <v>13.224999999999998</v>
      </c>
      <c r="H648" s="42" t="s">
        <v>12</v>
      </c>
      <c r="I648" s="43" t="s">
        <v>13</v>
      </c>
      <c r="J648" s="3"/>
      <c r="K648" s="52">
        <f>K639</f>
        <v>4</v>
      </c>
      <c r="L648" s="227" t="s">
        <v>13</v>
      </c>
      <c r="M648" s="30"/>
      <c r="N648" s="157">
        <f>G648*K648</f>
        <v>52.899999999999991</v>
      </c>
      <c r="O648" s="32"/>
      <c r="P648" s="45"/>
      <c r="Q648" s="30"/>
      <c r="R648" s="81">
        <f t="shared" si="134"/>
        <v>0</v>
      </c>
      <c r="S648" s="81">
        <f t="shared" si="134"/>
        <v>52.899999999999991</v>
      </c>
      <c r="T648" s="81">
        <f t="shared" si="134"/>
        <v>0</v>
      </c>
      <c r="U648" s="81">
        <f t="shared" si="134"/>
        <v>0</v>
      </c>
      <c r="V648" s="81">
        <f t="shared" si="134"/>
        <v>0</v>
      </c>
      <c r="W648" s="30"/>
      <c r="X648" s="49"/>
      <c r="Y648" s="50"/>
      <c r="Z648" s="50"/>
      <c r="AA648" s="50"/>
      <c r="AB648" s="51"/>
    </row>
    <row r="649" spans="2:28" s="67" customFormat="1" ht="12" customHeight="1">
      <c r="B649" s="54"/>
      <c r="C649" s="55"/>
      <c r="D649" s="133"/>
      <c r="E649" s="56"/>
      <c r="F649" s="57" t="s">
        <v>14</v>
      </c>
      <c r="G649" s="58"/>
      <c r="H649" s="59"/>
      <c r="I649" s="60"/>
      <c r="J649" s="61"/>
      <c r="K649" s="82"/>
      <c r="L649" s="206"/>
      <c r="M649" s="62"/>
      <c r="N649" s="180">
        <f>SUM(N645:N648)</f>
        <v>102.89999999999999</v>
      </c>
      <c r="O649" s="61"/>
      <c r="P649" s="63"/>
      <c r="Q649" s="62"/>
      <c r="R649" s="83">
        <f>SUM(R645:R648)</f>
        <v>5.5</v>
      </c>
      <c r="S649" s="83">
        <f>SUM(S645:S648)</f>
        <v>97.399999999999991</v>
      </c>
      <c r="T649" s="83">
        <f>SUM(T645:T648)</f>
        <v>0</v>
      </c>
      <c r="U649" s="83">
        <f>SUM(U645:U648)</f>
        <v>0</v>
      </c>
      <c r="V649" s="83">
        <f>SUM(V645:V648)</f>
        <v>0</v>
      </c>
      <c r="W649" s="62"/>
      <c r="X649" s="65"/>
      <c r="Y649" s="59"/>
      <c r="Z649" s="59"/>
      <c r="AA649" s="59"/>
      <c r="AB649" s="66"/>
    </row>
    <row r="650" spans="2:28" ht="5.15" customHeight="1"/>
    <row r="651" spans="2:28" ht="20.149999999999999" customHeight="1">
      <c r="E651" s="26" t="s">
        <v>15</v>
      </c>
      <c r="F651" s="84" t="s">
        <v>16</v>
      </c>
      <c r="G651" s="85"/>
      <c r="H651" s="215" t="s">
        <v>4</v>
      </c>
      <c r="I651" s="232" t="s">
        <v>76</v>
      </c>
      <c r="K651" s="137" t="s">
        <v>67</v>
      </c>
      <c r="L651" s="211" t="s">
        <v>66</v>
      </c>
      <c r="N651" s="212" t="s">
        <v>11</v>
      </c>
      <c r="P651" s="73">
        <v>2011</v>
      </c>
      <c r="Q651" s="74"/>
      <c r="R651" s="75">
        <f>P651+1</f>
        <v>2012</v>
      </c>
      <c r="S651" s="75">
        <f>R651+1</f>
        <v>2013</v>
      </c>
      <c r="T651" s="75">
        <f>S651+1</f>
        <v>2014</v>
      </c>
      <c r="U651" s="75">
        <f>T651+1</f>
        <v>2015</v>
      </c>
      <c r="V651" s="75">
        <f>U651+1</f>
        <v>2016</v>
      </c>
      <c r="W651" s="74"/>
      <c r="X651" s="76">
        <f>V651+1</f>
        <v>2017</v>
      </c>
      <c r="Y651" s="76">
        <f>X651+1</f>
        <v>2018</v>
      </c>
      <c r="Z651" s="76">
        <f>Y651+1</f>
        <v>2019</v>
      </c>
      <c r="AA651" s="76">
        <f>Z651+1</f>
        <v>2020</v>
      </c>
      <c r="AB651" s="76">
        <f>AA651+1</f>
        <v>2021</v>
      </c>
    </row>
    <row r="652" spans="2:28" ht="4" customHeight="1"/>
    <row r="653" spans="2:28" ht="12" customHeight="1">
      <c r="C653" s="28"/>
      <c r="E653" s="77" t="s">
        <v>218</v>
      </c>
      <c r="F653" s="158" t="s">
        <v>219</v>
      </c>
      <c r="G653" s="86"/>
      <c r="H653" s="213" t="s">
        <v>71</v>
      </c>
      <c r="I653" s="216">
        <v>0.5</v>
      </c>
      <c r="J653" s="3"/>
      <c r="K653" s="298">
        <v>13</v>
      </c>
      <c r="L653" s="229" t="s">
        <v>73</v>
      </c>
      <c r="M653" s="30"/>
      <c r="N653" s="176">
        <f>I653*K653</f>
        <v>6.5</v>
      </c>
      <c r="O653" s="32"/>
      <c r="P653" s="88"/>
      <c r="Q653" s="30"/>
      <c r="R653" s="90"/>
      <c r="S653" s="91">
        <f>N653</f>
        <v>6.5</v>
      </c>
      <c r="T653" s="91"/>
      <c r="U653" s="91"/>
      <c r="V653" s="92"/>
      <c r="W653" s="30"/>
      <c r="X653" s="90"/>
      <c r="Y653" s="91"/>
      <c r="Z653" s="91"/>
      <c r="AA653" s="91"/>
      <c r="AB653" s="92"/>
    </row>
    <row r="654" spans="2:28" ht="12" customHeight="1">
      <c r="C654" s="28"/>
      <c r="E654" s="77" t="s">
        <v>215</v>
      </c>
      <c r="F654" s="158" t="s">
        <v>70</v>
      </c>
      <c r="G654" s="86"/>
      <c r="H654" s="213" t="s">
        <v>71</v>
      </c>
      <c r="I654" s="216">
        <v>0.25</v>
      </c>
      <c r="J654" s="3"/>
      <c r="K654" s="228">
        <v>5.7</v>
      </c>
      <c r="L654" s="229" t="s">
        <v>72</v>
      </c>
      <c r="M654" s="30"/>
      <c r="N654" s="176">
        <f>I654*K654</f>
        <v>1.425</v>
      </c>
      <c r="O654" s="32"/>
      <c r="P654" s="88"/>
      <c r="Q654" s="30"/>
      <c r="R654" s="90">
        <f>N654</f>
        <v>1.425</v>
      </c>
      <c r="S654" s="91"/>
      <c r="T654" s="91"/>
      <c r="U654" s="91"/>
      <c r="V654" s="92"/>
      <c r="W654" s="30"/>
      <c r="X654" s="90"/>
      <c r="Y654" s="91"/>
      <c r="Z654" s="91"/>
      <c r="AA654" s="91"/>
      <c r="AB654" s="92"/>
    </row>
    <row r="655" spans="2:28" ht="12" customHeight="1">
      <c r="C655" s="28"/>
      <c r="E655" s="105"/>
      <c r="F655" s="41" t="s">
        <v>17</v>
      </c>
      <c r="G655" s="93"/>
      <c r="H655" s="94"/>
      <c r="I655" s="217">
        <v>0.1</v>
      </c>
      <c r="J655" s="3"/>
      <c r="K655" s="174">
        <v>7</v>
      </c>
      <c r="L655" s="226" t="s">
        <v>73</v>
      </c>
      <c r="M655" s="30"/>
      <c r="N655" s="177">
        <f>I655*K655</f>
        <v>0.70000000000000007</v>
      </c>
      <c r="O655" s="32"/>
      <c r="P655" s="96"/>
      <c r="Q655" s="30"/>
      <c r="R655" s="97">
        <f>N655</f>
        <v>0.70000000000000007</v>
      </c>
      <c r="S655" s="98"/>
      <c r="T655" s="98"/>
      <c r="U655" s="98"/>
      <c r="V655" s="99"/>
      <c r="W655" s="30"/>
      <c r="X655" s="97"/>
      <c r="Y655" s="98"/>
      <c r="Z655" s="98"/>
      <c r="AA655" s="98"/>
      <c r="AB655" s="99"/>
    </row>
    <row r="656" spans="2:28" ht="12" customHeight="1">
      <c r="C656" s="28"/>
      <c r="E656" s="105" t="s">
        <v>216</v>
      </c>
      <c r="F656" s="41" t="s">
        <v>217</v>
      </c>
      <c r="G656" s="100"/>
      <c r="H656" s="94"/>
      <c r="I656" s="217">
        <f>0.25</f>
        <v>0.25</v>
      </c>
      <c r="J656" s="3"/>
      <c r="K656" s="200">
        <f>11*3</f>
        <v>33</v>
      </c>
      <c r="L656" s="230" t="s">
        <v>72</v>
      </c>
      <c r="M656" s="30"/>
      <c r="N656" s="177">
        <f>I656*K656</f>
        <v>8.25</v>
      </c>
      <c r="O656" s="32"/>
      <c r="P656" s="96"/>
      <c r="Q656" s="30"/>
      <c r="R656" s="257"/>
      <c r="S656" s="214">
        <f>N656</f>
        <v>8.25</v>
      </c>
      <c r="T656" s="214"/>
      <c r="U656" s="103"/>
      <c r="V656" s="104"/>
      <c r="W656" s="30"/>
      <c r="X656" s="102"/>
      <c r="Y656" s="103"/>
      <c r="Z656" s="103"/>
      <c r="AA656" s="103"/>
      <c r="AB656" s="104"/>
    </row>
    <row r="657" spans="3:28" ht="12" customHeight="1">
      <c r="C657" s="28"/>
      <c r="E657" s="105"/>
      <c r="F657" s="253" t="s">
        <v>17</v>
      </c>
      <c r="G657" s="100"/>
      <c r="H657" s="94"/>
      <c r="I657" s="217">
        <v>0.1</v>
      </c>
      <c r="J657" s="3"/>
      <c r="K657" s="174">
        <v>11</v>
      </c>
      <c r="L657" s="226" t="s">
        <v>73</v>
      </c>
      <c r="M657" s="30"/>
      <c r="N657" s="177">
        <f>I657*K657</f>
        <v>1.1000000000000001</v>
      </c>
      <c r="O657" s="32"/>
      <c r="P657" s="96"/>
      <c r="Q657" s="30"/>
      <c r="R657" s="257"/>
      <c r="S657" s="214">
        <f>N657</f>
        <v>1.1000000000000001</v>
      </c>
      <c r="T657" s="214"/>
      <c r="U657" s="103"/>
      <c r="V657" s="104"/>
      <c r="W657" s="30"/>
      <c r="X657" s="102"/>
      <c r="Y657" s="103"/>
      <c r="Z657" s="103"/>
      <c r="AA657" s="103"/>
      <c r="AB657" s="104"/>
    </row>
    <row r="658" spans="3:28" ht="12" customHeight="1">
      <c r="C658" s="28"/>
      <c r="E658" s="183" t="s">
        <v>33</v>
      </c>
      <c r="F658" s="254"/>
      <c r="G658" s="184"/>
      <c r="H658" s="94"/>
      <c r="I658" s="95"/>
      <c r="J658" s="3"/>
      <c r="K658" s="174"/>
      <c r="L658" s="226"/>
      <c r="M658" s="30"/>
      <c r="N658" s="177"/>
      <c r="O658" s="32"/>
      <c r="P658" s="96"/>
      <c r="Q658" s="30"/>
      <c r="R658" s="257"/>
      <c r="S658" s="214"/>
      <c r="T658" s="214"/>
      <c r="U658" s="103"/>
      <c r="V658" s="104"/>
      <c r="W658" s="30"/>
      <c r="X658" s="102"/>
      <c r="Y658" s="103"/>
      <c r="Z658" s="103"/>
      <c r="AA658" s="103"/>
      <c r="AB658" s="104"/>
    </row>
    <row r="659" spans="3:28" ht="12" customHeight="1">
      <c r="C659" s="28"/>
      <c r="E659" s="107" t="s">
        <v>35</v>
      </c>
      <c r="F659" s="248" t="s">
        <v>36</v>
      </c>
      <c r="G659" s="185"/>
      <c r="H659" s="94" t="s">
        <v>25</v>
      </c>
      <c r="I659" s="159">
        <v>1</v>
      </c>
      <c r="J659" s="3"/>
      <c r="K659" s="174">
        <v>1</v>
      </c>
      <c r="L659" s="226"/>
      <c r="M659" s="30"/>
      <c r="N659" s="177">
        <f>I659*K659</f>
        <v>1</v>
      </c>
      <c r="O659" s="32"/>
      <c r="P659" s="96"/>
      <c r="Q659" s="30"/>
      <c r="R659" s="257">
        <f>1*N659</f>
        <v>1</v>
      </c>
      <c r="S659" s="214"/>
      <c r="T659" s="214"/>
      <c r="U659" s="103"/>
      <c r="V659" s="104"/>
      <c r="W659" s="30"/>
      <c r="X659" s="102"/>
      <c r="Y659" s="103"/>
      <c r="Z659" s="103"/>
      <c r="AA659" s="103"/>
      <c r="AB659" s="104"/>
    </row>
    <row r="660" spans="3:28" ht="12" customHeight="1">
      <c r="C660" s="28"/>
      <c r="E660" s="107" t="s">
        <v>37</v>
      </c>
      <c r="F660" s="248" t="s">
        <v>32</v>
      </c>
      <c r="G660" s="184"/>
      <c r="H660" s="94" t="s">
        <v>25</v>
      </c>
      <c r="I660" s="95">
        <v>1</v>
      </c>
      <c r="J660" s="3"/>
      <c r="K660" s="174">
        <v>1</v>
      </c>
      <c r="L660" s="226"/>
      <c r="M660" s="30"/>
      <c r="N660" s="178">
        <f>I660*K660</f>
        <v>1</v>
      </c>
      <c r="O660" s="32"/>
      <c r="P660" s="96"/>
      <c r="Q660" s="30"/>
      <c r="R660" s="257">
        <f t="shared" ref="R660:R663" si="135">1*N660</f>
        <v>1</v>
      </c>
      <c r="S660" s="214"/>
      <c r="T660" s="214"/>
      <c r="U660" s="103"/>
      <c r="V660" s="104"/>
      <c r="W660" s="30"/>
      <c r="X660" s="102"/>
      <c r="Y660" s="103"/>
      <c r="Z660" s="103"/>
      <c r="AA660" s="103"/>
      <c r="AB660" s="104"/>
    </row>
    <row r="661" spans="3:28" ht="12" customHeight="1">
      <c r="C661" s="28"/>
      <c r="E661" s="107" t="s">
        <v>39</v>
      </c>
      <c r="F661" s="248" t="s">
        <v>40</v>
      </c>
      <c r="G661" s="184"/>
      <c r="H661" s="94" t="s">
        <v>25</v>
      </c>
      <c r="I661" s="95">
        <v>1</v>
      </c>
      <c r="J661" s="3"/>
      <c r="K661" s="174">
        <v>1</v>
      </c>
      <c r="L661" s="226"/>
      <c r="M661" s="30"/>
      <c r="N661" s="178">
        <f>I661*K661</f>
        <v>1</v>
      </c>
      <c r="O661" s="32"/>
      <c r="P661" s="96"/>
      <c r="Q661" s="30"/>
      <c r="R661" s="257">
        <f t="shared" si="135"/>
        <v>1</v>
      </c>
      <c r="S661" s="214"/>
      <c r="T661" s="214"/>
      <c r="U661" s="103"/>
      <c r="V661" s="104"/>
      <c r="W661" s="30"/>
      <c r="X661" s="102"/>
      <c r="Y661" s="103"/>
      <c r="Z661" s="103"/>
      <c r="AA661" s="103"/>
      <c r="AB661" s="104"/>
    </row>
    <row r="662" spans="3:28" ht="12" customHeight="1">
      <c r="C662" s="28"/>
      <c r="E662" s="107" t="s">
        <v>38</v>
      </c>
      <c r="F662" s="248" t="s">
        <v>74</v>
      </c>
      <c r="G662" s="184"/>
      <c r="H662" s="94" t="s">
        <v>18</v>
      </c>
      <c r="I662" s="95">
        <v>2</v>
      </c>
      <c r="J662" s="3"/>
      <c r="K662" s="174">
        <v>1</v>
      </c>
      <c r="L662" s="226"/>
      <c r="M662" s="30"/>
      <c r="N662" s="178">
        <f>I662*K662</f>
        <v>2</v>
      </c>
      <c r="O662" s="32"/>
      <c r="P662" s="96"/>
      <c r="Q662" s="30"/>
      <c r="R662" s="257">
        <f t="shared" si="135"/>
        <v>2</v>
      </c>
      <c r="S662" s="214"/>
      <c r="T662" s="214"/>
      <c r="U662" s="103"/>
      <c r="V662" s="104"/>
      <c r="W662" s="30"/>
      <c r="X662" s="102"/>
      <c r="Y662" s="103"/>
      <c r="Z662" s="103"/>
      <c r="AA662" s="103"/>
      <c r="AB662" s="104"/>
    </row>
    <row r="663" spans="3:28" ht="12" customHeight="1">
      <c r="C663" s="28"/>
      <c r="E663" s="107" t="s">
        <v>47</v>
      </c>
      <c r="F663" s="255"/>
      <c r="G663" s="184"/>
      <c r="H663" s="94" t="s">
        <v>25</v>
      </c>
      <c r="I663" s="43">
        <v>0.25</v>
      </c>
      <c r="J663" s="3"/>
      <c r="K663" s="174">
        <v>1</v>
      </c>
      <c r="L663" s="226"/>
      <c r="M663" s="30"/>
      <c r="N663" s="178">
        <f>I663*K663</f>
        <v>0.25</v>
      </c>
      <c r="O663" s="32"/>
      <c r="P663" s="96"/>
      <c r="Q663" s="30"/>
      <c r="R663" s="257">
        <f t="shared" si="135"/>
        <v>0.25</v>
      </c>
      <c r="S663" s="214"/>
      <c r="T663" s="214"/>
      <c r="U663" s="103"/>
      <c r="V663" s="104"/>
      <c r="W663" s="30"/>
      <c r="X663" s="102"/>
      <c r="Y663" s="103"/>
      <c r="Z663" s="103"/>
      <c r="AA663" s="103"/>
      <c r="AB663" s="104"/>
    </row>
    <row r="664" spans="3:28" ht="15" customHeight="1">
      <c r="C664" s="28"/>
      <c r="E664" s="183" t="s">
        <v>62</v>
      </c>
      <c r="F664" s="186"/>
      <c r="G664" s="184"/>
      <c r="H664" s="94"/>
      <c r="I664" s="95"/>
      <c r="J664" s="3"/>
      <c r="K664" s="174"/>
      <c r="L664" s="226"/>
      <c r="M664" s="30"/>
      <c r="N664" s="177"/>
      <c r="O664" s="32"/>
      <c r="P664" s="96"/>
      <c r="Q664" s="30"/>
      <c r="R664" s="257"/>
      <c r="S664" s="214"/>
      <c r="T664" s="214"/>
      <c r="U664" s="103"/>
      <c r="V664" s="104"/>
      <c r="W664" s="30"/>
      <c r="X664" s="102"/>
      <c r="Y664" s="103"/>
      <c r="Z664" s="103"/>
      <c r="AA664" s="103"/>
      <c r="AB664" s="104"/>
    </row>
    <row r="665" spans="3:28" ht="12" customHeight="1">
      <c r="C665" s="28"/>
      <c r="E665" s="107" t="s">
        <v>118</v>
      </c>
      <c r="F665" s="254" t="s">
        <v>136</v>
      </c>
      <c r="G665" s="185"/>
      <c r="H665" s="94" t="s">
        <v>18</v>
      </c>
      <c r="I665" s="43">
        <v>7</v>
      </c>
      <c r="J665" s="3"/>
      <c r="K665" s="174">
        <v>1</v>
      </c>
      <c r="L665" s="226"/>
      <c r="M665" s="30"/>
      <c r="N665" s="178">
        <f>I665*K665</f>
        <v>7</v>
      </c>
      <c r="O665" s="32"/>
      <c r="P665" s="96"/>
      <c r="Q665" s="30"/>
      <c r="R665" s="257">
        <f>0.1*N665</f>
        <v>0.70000000000000007</v>
      </c>
      <c r="S665" s="214">
        <f t="shared" ref="S665:S666" si="136">0.5*N665</f>
        <v>3.5</v>
      </c>
      <c r="T665" s="214">
        <f>0.4*N665</f>
        <v>2.8000000000000003</v>
      </c>
      <c r="U665" s="103"/>
      <c r="V665" s="104"/>
      <c r="W665" s="30"/>
      <c r="X665" s="102"/>
      <c r="Y665" s="103"/>
      <c r="Z665" s="103"/>
      <c r="AA665" s="103"/>
      <c r="AB665" s="104"/>
    </row>
    <row r="666" spans="3:28" ht="12" customHeight="1">
      <c r="C666" s="28"/>
      <c r="E666" s="281" t="s">
        <v>41</v>
      </c>
      <c r="F666" s="255" t="s">
        <v>138</v>
      </c>
      <c r="G666" s="184"/>
      <c r="H666" s="94" t="s">
        <v>18</v>
      </c>
      <c r="I666" s="43">
        <v>0.12</v>
      </c>
      <c r="J666" s="3"/>
      <c r="K666" s="200"/>
      <c r="L666" s="230"/>
      <c r="M666" s="30"/>
      <c r="N666" s="177">
        <f>I666*K666</f>
        <v>0</v>
      </c>
      <c r="O666" s="32"/>
      <c r="P666" s="96"/>
      <c r="Q666" s="30"/>
      <c r="R666" s="257">
        <f t="shared" ref="R666" si="137">0.1*N666</f>
        <v>0</v>
      </c>
      <c r="S666" s="214">
        <f t="shared" si="136"/>
        <v>0</v>
      </c>
      <c r="T666" s="214">
        <f t="shared" ref="T666" si="138">0.4*N666</f>
        <v>0</v>
      </c>
      <c r="U666" s="103"/>
      <c r="V666" s="104"/>
      <c r="W666" s="30"/>
      <c r="X666" s="102"/>
      <c r="Y666" s="103"/>
      <c r="Z666" s="103"/>
      <c r="AA666" s="103"/>
      <c r="AB666" s="104"/>
    </row>
    <row r="667" spans="3:28" ht="12" customHeight="1">
      <c r="C667" s="28"/>
      <c r="E667" s="188" t="s">
        <v>134</v>
      </c>
      <c r="F667" s="191"/>
      <c r="G667" s="184"/>
      <c r="H667" s="94"/>
      <c r="I667" s="43"/>
      <c r="J667" s="3"/>
      <c r="K667" s="174"/>
      <c r="L667" s="226"/>
      <c r="M667" s="30"/>
      <c r="N667" s="178"/>
      <c r="O667" s="32"/>
      <c r="P667" s="96"/>
      <c r="Q667" s="30"/>
      <c r="R667" s="257"/>
      <c r="S667" s="214"/>
      <c r="T667" s="214"/>
      <c r="U667" s="103"/>
      <c r="V667" s="104"/>
      <c r="W667" s="30"/>
      <c r="X667" s="102"/>
      <c r="Y667" s="103"/>
      <c r="Z667" s="103"/>
      <c r="AA667" s="103"/>
      <c r="AB667" s="104"/>
    </row>
    <row r="668" spans="3:28" ht="14.15" customHeight="1">
      <c r="C668" s="28"/>
      <c r="E668" s="107" t="s">
        <v>63</v>
      </c>
      <c r="F668" s="249" t="s">
        <v>153</v>
      </c>
      <c r="G668" s="184"/>
      <c r="H668" s="94" t="s">
        <v>18</v>
      </c>
      <c r="I668" s="43">
        <v>10</v>
      </c>
      <c r="J668" s="3"/>
      <c r="K668" s="174">
        <v>1</v>
      </c>
      <c r="L668" s="226"/>
      <c r="M668" s="30"/>
      <c r="N668" s="178">
        <f>I668*K668</f>
        <v>10</v>
      </c>
      <c r="O668" s="32"/>
      <c r="P668" s="96"/>
      <c r="Q668" s="30"/>
      <c r="R668" s="257">
        <f t="shared" ref="R668:R670" si="139">0.1*N668</f>
        <v>1</v>
      </c>
      <c r="S668" s="214">
        <f t="shared" ref="S668:S670" si="140">0.5*N668</f>
        <v>5</v>
      </c>
      <c r="T668" s="214">
        <f t="shared" ref="T668:T670" si="141">0.4*N668</f>
        <v>4</v>
      </c>
      <c r="U668" s="103"/>
      <c r="V668" s="104"/>
      <c r="W668" s="30"/>
      <c r="X668" s="102"/>
      <c r="Y668" s="103"/>
      <c r="Z668" s="103"/>
      <c r="AA668" s="103"/>
      <c r="AB668" s="104"/>
    </row>
    <row r="669" spans="3:28" ht="14.15" customHeight="1">
      <c r="C669" s="28"/>
      <c r="E669" s="107" t="s">
        <v>64</v>
      </c>
      <c r="F669" s="249" t="s">
        <v>135</v>
      </c>
      <c r="G669" s="184"/>
      <c r="H669" s="94" t="s">
        <v>18</v>
      </c>
      <c r="I669" s="43">
        <v>0.12</v>
      </c>
      <c r="J669" s="3"/>
      <c r="K669" s="200">
        <f>26*10</f>
        <v>260</v>
      </c>
      <c r="L669" s="230"/>
      <c r="M669" s="30"/>
      <c r="N669" s="177">
        <f>I669*K669</f>
        <v>31.2</v>
      </c>
      <c r="O669" s="32"/>
      <c r="P669" s="96"/>
      <c r="Q669" s="30"/>
      <c r="R669" s="257">
        <f t="shared" si="139"/>
        <v>3.12</v>
      </c>
      <c r="S669" s="214">
        <f t="shared" si="140"/>
        <v>15.6</v>
      </c>
      <c r="T669" s="214">
        <f t="shared" si="141"/>
        <v>12.48</v>
      </c>
      <c r="U669" s="103"/>
      <c r="V669" s="104"/>
      <c r="W669" s="30"/>
      <c r="X669" s="102"/>
      <c r="Y669" s="103"/>
      <c r="Z669" s="103"/>
      <c r="AA669" s="103"/>
      <c r="AB669" s="104"/>
    </row>
    <row r="670" spans="3:28" ht="12" customHeight="1">
      <c r="C670" s="28"/>
      <c r="E670" s="189" t="s">
        <v>59</v>
      </c>
      <c r="F670" s="256" t="s">
        <v>139</v>
      </c>
      <c r="G670" s="190"/>
      <c r="H670" s="94"/>
      <c r="I670" s="43"/>
      <c r="J670" s="3"/>
      <c r="K670" s="175"/>
      <c r="L670" s="231"/>
      <c r="M670" s="30"/>
      <c r="N670" s="234">
        <f>SUM(N653:N669)*0.1</f>
        <v>7.1425000000000001</v>
      </c>
      <c r="O670" s="32"/>
      <c r="P670" s="109"/>
      <c r="Q670" s="30"/>
      <c r="R670" s="258">
        <f t="shared" si="139"/>
        <v>0.71425000000000005</v>
      </c>
      <c r="S670" s="259">
        <f t="shared" si="140"/>
        <v>3.57125</v>
      </c>
      <c r="T670" s="259">
        <f t="shared" si="141"/>
        <v>2.8570000000000002</v>
      </c>
      <c r="U670" s="111"/>
      <c r="V670" s="112"/>
      <c r="W670" s="30"/>
      <c r="X670" s="110"/>
      <c r="Y670" s="111"/>
      <c r="Z670" s="111"/>
      <c r="AA670" s="111"/>
      <c r="AB670" s="112"/>
    </row>
    <row r="671" spans="3:28" ht="4" customHeight="1">
      <c r="E671" s="3"/>
      <c r="J671" s="3"/>
    </row>
    <row r="672" spans="3:28" ht="15" customHeight="1">
      <c r="F672" s="113" t="s">
        <v>19</v>
      </c>
      <c r="G672" s="114"/>
      <c r="H672" s="114"/>
      <c r="I672" s="85"/>
      <c r="K672" s="22"/>
      <c r="L672" s="207"/>
      <c r="M672" s="20"/>
      <c r="N672" s="179">
        <f>SUM(N653:N670)</f>
        <v>78.567499999999995</v>
      </c>
      <c r="O672" s="20"/>
      <c r="P672" s="22"/>
      <c r="Q672" s="20"/>
      <c r="R672" s="180">
        <f>SUM(R654:R670)</f>
        <v>12.90925</v>
      </c>
      <c r="S672" s="181">
        <f>SUM(S654:S670)</f>
        <v>37.021250000000002</v>
      </c>
      <c r="T672" s="181">
        <f>SUM(T654:T670)</f>
        <v>22.137</v>
      </c>
      <c r="U672" s="182">
        <f>SUM(U654:U670)</f>
        <v>0</v>
      </c>
      <c r="V672" s="180">
        <f>SUM(V654:V670)</f>
        <v>0</v>
      </c>
      <c r="W672" s="115"/>
      <c r="X672" s="160">
        <f>SUM(X654:X670)</f>
        <v>0</v>
      </c>
      <c r="Y672" s="161">
        <f>SUM(Y654:Y670)</f>
        <v>0</v>
      </c>
      <c r="Z672" s="161">
        <f>SUM(Z654:Z670)</f>
        <v>0</v>
      </c>
      <c r="AA672" s="161">
        <f>SUM(AA654:AA670)</f>
        <v>0</v>
      </c>
      <c r="AB672" s="161">
        <f>SUM(AB654:AB670)</f>
        <v>0</v>
      </c>
    </row>
    <row r="673" spans="2:28" ht="12" customHeight="1">
      <c r="F673" s="192"/>
      <c r="G673" s="193"/>
      <c r="H673" s="193"/>
      <c r="I673" s="193"/>
      <c r="K673" s="168"/>
      <c r="L673" s="208"/>
      <c r="M673" s="168"/>
      <c r="N673" s="168"/>
      <c r="O673" s="168"/>
      <c r="P673" s="168"/>
      <c r="Q673" s="168"/>
      <c r="R673" s="168"/>
      <c r="S673" s="168"/>
      <c r="T673" s="168"/>
      <c r="U673" s="168"/>
      <c r="V673" s="196"/>
      <c r="W673" s="194"/>
      <c r="X673" s="195"/>
      <c r="Y673" s="195"/>
      <c r="Z673" s="195"/>
      <c r="AA673" s="195"/>
      <c r="AB673" s="195"/>
    </row>
    <row r="674" spans="2:28" ht="15" customHeight="1">
      <c r="B674" s="164" t="s">
        <v>60</v>
      </c>
      <c r="C674" s="6"/>
      <c r="E674" s="116" t="s">
        <v>20</v>
      </c>
    </row>
    <row r="675" spans="2:28" ht="18" customHeight="1">
      <c r="B675" s="6"/>
      <c r="C675" s="269" t="s">
        <v>5</v>
      </c>
      <c r="E675" s="239" t="s">
        <v>125</v>
      </c>
      <c r="F675" s="237"/>
      <c r="G675" s="240"/>
      <c r="K675" s="333" t="s">
        <v>9</v>
      </c>
      <c r="L675" s="334"/>
      <c r="M675" s="334"/>
      <c r="N675" s="335"/>
      <c r="O675" s="24"/>
      <c r="P675" s="68" t="s">
        <v>10</v>
      </c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70"/>
    </row>
    <row r="676" spans="2:28" ht="15" customHeight="1">
      <c r="E676" s="26" t="s">
        <v>21</v>
      </c>
      <c r="F676" s="84" t="s">
        <v>22</v>
      </c>
      <c r="G676" s="85"/>
      <c r="H676" s="73" t="s">
        <v>4</v>
      </c>
      <c r="I676" s="75" t="s">
        <v>23</v>
      </c>
      <c r="K676" s="71"/>
      <c r="M676" s="24"/>
      <c r="N676" s="72" t="s">
        <v>11</v>
      </c>
      <c r="O676" s="24"/>
      <c r="P676" s="73">
        <v>2011</v>
      </c>
      <c r="Q676" s="74"/>
      <c r="R676" s="75">
        <f>P676+1</f>
        <v>2012</v>
      </c>
      <c r="S676" s="75">
        <f>R676+1</f>
        <v>2013</v>
      </c>
      <c r="T676" s="75">
        <f>S676+1</f>
        <v>2014</v>
      </c>
      <c r="U676" s="75">
        <f>T676+1</f>
        <v>2015</v>
      </c>
      <c r="V676" s="75">
        <f>U676+1</f>
        <v>2016</v>
      </c>
      <c r="W676" s="74"/>
      <c r="X676" s="76">
        <f>V676+1</f>
        <v>2017</v>
      </c>
      <c r="Y676" s="76">
        <f>X676+1</f>
        <v>2018</v>
      </c>
      <c r="Z676" s="76">
        <f>Y676+1</f>
        <v>2019</v>
      </c>
      <c r="AA676" s="76">
        <f>Z676+1</f>
        <v>2020</v>
      </c>
      <c r="AB676" s="76">
        <f>AA676+1</f>
        <v>2021</v>
      </c>
    </row>
    <row r="677" spans="2:28" ht="4" customHeight="1"/>
    <row r="678" spans="2:28" ht="12" customHeight="1">
      <c r="C678" s="28"/>
      <c r="E678" s="77" t="s">
        <v>3</v>
      </c>
      <c r="F678" s="197" t="s">
        <v>224</v>
      </c>
      <c r="G678" s="117"/>
      <c r="H678" s="73"/>
      <c r="I678" s="75"/>
      <c r="J678" s="3"/>
      <c r="K678" s="87"/>
      <c r="L678" s="204"/>
      <c r="M678" s="30"/>
      <c r="N678" s="176">
        <f>N649</f>
        <v>102.89999999999999</v>
      </c>
      <c r="O678" s="32"/>
      <c r="P678" s="88"/>
      <c r="Q678" s="30"/>
      <c r="R678" s="89">
        <f>R649</f>
        <v>5.5</v>
      </c>
      <c r="S678" s="89">
        <f>S649</f>
        <v>97.399999999999991</v>
      </c>
      <c r="T678" s="89">
        <f>T649</f>
        <v>0</v>
      </c>
      <c r="U678" s="89">
        <f>U649</f>
        <v>0</v>
      </c>
      <c r="V678" s="220">
        <f>V649</f>
        <v>0</v>
      </c>
      <c r="X678" s="235"/>
      <c r="Y678" s="118"/>
      <c r="Z678" s="118"/>
      <c r="AA678" s="118"/>
      <c r="AB678" s="119"/>
    </row>
    <row r="679" spans="2:28" ht="12" customHeight="1">
      <c r="C679" s="28"/>
      <c r="E679" s="105" t="s">
        <v>218</v>
      </c>
      <c r="F679" s="41" t="s">
        <v>221</v>
      </c>
      <c r="G679" s="100"/>
      <c r="H679" s="94"/>
      <c r="I679" s="43"/>
      <c r="J679" s="3"/>
      <c r="K679" s="101"/>
      <c r="L679" s="204"/>
      <c r="M679" s="30"/>
      <c r="N679" s="178">
        <f>N653</f>
        <v>6.5</v>
      </c>
      <c r="O679" s="32"/>
      <c r="P679" s="96"/>
      <c r="Q679" s="30"/>
      <c r="R679" s="157">
        <f>R653</f>
        <v>0</v>
      </c>
      <c r="S679" s="157">
        <f t="shared" ref="S679:V679" si="142">S653</f>
        <v>6.5</v>
      </c>
      <c r="T679" s="157">
        <f t="shared" si="142"/>
        <v>0</v>
      </c>
      <c r="U679" s="157">
        <f t="shared" si="142"/>
        <v>0</v>
      </c>
      <c r="V679" s="157">
        <f t="shared" si="142"/>
        <v>0</v>
      </c>
      <c r="W679" s="30"/>
      <c r="X679" s="102"/>
      <c r="Y679" s="103"/>
      <c r="Z679" s="103"/>
      <c r="AA679" s="103"/>
      <c r="AB679" s="104"/>
    </row>
    <row r="680" spans="2:28" ht="12" customHeight="1">
      <c r="C680" s="28"/>
      <c r="E680" s="105" t="s">
        <v>29</v>
      </c>
      <c r="F680" s="41" t="s">
        <v>220</v>
      </c>
      <c r="G680" s="100"/>
      <c r="H680" s="94"/>
      <c r="I680" s="43"/>
      <c r="J680" s="3"/>
      <c r="K680" s="101"/>
      <c r="L680" s="204"/>
      <c r="M680" s="30"/>
      <c r="N680" s="178">
        <f>SUM(N654:N657)</f>
        <v>11.475</v>
      </c>
      <c r="O680" s="32"/>
      <c r="P680" s="96"/>
      <c r="Q680" s="30"/>
      <c r="R680" s="178">
        <f>SUM(R654:R657)</f>
        <v>2.125</v>
      </c>
      <c r="S680" s="178">
        <f t="shared" ref="S680:V680" si="143">SUM(S654:S657)</f>
        <v>9.35</v>
      </c>
      <c r="T680" s="178">
        <f t="shared" si="143"/>
        <v>0</v>
      </c>
      <c r="U680" s="178">
        <f t="shared" si="143"/>
        <v>0</v>
      </c>
      <c r="V680" s="178">
        <f t="shared" si="143"/>
        <v>0</v>
      </c>
      <c r="W680" s="30"/>
      <c r="X680" s="102"/>
      <c r="Y680" s="103"/>
      <c r="Z680" s="103"/>
      <c r="AA680" s="103"/>
      <c r="AB680" s="104"/>
    </row>
    <row r="681" spans="2:28" ht="12" customHeight="1">
      <c r="C681" s="28"/>
      <c r="E681" s="105" t="s">
        <v>49</v>
      </c>
      <c r="F681" s="41" t="s">
        <v>50</v>
      </c>
      <c r="G681" s="100"/>
      <c r="H681" s="94"/>
      <c r="I681" s="43"/>
      <c r="J681" s="3"/>
      <c r="K681" s="101"/>
      <c r="L681" s="204"/>
      <c r="M681" s="30"/>
      <c r="N681" s="178">
        <f>SUM(N659:N663)</f>
        <v>5.25</v>
      </c>
      <c r="O681" s="32"/>
      <c r="P681" s="96"/>
      <c r="Q681" s="30"/>
      <c r="R681" s="178">
        <f>SUM(R659:R663)</f>
        <v>5.25</v>
      </c>
      <c r="S681" s="178">
        <f t="shared" ref="S681:V681" si="144">SUM(S659:S663)</f>
        <v>0</v>
      </c>
      <c r="T681" s="178">
        <f t="shared" si="144"/>
        <v>0</v>
      </c>
      <c r="U681" s="178">
        <f t="shared" si="144"/>
        <v>0</v>
      </c>
      <c r="V681" s="178">
        <f t="shared" si="144"/>
        <v>0</v>
      </c>
      <c r="W681" s="30"/>
      <c r="X681" s="102"/>
      <c r="Y681" s="103"/>
      <c r="Z681" s="103"/>
      <c r="AA681" s="103"/>
      <c r="AB681" s="104"/>
    </row>
    <row r="682" spans="2:28" ht="12" customHeight="1">
      <c r="C682" s="28"/>
      <c r="E682" s="40" t="s">
        <v>52</v>
      </c>
      <c r="F682" s="41" t="s">
        <v>168</v>
      </c>
      <c r="G682" s="100"/>
      <c r="H682" s="94"/>
      <c r="I682" s="43"/>
      <c r="J682" s="3"/>
      <c r="K682" s="101"/>
      <c r="L682" s="204"/>
      <c r="M682" s="30"/>
      <c r="N682" s="178">
        <f>SUM(N665:N666)</f>
        <v>7</v>
      </c>
      <c r="O682" s="32"/>
      <c r="P682" s="96"/>
      <c r="Q682" s="30"/>
      <c r="R682" s="178">
        <f>SUM(R665:R666)</f>
        <v>0.70000000000000007</v>
      </c>
      <c r="S682" s="178">
        <f t="shared" ref="S682:V682" si="145">SUM(S665:S666)</f>
        <v>3.5</v>
      </c>
      <c r="T682" s="178">
        <f t="shared" si="145"/>
        <v>2.8000000000000003</v>
      </c>
      <c r="U682" s="178">
        <f t="shared" si="145"/>
        <v>0</v>
      </c>
      <c r="V682" s="178">
        <f t="shared" si="145"/>
        <v>0</v>
      </c>
      <c r="W682" s="30"/>
      <c r="X682" s="102"/>
      <c r="Y682" s="103"/>
      <c r="Z682" s="103"/>
      <c r="AA682" s="103"/>
      <c r="AB682" s="104"/>
    </row>
    <row r="683" spans="2:28" ht="12" customHeight="1">
      <c r="C683" s="28"/>
      <c r="E683" s="40" t="s">
        <v>65</v>
      </c>
      <c r="F683" s="41" t="s">
        <v>78</v>
      </c>
      <c r="G683" s="100"/>
      <c r="H683" s="94"/>
      <c r="I683" s="43"/>
      <c r="J683" s="3"/>
      <c r="K683" s="101"/>
      <c r="L683" s="204"/>
      <c r="M683" s="30"/>
      <c r="N683" s="178">
        <f>SUM(N668:N669)</f>
        <v>41.2</v>
      </c>
      <c r="O683" s="32"/>
      <c r="P683" s="96"/>
      <c r="Q683" s="30"/>
      <c r="R683" s="178">
        <f>SUM(R668:R669)</f>
        <v>4.12</v>
      </c>
      <c r="S683" s="178">
        <f t="shared" ref="S683:V683" si="146">SUM(S668:S669)</f>
        <v>20.6</v>
      </c>
      <c r="T683" s="178">
        <f t="shared" si="146"/>
        <v>16.48</v>
      </c>
      <c r="U683" s="178">
        <f t="shared" si="146"/>
        <v>0</v>
      </c>
      <c r="V683" s="178">
        <f t="shared" si="146"/>
        <v>0</v>
      </c>
      <c r="W683" s="30"/>
      <c r="X683" s="102"/>
      <c r="Y683" s="103"/>
      <c r="Z683" s="103"/>
      <c r="AA683" s="103"/>
      <c r="AB683" s="104"/>
    </row>
    <row r="684" spans="2:28" ht="12" customHeight="1">
      <c r="C684" s="28"/>
      <c r="E684" s="108" t="s">
        <v>59</v>
      </c>
      <c r="F684" s="256" t="s">
        <v>139</v>
      </c>
      <c r="G684" s="120"/>
      <c r="H684" s="94"/>
      <c r="I684" s="43"/>
      <c r="J684" s="3"/>
      <c r="K684" s="121"/>
      <c r="L684" s="204"/>
      <c r="M684" s="30"/>
      <c r="N684" s="234">
        <f>N670</f>
        <v>7.1425000000000001</v>
      </c>
      <c r="O684" s="32"/>
      <c r="P684" s="109"/>
      <c r="Q684" s="30"/>
      <c r="R684" s="163">
        <f t="shared" ref="R684:V684" si="147">R670</f>
        <v>0.71425000000000005</v>
      </c>
      <c r="S684" s="163">
        <f t="shared" si="147"/>
        <v>3.57125</v>
      </c>
      <c r="T684" s="163">
        <f t="shared" si="147"/>
        <v>2.8570000000000002</v>
      </c>
      <c r="U684" s="163">
        <f t="shared" si="147"/>
        <v>0</v>
      </c>
      <c r="V684" s="163">
        <f t="shared" si="147"/>
        <v>0</v>
      </c>
      <c r="W684" s="30"/>
      <c r="X684" s="218"/>
      <c r="Y684" s="111"/>
      <c r="Z684" s="111"/>
      <c r="AA684" s="111"/>
      <c r="AB684" s="112"/>
    </row>
    <row r="685" spans="2:28" ht="4" customHeight="1">
      <c r="E685" s="3"/>
      <c r="J685" s="3"/>
    </row>
    <row r="686" spans="2:28" ht="15" customHeight="1">
      <c r="F686" s="122" t="s">
        <v>24</v>
      </c>
      <c r="G686" s="114"/>
      <c r="H686" s="114"/>
      <c r="I686" s="85"/>
      <c r="K686" s="22"/>
      <c r="L686" s="207"/>
      <c r="M686" s="20"/>
      <c r="N686" s="162">
        <f>SUM(N678:N684)</f>
        <v>181.4675</v>
      </c>
      <c r="O686" s="20"/>
      <c r="P686" s="22"/>
      <c r="Q686" s="20"/>
      <c r="R686" s="198">
        <f>SUM(R678:R684)</f>
        <v>18.40925</v>
      </c>
      <c r="S686" s="198">
        <f>SUM(S678:S684)</f>
        <v>140.92124999999999</v>
      </c>
      <c r="T686" s="198">
        <f>SUM(T678:T684)</f>
        <v>22.137</v>
      </c>
      <c r="U686" s="198">
        <f>SUM(U678:U684)</f>
        <v>0</v>
      </c>
      <c r="V686" s="198">
        <f>SUM(V678:V684)</f>
        <v>0</v>
      </c>
      <c r="W686" s="115"/>
      <c r="X686" s="236">
        <f>SUM(X678:X684)</f>
        <v>0</v>
      </c>
      <c r="Y686" s="160">
        <f>SUM(Y678:Y684)</f>
        <v>0</v>
      </c>
      <c r="Z686" s="160">
        <f>SUM(Z678:Z684)</f>
        <v>0</v>
      </c>
      <c r="AA686" s="160">
        <f>SUM(AA678:AA684)</f>
        <v>0</v>
      </c>
      <c r="AB686" s="160">
        <f>SUM(AB678:AB684)</f>
        <v>0</v>
      </c>
    </row>
    <row r="687" spans="2:28" ht="10" customHeight="1"/>
    <row r="688" spans="2:28" ht="10" customHeight="1" thickBot="1"/>
    <row r="689" spans="2:29" ht="16" thickBot="1">
      <c r="B689" s="315" t="s">
        <v>77</v>
      </c>
      <c r="C689" s="316"/>
      <c r="D689" s="316"/>
      <c r="E689" s="316"/>
      <c r="F689" s="316"/>
      <c r="G689" s="316"/>
      <c r="H689" s="316"/>
      <c r="I689" s="316"/>
      <c r="J689" s="316"/>
      <c r="K689" s="316"/>
      <c r="L689" s="316"/>
      <c r="M689" s="316"/>
      <c r="N689" s="316"/>
      <c r="O689" s="316"/>
      <c r="P689" s="316"/>
      <c r="Q689" s="316"/>
      <c r="R689" s="316"/>
      <c r="S689" s="316"/>
      <c r="T689" s="316"/>
      <c r="U689" s="316"/>
      <c r="V689" s="316"/>
      <c r="W689" s="316"/>
      <c r="X689" s="316"/>
      <c r="Y689" s="316"/>
      <c r="Z689" s="316"/>
      <c r="AA689" s="316"/>
      <c r="AB689" s="317"/>
    </row>
    <row r="690" spans="2:29" ht="10" customHeight="1" thickBot="1"/>
    <row r="691" spans="2:29" ht="13" thickBot="1">
      <c r="B691" s="164" t="s">
        <v>60</v>
      </c>
      <c r="C691" s="6"/>
      <c r="D691" s="132"/>
      <c r="E691" s="123" t="s">
        <v>61</v>
      </c>
      <c r="F691" s="7"/>
      <c r="G691" s="8"/>
    </row>
    <row r="692" spans="2:29" ht="36" customHeight="1">
      <c r="B692" s="6"/>
      <c r="C692" s="9" t="s">
        <v>143</v>
      </c>
      <c r="D692" s="130"/>
      <c r="E692" s="269" t="s">
        <v>126</v>
      </c>
      <c r="F692" s="251" t="s">
        <v>156</v>
      </c>
      <c r="G692" s="11"/>
    </row>
    <row r="693" spans="2:29" ht="12" customHeight="1">
      <c r="B693" s="6"/>
      <c r="C693" s="6"/>
      <c r="D693" s="132"/>
      <c r="E693" s="12"/>
      <c r="F693" s="26" t="s">
        <v>164</v>
      </c>
      <c r="G693" s="11"/>
    </row>
    <row r="694" spans="2:29" ht="12" customHeight="1">
      <c r="B694" s="6"/>
      <c r="C694" s="6"/>
      <c r="D694" s="132"/>
      <c r="E694" s="12"/>
      <c r="F694" s="13" t="s">
        <v>7</v>
      </c>
      <c r="G694" s="14">
        <v>2014</v>
      </c>
      <c r="P694" s="137">
        <v>2011</v>
      </c>
      <c r="Q694" s="138"/>
      <c r="R694" s="137">
        <f>P694+1</f>
        <v>2012</v>
      </c>
      <c r="S694" s="137">
        <f>R694+1</f>
        <v>2013</v>
      </c>
      <c r="T694" s="137">
        <f>S694+1</f>
        <v>2014</v>
      </c>
      <c r="U694" s="137">
        <f>T694+1</f>
        <v>2015</v>
      </c>
      <c r="V694" s="137">
        <f>U694+1</f>
        <v>2016</v>
      </c>
      <c r="W694" s="138"/>
      <c r="X694" s="139">
        <f>V694+1</f>
        <v>2017</v>
      </c>
      <c r="Y694" s="139">
        <f>X694+1</f>
        <v>2018</v>
      </c>
      <c r="Z694" s="139">
        <f>Y694+1</f>
        <v>2019</v>
      </c>
      <c r="AA694" s="139">
        <f>Z694+1</f>
        <v>2020</v>
      </c>
      <c r="AB694" s="139">
        <f>AA694+1</f>
        <v>2021</v>
      </c>
    </row>
    <row r="695" spans="2:29" ht="12" customHeight="1">
      <c r="F695" s="1"/>
      <c r="G695" s="209" t="s">
        <v>68</v>
      </c>
      <c r="H695" s="18"/>
      <c r="I695" s="18"/>
      <c r="K695" s="19"/>
      <c r="L695" s="203"/>
      <c r="M695" s="20"/>
      <c r="N695" s="21" t="s">
        <v>0</v>
      </c>
      <c r="O695" s="20"/>
      <c r="P695" s="22"/>
      <c r="Q695" s="20"/>
      <c r="R695" s="140"/>
      <c r="S695" s="141"/>
      <c r="T695" s="142">
        <v>23.7</v>
      </c>
      <c r="U695" s="140">
        <v>33.799999999999997</v>
      </c>
      <c r="V695" s="143">
        <v>30.5</v>
      </c>
      <c r="W695" s="23"/>
      <c r="X695" s="144">
        <v>28.3</v>
      </c>
      <c r="Y695" s="144">
        <v>25.700000000000003</v>
      </c>
      <c r="Z695" s="144">
        <v>19.100000000000001</v>
      </c>
      <c r="AA695" s="144">
        <v>15.1</v>
      </c>
      <c r="AB695" s="144">
        <v>15.1</v>
      </c>
    </row>
    <row r="696" spans="2:29" ht="12" customHeight="1">
      <c r="F696" s="1"/>
      <c r="G696" s="210" t="s">
        <v>69</v>
      </c>
      <c r="H696" s="18"/>
      <c r="I696" s="18"/>
      <c r="K696" s="19"/>
      <c r="L696" s="203"/>
      <c r="M696" s="20"/>
      <c r="N696" s="21" t="s">
        <v>1</v>
      </c>
      <c r="O696" s="20"/>
      <c r="P696" s="22"/>
      <c r="Q696" s="20"/>
      <c r="R696" s="140"/>
      <c r="S696" s="141"/>
      <c r="T696" s="142">
        <v>11.600000000000001</v>
      </c>
      <c r="U696" s="140">
        <v>16.600000000000001</v>
      </c>
      <c r="V696" s="143">
        <v>15.899999999999999</v>
      </c>
      <c r="W696" s="23"/>
      <c r="X696" s="144">
        <v>15.1</v>
      </c>
      <c r="Y696" s="144">
        <v>14.100000000000001</v>
      </c>
      <c r="Z696" s="144">
        <v>10.600000000000001</v>
      </c>
      <c r="AA696" s="144">
        <v>7.9</v>
      </c>
      <c r="AB696" s="144">
        <v>7.9</v>
      </c>
    </row>
    <row r="697" spans="2:29" ht="10" customHeight="1">
      <c r="F697" s="1"/>
      <c r="G697" s="165"/>
      <c r="H697" s="166"/>
      <c r="I697" s="166"/>
      <c r="K697" s="167"/>
      <c r="L697" s="204"/>
      <c r="M697" s="168"/>
      <c r="N697" s="169"/>
      <c r="O697" s="168"/>
      <c r="P697" s="168"/>
      <c r="Q697" s="168"/>
      <c r="R697" s="170"/>
      <c r="S697" s="170"/>
      <c r="T697" s="170"/>
      <c r="U697" s="170"/>
      <c r="V697" s="170"/>
      <c r="W697" s="171"/>
      <c r="X697" s="172"/>
      <c r="Y697" s="172"/>
      <c r="Z697" s="172"/>
      <c r="AA697" s="172"/>
      <c r="AB697" s="172"/>
    </row>
    <row r="698" spans="2:29" ht="12" customHeight="1">
      <c r="E698" s="26" t="s">
        <v>8</v>
      </c>
      <c r="F698" s="27" t="s">
        <v>27</v>
      </c>
      <c r="O698" s="24"/>
      <c r="P698" s="134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6"/>
    </row>
    <row r="699" spans="2:29" ht="12" customHeight="1">
      <c r="C699" s="25"/>
      <c r="F699" s="1"/>
      <c r="G699" s="5"/>
      <c r="O699" s="24"/>
      <c r="P699" s="15">
        <v>2011</v>
      </c>
      <c r="Q699" s="16"/>
      <c r="R699" s="16">
        <f>P699+1</f>
        <v>2012</v>
      </c>
      <c r="S699" s="16">
        <f>R699+1</f>
        <v>2013</v>
      </c>
      <c r="T699" s="16">
        <f>S699+1</f>
        <v>2014</v>
      </c>
      <c r="U699" s="16">
        <f>T699+1</f>
        <v>2015</v>
      </c>
      <c r="V699" s="16">
        <f>U699+1</f>
        <v>2016</v>
      </c>
      <c r="W699" s="16"/>
      <c r="X699" s="17">
        <f>V699+1</f>
        <v>2017</v>
      </c>
      <c r="Y699" s="17">
        <f>X699+1</f>
        <v>2018</v>
      </c>
      <c r="Z699" s="17">
        <f>Y699+1</f>
        <v>2019</v>
      </c>
      <c r="AA699" s="17">
        <f>Z699+1</f>
        <v>2020</v>
      </c>
      <c r="AB699" s="17">
        <f>AA699+1</f>
        <v>2021</v>
      </c>
      <c r="AC699" s="24"/>
    </row>
    <row r="700" spans="2:29" ht="4" customHeight="1"/>
    <row r="701" spans="2:29" ht="12" customHeight="1">
      <c r="D701" s="242">
        <v>1</v>
      </c>
      <c r="E701" s="125" t="s">
        <v>209</v>
      </c>
      <c r="F701" s="125" t="s">
        <v>210</v>
      </c>
      <c r="G701" s="145"/>
      <c r="H701" s="150"/>
      <c r="I701" s="151"/>
      <c r="J701" s="3"/>
      <c r="K701" s="295">
        <v>4</v>
      </c>
      <c r="L701" s="201"/>
      <c r="M701" s="30"/>
      <c r="N701" s="87"/>
      <c r="O701" s="32"/>
      <c r="P701" s="33"/>
      <c r="Q701" s="30"/>
      <c r="R701" s="34"/>
      <c r="S701" s="35">
        <f>K701</f>
        <v>4</v>
      </c>
      <c r="T701" s="35"/>
      <c r="U701" s="35"/>
      <c r="V701" s="36"/>
      <c r="W701" s="30"/>
      <c r="X701" s="37"/>
      <c r="Y701" s="38"/>
      <c r="Z701" s="38"/>
      <c r="AA701" s="38"/>
      <c r="AB701" s="39"/>
    </row>
    <row r="702" spans="2:29" ht="12" customHeight="1">
      <c r="D702" s="243">
        <v>2</v>
      </c>
      <c r="E702" s="126" t="s">
        <v>222</v>
      </c>
      <c r="F702" s="126" t="s">
        <v>223</v>
      </c>
      <c r="G702" s="146"/>
      <c r="H702" s="152"/>
      <c r="I702" s="153"/>
      <c r="J702" s="3"/>
      <c r="K702" s="296">
        <v>2</v>
      </c>
      <c r="L702" s="201"/>
      <c r="M702" s="30"/>
      <c r="N702" s="101"/>
      <c r="O702" s="32"/>
      <c r="P702" s="45"/>
      <c r="Q702" s="30"/>
      <c r="R702" s="46"/>
      <c r="S702" s="47">
        <f>K702</f>
        <v>2</v>
      </c>
      <c r="T702" s="47"/>
      <c r="U702" s="47"/>
      <c r="V702" s="48"/>
      <c r="W702" s="30"/>
      <c r="X702" s="49"/>
      <c r="Y702" s="50"/>
      <c r="Z702" s="50"/>
      <c r="AA702" s="50"/>
      <c r="AB702" s="51"/>
    </row>
    <row r="703" spans="2:29" ht="12" customHeight="1">
      <c r="D703" s="243">
        <v>3</v>
      </c>
      <c r="E703" s="126" t="s">
        <v>211</v>
      </c>
      <c r="F703" s="126" t="s">
        <v>26</v>
      </c>
      <c r="G703" s="146"/>
      <c r="H703" s="152"/>
      <c r="I703" s="153"/>
      <c r="J703" s="3"/>
      <c r="K703" s="44">
        <v>2</v>
      </c>
      <c r="L703" s="201"/>
      <c r="M703" s="30"/>
      <c r="N703" s="53"/>
      <c r="O703" s="32"/>
      <c r="P703" s="45"/>
      <c r="Q703" s="30"/>
      <c r="R703" s="46"/>
      <c r="S703" s="47">
        <f t="shared" ref="S703" si="148">K703</f>
        <v>2</v>
      </c>
      <c r="T703" s="47"/>
      <c r="U703" s="47"/>
      <c r="V703" s="48"/>
      <c r="W703" s="30"/>
      <c r="X703" s="49"/>
      <c r="Y703" s="50"/>
      <c r="Z703" s="50"/>
      <c r="AA703" s="50"/>
      <c r="AB703" s="51"/>
    </row>
    <row r="704" spans="2:29" ht="12" customHeight="1">
      <c r="D704" s="244">
        <v>4</v>
      </c>
      <c r="E704" s="127" t="s">
        <v>212</v>
      </c>
      <c r="F704" s="127" t="s">
        <v>26</v>
      </c>
      <c r="G704" s="147"/>
      <c r="H704" s="154"/>
      <c r="I704" s="155"/>
      <c r="J704" s="3"/>
      <c r="K704" s="297">
        <v>4</v>
      </c>
      <c r="L704" s="201"/>
      <c r="M704" s="30"/>
      <c r="N704" s="53"/>
      <c r="O704" s="32"/>
      <c r="P704" s="45"/>
      <c r="Q704" s="30"/>
      <c r="R704" s="46"/>
      <c r="S704" s="47">
        <f>K704</f>
        <v>4</v>
      </c>
      <c r="T704" s="47"/>
      <c r="U704" s="47"/>
      <c r="V704" s="48"/>
      <c r="W704" s="30"/>
      <c r="X704" s="49"/>
      <c r="Y704" s="50"/>
      <c r="Z704" s="50"/>
      <c r="AA704" s="50"/>
      <c r="AB704" s="51"/>
    </row>
    <row r="705" spans="2:28" s="67" customFormat="1" ht="15" customHeight="1">
      <c r="B705" s="54"/>
      <c r="C705" s="55"/>
      <c r="D705" s="133"/>
      <c r="E705" s="124"/>
      <c r="F705" s="128" t="s">
        <v>2</v>
      </c>
      <c r="G705" s="129"/>
      <c r="H705" s="148"/>
      <c r="I705" s="149"/>
      <c r="J705" s="61"/>
      <c r="K705" s="29">
        <f>SUM(K701:K704)</f>
        <v>12</v>
      </c>
      <c r="L705" s="205"/>
      <c r="M705" s="62"/>
      <c r="N705" s="31"/>
      <c r="O705" s="61"/>
      <c r="P705" s="63"/>
      <c r="Q705" s="62"/>
      <c r="R705" s="64">
        <f>SUM(R701:R704)</f>
        <v>0</v>
      </c>
      <c r="S705" s="64">
        <f>SUM(S701:S704)</f>
        <v>12</v>
      </c>
      <c r="T705" s="64">
        <f>SUM(T701:T704)</f>
        <v>0</v>
      </c>
      <c r="U705" s="64">
        <f>SUM(U701:U704)</f>
        <v>0</v>
      </c>
      <c r="V705" s="64">
        <f>SUM(V701:V704)</f>
        <v>0</v>
      </c>
      <c r="W705" s="62"/>
      <c r="X705" s="65"/>
      <c r="Y705" s="59"/>
      <c r="Z705" s="59"/>
      <c r="AA705" s="59"/>
      <c r="AB705" s="66"/>
    </row>
    <row r="706" spans="2:28" ht="9" customHeight="1"/>
    <row r="707" spans="2:28" ht="15" customHeight="1">
      <c r="L707" s="1"/>
      <c r="O707" s="24"/>
      <c r="P707" s="84" t="s">
        <v>10</v>
      </c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  <c r="AB707" s="222"/>
    </row>
    <row r="708" spans="2:28" ht="15" customHeight="1">
      <c r="E708" s="26" t="s">
        <v>28</v>
      </c>
      <c r="K708" s="137" t="s">
        <v>67</v>
      </c>
      <c r="L708" s="211" t="s">
        <v>66</v>
      </c>
      <c r="M708" s="24"/>
      <c r="N708" s="212" t="s">
        <v>11</v>
      </c>
      <c r="O708" s="24"/>
      <c r="P708" s="137">
        <v>2011</v>
      </c>
      <c r="Q708" s="5"/>
      <c r="R708" s="137">
        <f>P708+1</f>
        <v>2012</v>
      </c>
      <c r="S708" s="137">
        <f>R708+1</f>
        <v>2013</v>
      </c>
      <c r="T708" s="137">
        <f>S708+1</f>
        <v>2014</v>
      </c>
      <c r="U708" s="137">
        <f>T708+1</f>
        <v>2015</v>
      </c>
      <c r="V708" s="137">
        <f>U708+1</f>
        <v>2016</v>
      </c>
      <c r="W708" s="5"/>
      <c r="X708" s="139">
        <f>V708+1</f>
        <v>2017</v>
      </c>
      <c r="Y708" s="139">
        <f>X708+1</f>
        <v>2018</v>
      </c>
      <c r="Z708" s="139">
        <f>Y708+1</f>
        <v>2019</v>
      </c>
      <c r="AA708" s="139">
        <f>Z708+1</f>
        <v>2020</v>
      </c>
      <c r="AB708" s="139">
        <f>AA708+1</f>
        <v>2021</v>
      </c>
    </row>
    <row r="709" spans="2:28" ht="4.5" customHeight="1"/>
    <row r="710" spans="2:28" ht="12" customHeight="1">
      <c r="D710" s="242">
        <v>1</v>
      </c>
      <c r="E710" s="125" t="s">
        <v>209</v>
      </c>
      <c r="F710" s="125" t="s">
        <v>213</v>
      </c>
      <c r="G710" s="299">
        <f>(3*1+2.5)/4</f>
        <v>1.375</v>
      </c>
      <c r="H710" s="78" t="s">
        <v>12</v>
      </c>
      <c r="I710" s="79" t="s">
        <v>13</v>
      </c>
      <c r="J710" s="3"/>
      <c r="K710" s="80">
        <f>K701</f>
        <v>4</v>
      </c>
      <c r="L710" s="225" t="s">
        <v>13</v>
      </c>
      <c r="M710" s="30"/>
      <c r="N710" s="156">
        <f>G710*K710</f>
        <v>5.5</v>
      </c>
      <c r="O710" s="32"/>
      <c r="P710" s="33"/>
      <c r="Q710" s="30"/>
      <c r="R710" s="81">
        <f t="shared" ref="R710:V713" si="149">$G710*R701</f>
        <v>0</v>
      </c>
      <c r="S710" s="81">
        <f t="shared" si="149"/>
        <v>5.5</v>
      </c>
      <c r="T710" s="81">
        <f t="shared" si="149"/>
        <v>0</v>
      </c>
      <c r="U710" s="81">
        <f t="shared" si="149"/>
        <v>0</v>
      </c>
      <c r="V710" s="81">
        <f t="shared" si="149"/>
        <v>0</v>
      </c>
      <c r="W710" s="30"/>
      <c r="X710" s="37"/>
      <c r="Y710" s="38"/>
      <c r="Z710" s="38"/>
      <c r="AA710" s="38"/>
      <c r="AB710" s="39"/>
    </row>
    <row r="711" spans="2:28" ht="12" customHeight="1">
      <c r="D711" s="243">
        <v>2</v>
      </c>
      <c r="E711" s="126" t="s">
        <v>222</v>
      </c>
      <c r="F711" s="126" t="s">
        <v>214</v>
      </c>
      <c r="G711" s="300">
        <f>(2.3+2.7)/2</f>
        <v>2.5</v>
      </c>
      <c r="H711" s="42" t="s">
        <v>12</v>
      </c>
      <c r="I711" s="43" t="s">
        <v>13</v>
      </c>
      <c r="J711" s="3"/>
      <c r="K711" s="52">
        <f>K702</f>
        <v>2</v>
      </c>
      <c r="L711" s="226" t="s">
        <v>13</v>
      </c>
      <c r="M711" s="30"/>
      <c r="N711" s="157">
        <f>G711*K711</f>
        <v>5</v>
      </c>
      <c r="O711" s="32"/>
      <c r="P711" s="45"/>
      <c r="Q711" s="30"/>
      <c r="R711" s="81">
        <f t="shared" si="149"/>
        <v>0</v>
      </c>
      <c r="S711" s="81">
        <f t="shared" si="149"/>
        <v>5</v>
      </c>
      <c r="T711" s="81">
        <f t="shared" si="149"/>
        <v>0</v>
      </c>
      <c r="U711" s="81">
        <f t="shared" si="149"/>
        <v>0</v>
      </c>
      <c r="V711" s="81">
        <f t="shared" si="149"/>
        <v>0</v>
      </c>
      <c r="W711" s="30"/>
      <c r="X711" s="49"/>
      <c r="Y711" s="50"/>
      <c r="Z711" s="50"/>
      <c r="AA711" s="50"/>
      <c r="AB711" s="51"/>
    </row>
    <row r="712" spans="2:28" ht="12" customHeight="1">
      <c r="D712" s="243">
        <v>3</v>
      </c>
      <c r="E712" s="126" t="s">
        <v>211</v>
      </c>
      <c r="F712" s="126" t="s">
        <v>26</v>
      </c>
      <c r="G712" s="300">
        <f>(17.5+22)/2</f>
        <v>19.75</v>
      </c>
      <c r="H712" s="42" t="s">
        <v>12</v>
      </c>
      <c r="I712" s="43" t="s">
        <v>13</v>
      </c>
      <c r="J712" s="3"/>
      <c r="K712" s="52">
        <f>K703</f>
        <v>2</v>
      </c>
      <c r="L712" s="226" t="s">
        <v>13</v>
      </c>
      <c r="M712" s="30"/>
      <c r="N712" s="157">
        <f>G712*K712</f>
        <v>39.5</v>
      </c>
      <c r="O712" s="32"/>
      <c r="P712" s="45"/>
      <c r="Q712" s="30"/>
      <c r="R712" s="81">
        <f t="shared" si="149"/>
        <v>0</v>
      </c>
      <c r="S712" s="81">
        <f t="shared" si="149"/>
        <v>39.5</v>
      </c>
      <c r="T712" s="81">
        <f t="shared" si="149"/>
        <v>0</v>
      </c>
      <c r="U712" s="81">
        <f t="shared" si="149"/>
        <v>0</v>
      </c>
      <c r="V712" s="81">
        <f t="shared" si="149"/>
        <v>0</v>
      </c>
      <c r="W712" s="30"/>
      <c r="X712" s="49"/>
      <c r="Y712" s="50"/>
      <c r="Z712" s="50"/>
      <c r="AA712" s="50"/>
      <c r="AB712" s="51"/>
    </row>
    <row r="713" spans="2:28" ht="12" customHeight="1">
      <c r="D713" s="244">
        <v>4</v>
      </c>
      <c r="E713" s="127" t="s">
        <v>212</v>
      </c>
      <c r="F713" s="127" t="s">
        <v>26</v>
      </c>
      <c r="G713" s="300">
        <f>(3*13.7+11.8)/4</f>
        <v>13.224999999999998</v>
      </c>
      <c r="H713" s="42" t="s">
        <v>12</v>
      </c>
      <c r="I713" s="43" t="s">
        <v>13</v>
      </c>
      <c r="J713" s="3"/>
      <c r="K713" s="52">
        <f>K704</f>
        <v>4</v>
      </c>
      <c r="L713" s="227" t="s">
        <v>13</v>
      </c>
      <c r="M713" s="30"/>
      <c r="N713" s="157">
        <f>G713*K713</f>
        <v>52.899999999999991</v>
      </c>
      <c r="O713" s="32"/>
      <c r="P713" s="45"/>
      <c r="Q713" s="30"/>
      <c r="R713" s="81">
        <f t="shared" si="149"/>
        <v>0</v>
      </c>
      <c r="S713" s="81">
        <f t="shared" si="149"/>
        <v>52.899999999999991</v>
      </c>
      <c r="T713" s="81">
        <f t="shared" si="149"/>
        <v>0</v>
      </c>
      <c r="U713" s="81">
        <f t="shared" si="149"/>
        <v>0</v>
      </c>
      <c r="V713" s="81">
        <f t="shared" si="149"/>
        <v>0</v>
      </c>
      <c r="W713" s="30"/>
      <c r="X713" s="49"/>
      <c r="Y713" s="50"/>
      <c r="Z713" s="50"/>
      <c r="AA713" s="50"/>
      <c r="AB713" s="51"/>
    </row>
    <row r="714" spans="2:28" s="67" customFormat="1" ht="15" customHeight="1">
      <c r="B714" s="54"/>
      <c r="C714" s="55"/>
      <c r="D714" s="133"/>
      <c r="E714" s="56"/>
      <c r="F714" s="57" t="s">
        <v>14</v>
      </c>
      <c r="G714" s="58"/>
      <c r="H714" s="59"/>
      <c r="I714" s="60"/>
      <c r="J714" s="61"/>
      <c r="K714" s="82"/>
      <c r="L714" s="206"/>
      <c r="M714" s="62"/>
      <c r="N714" s="180">
        <f>SUM(N710:N713)</f>
        <v>102.89999999999999</v>
      </c>
      <c r="O714" s="61"/>
      <c r="P714" s="63"/>
      <c r="Q714" s="62"/>
      <c r="R714" s="83">
        <f>SUM(R710:R713)</f>
        <v>0</v>
      </c>
      <c r="S714" s="83">
        <f>SUM(S710:S713)</f>
        <v>102.89999999999999</v>
      </c>
      <c r="T714" s="83">
        <f>SUM(T710:T713)</f>
        <v>0</v>
      </c>
      <c r="U714" s="83">
        <f>SUM(U710:U713)</f>
        <v>0</v>
      </c>
      <c r="V714" s="83">
        <f>SUM(V710:V713)</f>
        <v>0</v>
      </c>
      <c r="W714" s="62"/>
      <c r="X714" s="65"/>
      <c r="Y714" s="59"/>
      <c r="Z714" s="59"/>
      <c r="AA714" s="59"/>
      <c r="AB714" s="66"/>
    </row>
    <row r="715" spans="2:28" ht="12" customHeight="1"/>
    <row r="716" spans="2:28" ht="20.149999999999999" customHeight="1">
      <c r="E716" s="26" t="s">
        <v>15</v>
      </c>
      <c r="F716" s="84" t="s">
        <v>16</v>
      </c>
      <c r="G716" s="85"/>
      <c r="H716" s="215" t="s">
        <v>4</v>
      </c>
      <c r="I716" s="232" t="s">
        <v>76</v>
      </c>
      <c r="K716" s="137" t="s">
        <v>67</v>
      </c>
      <c r="L716" s="211" t="s">
        <v>66</v>
      </c>
      <c r="N716" s="212" t="s">
        <v>11</v>
      </c>
      <c r="P716" s="73">
        <v>2011</v>
      </c>
      <c r="Q716" s="74"/>
      <c r="R716" s="75">
        <f>P716+1</f>
        <v>2012</v>
      </c>
      <c r="S716" s="75">
        <f>R716+1</f>
        <v>2013</v>
      </c>
      <c r="T716" s="75">
        <f>S716+1</f>
        <v>2014</v>
      </c>
      <c r="U716" s="75">
        <f>T716+1</f>
        <v>2015</v>
      </c>
      <c r="V716" s="75">
        <f>U716+1</f>
        <v>2016</v>
      </c>
      <c r="W716" s="74"/>
      <c r="X716" s="76">
        <f>V716+1</f>
        <v>2017</v>
      </c>
      <c r="Y716" s="76">
        <f>X716+1</f>
        <v>2018</v>
      </c>
      <c r="Z716" s="76">
        <f>Y716+1</f>
        <v>2019</v>
      </c>
      <c r="AA716" s="76">
        <f>Z716+1</f>
        <v>2020</v>
      </c>
      <c r="AB716" s="76">
        <f>AA716+1</f>
        <v>2021</v>
      </c>
    </row>
    <row r="717" spans="2:28" ht="4" customHeight="1"/>
    <row r="718" spans="2:28" ht="12" customHeight="1">
      <c r="C718" s="28"/>
      <c r="E718" s="77" t="s">
        <v>218</v>
      </c>
      <c r="F718" s="158" t="s">
        <v>219</v>
      </c>
      <c r="G718" s="86"/>
      <c r="H718" s="213" t="s">
        <v>71</v>
      </c>
      <c r="I718" s="216">
        <v>0.5</v>
      </c>
      <c r="J718" s="3"/>
      <c r="K718" s="298">
        <v>13</v>
      </c>
      <c r="L718" s="229" t="s">
        <v>73</v>
      </c>
      <c r="M718" s="30"/>
      <c r="N718" s="176">
        <f>I718*K718</f>
        <v>6.5</v>
      </c>
      <c r="O718" s="32"/>
      <c r="P718" s="88"/>
      <c r="Q718" s="30"/>
      <c r="R718" s="90"/>
      <c r="S718" s="91">
        <f>N718</f>
        <v>6.5</v>
      </c>
      <c r="T718" s="91"/>
      <c r="U718" s="91"/>
      <c r="V718" s="92"/>
      <c r="W718" s="30"/>
      <c r="X718" s="90"/>
      <c r="Y718" s="91"/>
      <c r="Z718" s="91"/>
      <c r="AA718" s="91"/>
      <c r="AB718" s="92"/>
    </row>
    <row r="719" spans="2:28" ht="12" customHeight="1">
      <c r="C719" s="28"/>
      <c r="E719" s="77" t="s">
        <v>215</v>
      </c>
      <c r="F719" s="158" t="s">
        <v>70</v>
      </c>
      <c r="G719" s="86"/>
      <c r="H719" s="213" t="s">
        <v>71</v>
      </c>
      <c r="I719" s="216">
        <v>0.25</v>
      </c>
      <c r="J719" s="3"/>
      <c r="K719" s="228">
        <v>5.7</v>
      </c>
      <c r="L719" s="229" t="s">
        <v>72</v>
      </c>
      <c r="M719" s="30"/>
      <c r="N719" s="176">
        <f>I719*K719</f>
        <v>1.425</v>
      </c>
      <c r="O719" s="32"/>
      <c r="P719" s="88"/>
      <c r="Q719" s="30"/>
      <c r="R719" s="90"/>
      <c r="S719" s="91">
        <f>N719</f>
        <v>1.425</v>
      </c>
      <c r="T719" s="91"/>
      <c r="U719" s="91"/>
      <c r="V719" s="92"/>
      <c r="W719" s="30"/>
      <c r="X719" s="90"/>
      <c r="Y719" s="91"/>
      <c r="Z719" s="91"/>
      <c r="AA719" s="91"/>
      <c r="AB719" s="92"/>
    </row>
    <row r="720" spans="2:28" ht="12" customHeight="1">
      <c r="C720" s="28"/>
      <c r="E720" s="105"/>
      <c r="F720" s="41" t="s">
        <v>17</v>
      </c>
      <c r="G720" s="93"/>
      <c r="H720" s="94"/>
      <c r="I720" s="217">
        <v>0.1</v>
      </c>
      <c r="J720" s="3"/>
      <c r="K720" s="174">
        <v>7</v>
      </c>
      <c r="L720" s="226" t="s">
        <v>73</v>
      </c>
      <c r="M720" s="30"/>
      <c r="N720" s="177">
        <f>I720*K720</f>
        <v>0.70000000000000007</v>
      </c>
      <c r="O720" s="32"/>
      <c r="P720" s="96"/>
      <c r="Q720" s="30"/>
      <c r="R720" s="97"/>
      <c r="S720" s="98">
        <f>N720</f>
        <v>0.70000000000000007</v>
      </c>
      <c r="T720" s="98"/>
      <c r="U720" s="98"/>
      <c r="V720" s="99"/>
      <c r="W720" s="30"/>
      <c r="X720" s="97"/>
      <c r="Y720" s="98"/>
      <c r="Z720" s="98"/>
      <c r="AA720" s="98"/>
      <c r="AB720" s="99"/>
    </row>
    <row r="721" spans="2:28" ht="12" customHeight="1">
      <c r="C721" s="28"/>
      <c r="E721" s="105" t="s">
        <v>216</v>
      </c>
      <c r="F721" s="41" t="s">
        <v>217</v>
      </c>
      <c r="G721" s="100"/>
      <c r="H721" s="94"/>
      <c r="I721" s="217">
        <f>0.25</f>
        <v>0.25</v>
      </c>
      <c r="J721" s="3"/>
      <c r="K721" s="200">
        <f>11*3</f>
        <v>33</v>
      </c>
      <c r="L721" s="230" t="s">
        <v>72</v>
      </c>
      <c r="M721" s="30"/>
      <c r="N721" s="177">
        <f>I721*K721</f>
        <v>8.25</v>
      </c>
      <c r="O721" s="32"/>
      <c r="P721" s="96"/>
      <c r="Q721" s="30"/>
      <c r="R721" s="257"/>
      <c r="S721" s="214">
        <f>N721</f>
        <v>8.25</v>
      </c>
      <c r="T721" s="214"/>
      <c r="U721" s="103"/>
      <c r="V721" s="104"/>
      <c r="W721" s="30"/>
      <c r="X721" s="102"/>
      <c r="Y721" s="103"/>
      <c r="Z721" s="103"/>
      <c r="AA721" s="103"/>
      <c r="AB721" s="104"/>
    </row>
    <row r="722" spans="2:28" ht="12" customHeight="1">
      <c r="C722" s="28"/>
      <c r="E722" s="105"/>
      <c r="F722" s="253" t="s">
        <v>17</v>
      </c>
      <c r="G722" s="100"/>
      <c r="H722" s="94"/>
      <c r="I722" s="217">
        <v>0.1</v>
      </c>
      <c r="J722" s="3"/>
      <c r="K722" s="174">
        <v>11</v>
      </c>
      <c r="L722" s="226" t="s">
        <v>73</v>
      </c>
      <c r="M722" s="30"/>
      <c r="N722" s="177">
        <f>I722*K722</f>
        <v>1.1000000000000001</v>
      </c>
      <c r="O722" s="32"/>
      <c r="P722" s="96"/>
      <c r="Q722" s="30"/>
      <c r="R722" s="257"/>
      <c r="S722" s="214">
        <f>N722</f>
        <v>1.1000000000000001</v>
      </c>
      <c r="T722" s="214"/>
      <c r="U722" s="103"/>
      <c r="V722" s="104"/>
      <c r="W722" s="30"/>
      <c r="X722" s="102"/>
      <c r="Y722" s="103"/>
      <c r="Z722" s="103"/>
      <c r="AA722" s="103"/>
      <c r="AB722" s="104"/>
    </row>
    <row r="723" spans="2:28" ht="15" customHeight="1">
      <c r="C723" s="28"/>
      <c r="E723" s="183" t="s">
        <v>62</v>
      </c>
      <c r="F723" s="186"/>
      <c r="G723" s="184"/>
      <c r="H723" s="94"/>
      <c r="I723" s="95"/>
      <c r="J723" s="3"/>
      <c r="K723" s="174"/>
      <c r="L723" s="226"/>
      <c r="M723" s="30"/>
      <c r="N723" s="177"/>
      <c r="O723" s="32"/>
      <c r="P723" s="96"/>
      <c r="Q723" s="30"/>
      <c r="R723" s="102"/>
      <c r="S723" s="103"/>
      <c r="T723" s="103"/>
      <c r="U723" s="103"/>
      <c r="V723" s="104"/>
      <c r="W723" s="30"/>
      <c r="X723" s="102"/>
      <c r="Y723" s="103"/>
      <c r="Z723" s="103"/>
      <c r="AA723" s="103"/>
      <c r="AB723" s="104"/>
    </row>
    <row r="724" spans="2:28" ht="12" customHeight="1">
      <c r="C724" s="28"/>
      <c r="E724" s="107" t="s">
        <v>42</v>
      </c>
      <c r="F724" s="254" t="s">
        <v>136</v>
      </c>
      <c r="G724" s="185"/>
      <c r="H724" s="94" t="s">
        <v>18</v>
      </c>
      <c r="I724" s="43">
        <v>7</v>
      </c>
      <c r="J724" s="3"/>
      <c r="K724" s="174">
        <v>1</v>
      </c>
      <c r="L724" s="226"/>
      <c r="M724" s="30"/>
      <c r="N724" s="178">
        <f>I724*K724</f>
        <v>7</v>
      </c>
      <c r="O724" s="32"/>
      <c r="P724" s="96"/>
      <c r="Q724" s="30"/>
      <c r="R724" s="257">
        <f>0.1*N724</f>
        <v>0.70000000000000007</v>
      </c>
      <c r="S724" s="214">
        <f t="shared" ref="S724" si="150">0.5*N724</f>
        <v>3.5</v>
      </c>
      <c r="T724" s="214">
        <f>0.4*N724</f>
        <v>2.8000000000000003</v>
      </c>
      <c r="U724" s="103"/>
      <c r="V724" s="104"/>
      <c r="W724" s="30"/>
      <c r="X724" s="102"/>
      <c r="Y724" s="103"/>
      <c r="Z724" s="103"/>
      <c r="AA724" s="103"/>
      <c r="AB724" s="104"/>
    </row>
    <row r="725" spans="2:28" ht="12" customHeight="1">
      <c r="C725" s="28"/>
      <c r="E725" s="107" t="s">
        <v>41</v>
      </c>
      <c r="F725" s="248" t="s">
        <v>124</v>
      </c>
      <c r="G725" s="184"/>
      <c r="H725" s="94" t="s">
        <v>18</v>
      </c>
      <c r="I725" s="43">
        <v>0.12</v>
      </c>
      <c r="J725" s="3"/>
      <c r="K725" s="200">
        <f>36*10</f>
        <v>360</v>
      </c>
      <c r="L725" s="230"/>
      <c r="M725" s="30"/>
      <c r="N725" s="177">
        <f>I725*K725</f>
        <v>43.199999999999996</v>
      </c>
      <c r="O725" s="32"/>
      <c r="P725" s="96"/>
      <c r="Q725" s="30"/>
      <c r="R725" s="257">
        <f t="shared" ref="R725:R728" si="151">0.1*N725</f>
        <v>4.3199999999999994</v>
      </c>
      <c r="S725" s="214">
        <f t="shared" ref="S725:S728" si="152">0.5*N725</f>
        <v>21.599999999999998</v>
      </c>
      <c r="T725" s="214">
        <f t="shared" ref="T725:T728" si="153">0.4*N725</f>
        <v>17.279999999999998</v>
      </c>
      <c r="U725" s="103"/>
      <c r="V725" s="104"/>
      <c r="W725" s="30"/>
      <c r="X725" s="102"/>
      <c r="Y725" s="103"/>
      <c r="Z725" s="103"/>
      <c r="AA725" s="103"/>
      <c r="AB725" s="104"/>
    </row>
    <row r="726" spans="2:28" ht="12" customHeight="1">
      <c r="C726" s="28"/>
      <c r="E726" s="188" t="s">
        <v>34</v>
      </c>
      <c r="F726" s="276"/>
      <c r="G726" s="184"/>
      <c r="H726" s="94"/>
      <c r="I726" s="43"/>
      <c r="J726" s="3"/>
      <c r="K726" s="174"/>
      <c r="L726" s="226"/>
      <c r="M726" s="30"/>
      <c r="N726" s="178"/>
      <c r="O726" s="32"/>
      <c r="P726" s="96"/>
      <c r="Q726" s="30"/>
      <c r="R726" s="257"/>
      <c r="S726" s="214"/>
      <c r="T726" s="214"/>
      <c r="U726" s="103"/>
      <c r="V726" s="104"/>
      <c r="W726" s="30"/>
      <c r="X726" s="102"/>
      <c r="Y726" s="103"/>
      <c r="Z726" s="103"/>
      <c r="AA726" s="103"/>
      <c r="AB726" s="104"/>
    </row>
    <row r="727" spans="2:28" ht="14.15" customHeight="1">
      <c r="C727" s="28"/>
      <c r="E727" s="107" t="s">
        <v>63</v>
      </c>
      <c r="F727" s="249" t="s">
        <v>153</v>
      </c>
      <c r="G727" s="184"/>
      <c r="H727" s="94" t="s">
        <v>18</v>
      </c>
      <c r="I727" s="43">
        <v>10</v>
      </c>
      <c r="J727" s="3"/>
      <c r="K727" s="174">
        <v>1</v>
      </c>
      <c r="L727" s="226"/>
      <c r="M727" s="30"/>
      <c r="N727" s="178">
        <f>I727*K727</f>
        <v>10</v>
      </c>
      <c r="O727" s="32"/>
      <c r="P727" s="96"/>
      <c r="Q727" s="30"/>
      <c r="R727" s="257">
        <f t="shared" si="151"/>
        <v>1</v>
      </c>
      <c r="S727" s="214">
        <f t="shared" si="152"/>
        <v>5</v>
      </c>
      <c r="T727" s="214">
        <f t="shared" si="153"/>
        <v>4</v>
      </c>
      <c r="U727" s="103"/>
      <c r="V727" s="104"/>
      <c r="W727" s="30"/>
      <c r="X727" s="102"/>
      <c r="Y727" s="103"/>
      <c r="Z727" s="103"/>
      <c r="AA727" s="103"/>
      <c r="AB727" s="104"/>
    </row>
    <row r="728" spans="2:28" ht="14.15" customHeight="1">
      <c r="C728" s="28"/>
      <c r="E728" s="107" t="s">
        <v>64</v>
      </c>
      <c r="F728" s="249" t="s">
        <v>135</v>
      </c>
      <c r="G728" s="184"/>
      <c r="H728" s="94" t="s">
        <v>18</v>
      </c>
      <c r="I728" s="43">
        <v>0.12</v>
      </c>
      <c r="J728" s="3"/>
      <c r="K728" s="200">
        <f>26*10</f>
        <v>260</v>
      </c>
      <c r="L728" s="230"/>
      <c r="M728" s="30"/>
      <c r="N728" s="177">
        <f>I728*K728</f>
        <v>31.2</v>
      </c>
      <c r="O728" s="32"/>
      <c r="P728" s="96"/>
      <c r="Q728" s="30"/>
      <c r="R728" s="257">
        <f t="shared" si="151"/>
        <v>3.12</v>
      </c>
      <c r="S728" s="214">
        <f t="shared" si="152"/>
        <v>15.6</v>
      </c>
      <c r="T728" s="214">
        <f t="shared" si="153"/>
        <v>12.48</v>
      </c>
      <c r="U728" s="103"/>
      <c r="V728" s="104"/>
      <c r="W728" s="30"/>
      <c r="X728" s="102"/>
      <c r="Y728" s="103"/>
      <c r="Z728" s="103"/>
      <c r="AA728" s="103"/>
      <c r="AB728" s="104"/>
    </row>
    <row r="729" spans="2:28" ht="12" customHeight="1">
      <c r="C729" s="28"/>
      <c r="E729" s="189" t="s">
        <v>59</v>
      </c>
      <c r="F729" s="256" t="s">
        <v>139</v>
      </c>
      <c r="G729" s="190"/>
      <c r="H729" s="94"/>
      <c r="I729" s="43"/>
      <c r="J729" s="3"/>
      <c r="K729" s="175"/>
      <c r="L729" s="231"/>
      <c r="M729" s="30"/>
      <c r="N729" s="234">
        <f>SUM(N718:N728)*0.1</f>
        <v>10.9375</v>
      </c>
      <c r="O729" s="32"/>
      <c r="P729" s="109"/>
      <c r="Q729" s="30"/>
      <c r="R729" s="258">
        <f t="shared" ref="R729" si="154">0.1*N729</f>
        <v>1.09375</v>
      </c>
      <c r="S729" s="259">
        <f t="shared" ref="S729" si="155">0.5*N729</f>
        <v>5.46875</v>
      </c>
      <c r="T729" s="259">
        <f t="shared" ref="T729" si="156">0.4*N729</f>
        <v>4.375</v>
      </c>
      <c r="U729" s="111"/>
      <c r="V729" s="112"/>
      <c r="W729" s="30"/>
      <c r="X729" s="110"/>
      <c r="Y729" s="111"/>
      <c r="Z729" s="111"/>
      <c r="AA729" s="111"/>
      <c r="AB729" s="112"/>
    </row>
    <row r="730" spans="2:28" ht="4" customHeight="1">
      <c r="E730" s="3"/>
      <c r="J730" s="3"/>
    </row>
    <row r="731" spans="2:28" ht="15" customHeight="1">
      <c r="F731" s="113" t="s">
        <v>19</v>
      </c>
      <c r="G731" s="114"/>
      <c r="H731" s="114"/>
      <c r="I731" s="85"/>
      <c r="K731" s="22"/>
      <c r="L731" s="207"/>
      <c r="M731" s="20"/>
      <c r="N731" s="179">
        <f>SUM(N718:N729)</f>
        <v>120.3125</v>
      </c>
      <c r="O731" s="20"/>
      <c r="P731" s="22"/>
      <c r="Q731" s="20"/>
      <c r="R731" s="180">
        <f>SUM(R719:R729)</f>
        <v>10.233750000000001</v>
      </c>
      <c r="S731" s="181">
        <f>SUM(S719:S729)</f>
        <v>62.643749999999997</v>
      </c>
      <c r="T731" s="181">
        <f>SUM(T719:T729)</f>
        <v>40.935000000000002</v>
      </c>
      <c r="U731" s="182">
        <f>SUM(U719:U729)</f>
        <v>0</v>
      </c>
      <c r="V731" s="180">
        <f>SUM(V719:V729)</f>
        <v>0</v>
      </c>
      <c r="W731" s="115"/>
      <c r="X731" s="160">
        <f>SUM(X719:X729)</f>
        <v>0</v>
      </c>
      <c r="Y731" s="161">
        <f>SUM(Y719:Y729)</f>
        <v>0</v>
      </c>
      <c r="Z731" s="161">
        <f>SUM(Z719:Z729)</f>
        <v>0</v>
      </c>
      <c r="AA731" s="161">
        <f>SUM(AA719:AA729)</f>
        <v>0</v>
      </c>
      <c r="AB731" s="161">
        <f>SUM(AB719:AB729)</f>
        <v>0</v>
      </c>
    </row>
    <row r="732" spans="2:28">
      <c r="F732" s="192"/>
      <c r="G732" s="193"/>
      <c r="H732" s="193"/>
      <c r="I732" s="193"/>
      <c r="K732" s="168"/>
      <c r="L732" s="208"/>
      <c r="M732" s="168"/>
      <c r="N732" s="168"/>
      <c r="O732" s="168"/>
      <c r="P732" s="168"/>
      <c r="Q732" s="168"/>
      <c r="R732" s="168"/>
      <c r="S732" s="168"/>
      <c r="T732" s="168"/>
      <c r="U732" s="168"/>
      <c r="V732" s="196"/>
      <c r="W732" s="194"/>
      <c r="X732" s="195"/>
      <c r="Y732" s="195"/>
      <c r="Z732" s="195"/>
      <c r="AA732" s="195"/>
      <c r="AB732" s="195"/>
    </row>
    <row r="734" spans="2:28" ht="15" customHeight="1">
      <c r="B734" s="164" t="s">
        <v>60</v>
      </c>
      <c r="C734" s="6"/>
      <c r="E734" s="116" t="s">
        <v>20</v>
      </c>
    </row>
    <row r="735" spans="2:28" ht="18" customHeight="1">
      <c r="B735" s="6"/>
      <c r="C735" s="9" t="s">
        <v>6</v>
      </c>
      <c r="E735" s="238" t="s">
        <v>126</v>
      </c>
      <c r="F735" s="237"/>
      <c r="K735" s="333" t="s">
        <v>9</v>
      </c>
      <c r="L735" s="334"/>
      <c r="M735" s="334"/>
      <c r="N735" s="335"/>
      <c r="O735" s="24"/>
      <c r="P735" s="68" t="s">
        <v>10</v>
      </c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70"/>
    </row>
    <row r="736" spans="2:28" ht="18" customHeight="1">
      <c r="E736" s="26" t="s">
        <v>21</v>
      </c>
      <c r="F736" s="84" t="s">
        <v>22</v>
      </c>
      <c r="G736" s="85"/>
      <c r="H736" s="73" t="s">
        <v>4</v>
      </c>
      <c r="I736" s="75" t="s">
        <v>23</v>
      </c>
      <c r="K736" s="71"/>
      <c r="M736" s="24"/>
      <c r="N736" s="72" t="s">
        <v>11</v>
      </c>
      <c r="O736" s="24"/>
      <c r="P736" s="73">
        <v>2011</v>
      </c>
      <c r="Q736" s="74"/>
      <c r="R736" s="75">
        <f>P736+1</f>
        <v>2012</v>
      </c>
      <c r="S736" s="75">
        <f>R736+1</f>
        <v>2013</v>
      </c>
      <c r="T736" s="75">
        <f>S736+1</f>
        <v>2014</v>
      </c>
      <c r="U736" s="75">
        <f>T736+1</f>
        <v>2015</v>
      </c>
      <c r="V736" s="75">
        <f>U736+1</f>
        <v>2016</v>
      </c>
      <c r="W736" s="74"/>
      <c r="X736" s="76">
        <f>V736+1</f>
        <v>2017</v>
      </c>
      <c r="Y736" s="76">
        <f>X736+1</f>
        <v>2018</v>
      </c>
      <c r="Z736" s="76">
        <f>Y736+1</f>
        <v>2019</v>
      </c>
      <c r="AA736" s="76">
        <f>Z736+1</f>
        <v>2020</v>
      </c>
      <c r="AB736" s="76">
        <f>AA736+1</f>
        <v>2021</v>
      </c>
    </row>
    <row r="737" spans="2:28" ht="4" customHeight="1"/>
    <row r="738" spans="2:28" ht="15" customHeight="1">
      <c r="C738" s="28"/>
      <c r="E738" s="77" t="s">
        <v>3</v>
      </c>
      <c r="F738" s="197" t="s">
        <v>224</v>
      </c>
      <c r="G738" s="117"/>
      <c r="H738" s="73"/>
      <c r="I738" s="75"/>
      <c r="J738" s="3"/>
      <c r="K738" s="87"/>
      <c r="L738" s="204"/>
      <c r="M738" s="30"/>
      <c r="N738" s="176">
        <f>N714</f>
        <v>102.89999999999999</v>
      </c>
      <c r="O738" s="32"/>
      <c r="P738" s="88"/>
      <c r="Q738" s="30"/>
      <c r="R738" s="89">
        <f>R714</f>
        <v>0</v>
      </c>
      <c r="S738" s="89">
        <f>S714</f>
        <v>102.89999999999999</v>
      </c>
      <c r="T738" s="89">
        <f>T714</f>
        <v>0</v>
      </c>
      <c r="U738" s="89">
        <f>U714</f>
        <v>0</v>
      </c>
      <c r="V738" s="220">
        <f>V714</f>
        <v>0</v>
      </c>
      <c r="X738" s="235"/>
      <c r="Y738" s="118"/>
      <c r="Z738" s="118"/>
      <c r="AA738" s="118"/>
      <c r="AB738" s="119"/>
    </row>
    <row r="739" spans="2:28" ht="12" customHeight="1">
      <c r="C739" s="28"/>
      <c r="E739" s="105" t="s">
        <v>218</v>
      </c>
      <c r="F739" s="41" t="s">
        <v>221</v>
      </c>
      <c r="G739" s="100"/>
      <c r="H739" s="94"/>
      <c r="I739" s="43"/>
      <c r="J739" s="3"/>
      <c r="K739" s="101"/>
      <c r="L739" s="204"/>
      <c r="M739" s="30"/>
      <c r="N739" s="178">
        <f>N718</f>
        <v>6.5</v>
      </c>
      <c r="O739" s="32"/>
      <c r="P739" s="96"/>
      <c r="Q739" s="30"/>
      <c r="R739" s="157">
        <f>R718</f>
        <v>0</v>
      </c>
      <c r="S739" s="157">
        <f t="shared" ref="S739:V739" si="157">S718</f>
        <v>6.5</v>
      </c>
      <c r="T739" s="157">
        <f t="shared" si="157"/>
        <v>0</v>
      </c>
      <c r="U739" s="157">
        <f t="shared" si="157"/>
        <v>0</v>
      </c>
      <c r="V739" s="157">
        <f t="shared" si="157"/>
        <v>0</v>
      </c>
      <c r="W739" s="30"/>
      <c r="X739" s="102"/>
      <c r="Y739" s="103"/>
      <c r="Z739" s="103"/>
      <c r="AA739" s="103"/>
      <c r="AB739" s="104"/>
    </row>
    <row r="740" spans="2:28" ht="15" customHeight="1">
      <c r="C740" s="28"/>
      <c r="E740" s="105" t="s">
        <v>29</v>
      </c>
      <c r="F740" s="41" t="s">
        <v>220</v>
      </c>
      <c r="G740" s="100"/>
      <c r="H740" s="94"/>
      <c r="I740" s="43"/>
      <c r="J740" s="3"/>
      <c r="K740" s="101"/>
      <c r="L740" s="204"/>
      <c r="M740" s="30"/>
      <c r="N740" s="178">
        <f>SUM(N719:N722)</f>
        <v>11.475</v>
      </c>
      <c r="O740" s="32"/>
      <c r="P740" s="96"/>
      <c r="Q740" s="30"/>
      <c r="R740" s="178">
        <f>SUM(R719:R722)</f>
        <v>0</v>
      </c>
      <c r="S740" s="178">
        <f t="shared" ref="S740:V740" si="158">SUM(S719:S722)</f>
        <v>11.475</v>
      </c>
      <c r="T740" s="178">
        <f t="shared" si="158"/>
        <v>0</v>
      </c>
      <c r="U740" s="178">
        <f t="shared" si="158"/>
        <v>0</v>
      </c>
      <c r="V740" s="178">
        <f t="shared" si="158"/>
        <v>0</v>
      </c>
      <c r="W740" s="30"/>
      <c r="X740" s="102"/>
      <c r="Y740" s="103"/>
      <c r="Z740" s="103"/>
      <c r="AA740" s="103"/>
      <c r="AB740" s="104"/>
    </row>
    <row r="741" spans="2:28" ht="15" customHeight="1">
      <c r="C741" s="28"/>
      <c r="E741" s="40" t="s">
        <v>52</v>
      </c>
      <c r="F741" s="41" t="s">
        <v>51</v>
      </c>
      <c r="G741" s="100"/>
      <c r="H741" s="94"/>
      <c r="I741" s="43"/>
      <c r="J741" s="3"/>
      <c r="K741" s="101"/>
      <c r="L741" s="204"/>
      <c r="M741" s="30"/>
      <c r="N741" s="178">
        <f>SUM(N724:N725)</f>
        <v>50.199999999999996</v>
      </c>
      <c r="O741" s="32"/>
      <c r="P741" s="96"/>
      <c r="Q741" s="30"/>
      <c r="R741" s="178">
        <f>SUM(R724:R725)</f>
        <v>5.0199999999999996</v>
      </c>
      <c r="S741" s="178">
        <f>SUM(S724:S725)</f>
        <v>25.099999999999998</v>
      </c>
      <c r="T741" s="178">
        <f>SUM(T724:T725)</f>
        <v>20.079999999999998</v>
      </c>
      <c r="U741" s="178">
        <f>SUM(U724:U725)</f>
        <v>0</v>
      </c>
      <c r="V741" s="178">
        <f>SUM(V724:V725)</f>
        <v>0</v>
      </c>
      <c r="W741" s="30"/>
      <c r="X741" s="102"/>
      <c r="Y741" s="103"/>
      <c r="Z741" s="103"/>
      <c r="AA741" s="103"/>
      <c r="AB741" s="104"/>
    </row>
    <row r="742" spans="2:28" ht="15" customHeight="1">
      <c r="C742" s="28"/>
      <c r="E742" s="40" t="s">
        <v>65</v>
      </c>
      <c r="F742" s="41" t="s">
        <v>78</v>
      </c>
      <c r="G742" s="100"/>
      <c r="H742" s="94"/>
      <c r="I742" s="43"/>
      <c r="J742" s="3"/>
      <c r="K742" s="101"/>
      <c r="L742" s="204"/>
      <c r="M742" s="30"/>
      <c r="N742" s="178">
        <f>SUM(N727:N728)</f>
        <v>41.2</v>
      </c>
      <c r="O742" s="32"/>
      <c r="P742" s="96"/>
      <c r="Q742" s="30"/>
      <c r="R742" s="178">
        <f>SUM(R727:R728)</f>
        <v>4.12</v>
      </c>
      <c r="S742" s="178">
        <f>SUM(S727:S728)</f>
        <v>20.6</v>
      </c>
      <c r="T742" s="178">
        <f>SUM(T727:T728)</f>
        <v>16.48</v>
      </c>
      <c r="U742" s="178">
        <f>SUM(U727:U728)</f>
        <v>0</v>
      </c>
      <c r="V742" s="178">
        <f>SUM(V727:V728)</f>
        <v>0</v>
      </c>
      <c r="W742" s="30"/>
      <c r="X742" s="102"/>
      <c r="Y742" s="103"/>
      <c r="Z742" s="103"/>
      <c r="AA742" s="103"/>
      <c r="AB742" s="104"/>
    </row>
    <row r="743" spans="2:28" ht="15" customHeight="1">
      <c r="C743" s="28"/>
      <c r="E743" s="108" t="s">
        <v>59</v>
      </c>
      <c r="F743" s="256" t="s">
        <v>139</v>
      </c>
      <c r="G743" s="120"/>
      <c r="H743" s="94"/>
      <c r="I743" s="43"/>
      <c r="J743" s="3"/>
      <c r="K743" s="121"/>
      <c r="L743" s="204"/>
      <c r="M743" s="30"/>
      <c r="N743" s="234">
        <f>N729</f>
        <v>10.9375</v>
      </c>
      <c r="O743" s="32"/>
      <c r="P743" s="109"/>
      <c r="Q743" s="30"/>
      <c r="R743" s="163">
        <f>R729</f>
        <v>1.09375</v>
      </c>
      <c r="S743" s="163">
        <f>S729</f>
        <v>5.46875</v>
      </c>
      <c r="T743" s="163">
        <f>T729</f>
        <v>4.375</v>
      </c>
      <c r="U743" s="163">
        <f>U729</f>
        <v>0</v>
      </c>
      <c r="V743" s="163">
        <f>V729</f>
        <v>0</v>
      </c>
      <c r="W743" s="30"/>
      <c r="X743" s="218"/>
      <c r="Y743" s="111"/>
      <c r="Z743" s="111"/>
      <c r="AA743" s="111"/>
      <c r="AB743" s="112"/>
    </row>
    <row r="744" spans="2:28" ht="4" customHeight="1">
      <c r="E744" s="3"/>
      <c r="J744" s="3"/>
      <c r="X744" s="110"/>
    </row>
    <row r="745" spans="2:28" ht="18" customHeight="1">
      <c r="F745" s="122" t="s">
        <v>24</v>
      </c>
      <c r="G745" s="114"/>
      <c r="H745" s="114"/>
      <c r="I745" s="85"/>
      <c r="K745" s="22"/>
      <c r="L745" s="207"/>
      <c r="M745" s="20"/>
      <c r="N745" s="162">
        <f>SUM(N738:N743)</f>
        <v>223.21249999999998</v>
      </c>
      <c r="O745" s="20"/>
      <c r="P745" s="22"/>
      <c r="Q745" s="20"/>
      <c r="R745" s="198">
        <f>SUM(R738:R743)</f>
        <v>10.233750000000001</v>
      </c>
      <c r="S745" s="198">
        <f>SUM(S738:S743)</f>
        <v>172.04374999999999</v>
      </c>
      <c r="T745" s="198">
        <f>SUM(T738:T743)</f>
        <v>40.935000000000002</v>
      </c>
      <c r="U745" s="198">
        <f>SUM(U738:U743)</f>
        <v>0</v>
      </c>
      <c r="V745" s="198">
        <f>SUM(V738:V743)</f>
        <v>0</v>
      </c>
      <c r="W745" s="115"/>
      <c r="X745" s="236">
        <f>SUM(X738:X743)</f>
        <v>0</v>
      </c>
      <c r="Y745" s="160">
        <f>SUM(Y738:Y743)</f>
        <v>0</v>
      </c>
      <c r="Z745" s="160">
        <f>SUM(Z738:Z743)</f>
        <v>0</v>
      </c>
      <c r="AA745" s="160">
        <f>SUM(AA738:AA743)</f>
        <v>0</v>
      </c>
      <c r="AB745" s="160">
        <f>SUM(AB738:AB743)</f>
        <v>0</v>
      </c>
    </row>
    <row r="746" spans="2:28" ht="10" customHeight="1"/>
    <row r="747" spans="2:28" ht="12" customHeight="1">
      <c r="B747" s="1"/>
      <c r="C747" s="1"/>
      <c r="D747" s="1"/>
      <c r="F747" s="1"/>
      <c r="G747" s="1"/>
      <c r="H747" s="1"/>
      <c r="I747" s="1"/>
      <c r="L747" s="1"/>
    </row>
    <row r="748" spans="2:28" ht="12" customHeight="1">
      <c r="B748" s="1"/>
      <c r="C748" s="1"/>
      <c r="D748" s="1"/>
      <c r="F748" s="1"/>
      <c r="G748" s="1"/>
      <c r="H748" s="1"/>
      <c r="I748" s="1"/>
      <c r="L748" s="1"/>
    </row>
  </sheetData>
  <mergeCells count="56">
    <mergeCell ref="H25:I25"/>
    <mergeCell ref="K25:AB25"/>
    <mergeCell ref="C21:E21"/>
    <mergeCell ref="H22:I22"/>
    <mergeCell ref="K22:AB22"/>
    <mergeCell ref="C23:E23"/>
    <mergeCell ref="H24:I24"/>
    <mergeCell ref="K24:AB24"/>
    <mergeCell ref="C19:E19"/>
    <mergeCell ref="H20:I20"/>
    <mergeCell ref="K20:AB20"/>
    <mergeCell ref="C17:E17"/>
    <mergeCell ref="H18:I18"/>
    <mergeCell ref="K18:AB18"/>
    <mergeCell ref="C13:E13"/>
    <mergeCell ref="H14:I14"/>
    <mergeCell ref="K14:AB14"/>
    <mergeCell ref="C15:E15"/>
    <mergeCell ref="H16:I16"/>
    <mergeCell ref="K16:AB16"/>
    <mergeCell ref="H10:I10"/>
    <mergeCell ref="K10:AB10"/>
    <mergeCell ref="C11:E11"/>
    <mergeCell ref="H12:I12"/>
    <mergeCell ref="K12:AB12"/>
    <mergeCell ref="B2:AB2"/>
    <mergeCell ref="C6:E6"/>
    <mergeCell ref="C9:E9"/>
    <mergeCell ref="H5:I5"/>
    <mergeCell ref="H7:I7"/>
    <mergeCell ref="H8:I8"/>
    <mergeCell ref="K7:AB7"/>
    <mergeCell ref="K5:AB5"/>
    <mergeCell ref="K8:AB8"/>
    <mergeCell ref="K604:N604"/>
    <mergeCell ref="B423:AB423"/>
    <mergeCell ref="K469:N469"/>
    <mergeCell ref="B490:AB490"/>
    <mergeCell ref="K537:N537"/>
    <mergeCell ref="B557:AB557"/>
    <mergeCell ref="K735:N735"/>
    <mergeCell ref="B624:AB624"/>
    <mergeCell ref="K675:N675"/>
    <mergeCell ref="B28:AB28"/>
    <mergeCell ref="K79:N79"/>
    <mergeCell ref="B94:AB94"/>
    <mergeCell ref="K145:N145"/>
    <mergeCell ref="B689:AB689"/>
    <mergeCell ref="B160:AB160"/>
    <mergeCell ref="K206:N206"/>
    <mergeCell ref="B225:AB225"/>
    <mergeCell ref="K271:N271"/>
    <mergeCell ref="B289:AB289"/>
    <mergeCell ref="K337:N337"/>
    <mergeCell ref="B356:AB356"/>
    <mergeCell ref="K402:N402"/>
  </mergeCells>
  <pageMargins left="0.5" right="0.25" top="0.5" bottom="0.5" header="0.25" footer="0.25"/>
  <pageSetup paperSize="8" orientation="landscape" r:id="rId1"/>
  <headerFooter>
    <oddHeader>&amp;C&amp;"Futura Md,Medium Bold"&amp;UAppendix-6 Development Concepts CAPEX Estimates - OML 40</oddHeader>
    <oddFooter>&amp;L&amp;"Futura Md,Medium"&amp;8Development Concepts CAPEX - OML 40&amp;C&amp;"Futura Md,Medium"&amp;9&amp;U&amp;A - OML 40 Fields Development Options - Page &amp;P of &amp;N&amp;R&amp;"Futura Md,Medium"&amp;8EpicAtlantic, January 2011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4B69-CDF6-4D13-8EDA-C497F3FFDA02}">
  <dimension ref="B1:AC751"/>
  <sheetViews>
    <sheetView topLeftCell="A415" zoomScaleNormal="100" workbookViewId="0">
      <selection activeCell="F42" sqref="F42"/>
    </sheetView>
  </sheetViews>
  <sheetFormatPr defaultColWidth="9.1796875" defaultRowHeight="12.5"/>
  <cols>
    <col min="1" max="1" width="4.7265625" style="1" customWidth="1"/>
    <col min="2" max="3" width="12.7265625" style="3" customWidth="1"/>
    <col min="4" max="4" width="2.7265625" style="131" customWidth="1"/>
    <col min="5" max="5" width="33.7265625" style="1" customWidth="1"/>
    <col min="6" max="6" width="24.7265625" style="3" customWidth="1"/>
    <col min="7" max="7" width="9.7265625" style="4" customWidth="1"/>
    <col min="8" max="8" width="4.7265625" style="5" customWidth="1"/>
    <col min="9" max="9" width="5.7265625" style="5" customWidth="1"/>
    <col min="10" max="10" width="0.81640625" style="1" customWidth="1"/>
    <col min="11" max="11" width="4.7265625" style="1" customWidth="1"/>
    <col min="12" max="12" width="4.7265625" style="202" customWidth="1"/>
    <col min="13" max="13" width="0.81640625" style="1" customWidth="1"/>
    <col min="14" max="14" width="6.7265625" style="1" customWidth="1"/>
    <col min="15" max="15" width="0.81640625" style="1" customWidth="1"/>
    <col min="16" max="16" width="4.7265625" style="1" customWidth="1"/>
    <col min="17" max="17" width="0.81640625" style="1" customWidth="1"/>
    <col min="18" max="22" width="6.26953125" style="1" customWidth="1"/>
    <col min="23" max="23" width="0.81640625" style="1" customWidth="1"/>
    <col min="24" max="24" width="4.26953125" style="1" customWidth="1"/>
    <col min="25" max="28" width="4.7265625" style="1" customWidth="1"/>
    <col min="29" max="30" width="2.7265625" style="1" customWidth="1"/>
    <col min="31" max="16384" width="9.1796875" style="1"/>
  </cols>
  <sheetData>
    <row r="1" spans="2:28" ht="20.149999999999999" customHeight="1" thickBot="1"/>
    <row r="2" spans="2:28" ht="20.149999999999999" customHeight="1" thickBot="1">
      <c r="B2" s="315" t="s">
        <v>227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7"/>
    </row>
    <row r="3" spans="2:28" ht="10" customHeight="1"/>
    <row r="4" spans="2:28" ht="18" customHeight="1" thickBot="1">
      <c r="B4" s="289" t="s">
        <v>207</v>
      </c>
    </row>
    <row r="5" spans="2:28" ht="30" customHeight="1" thickBot="1">
      <c r="F5" s="291" t="s">
        <v>169</v>
      </c>
      <c r="G5" s="293" t="s">
        <v>170</v>
      </c>
      <c r="H5" s="318" t="s">
        <v>174</v>
      </c>
      <c r="I5" s="319"/>
      <c r="K5" s="320" t="s">
        <v>175</v>
      </c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  <c r="AB5" s="322"/>
    </row>
    <row r="6" spans="2:28" ht="30" customHeight="1">
      <c r="B6" s="283" t="s">
        <v>171</v>
      </c>
      <c r="C6" s="312" t="s">
        <v>228</v>
      </c>
      <c r="D6" s="313"/>
      <c r="E6" s="313"/>
      <c r="F6" s="290"/>
      <c r="G6" s="292"/>
      <c r="H6" s="294"/>
      <c r="I6" s="155"/>
      <c r="K6" s="284"/>
      <c r="L6" s="285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45" customHeight="1">
      <c r="B7" s="6"/>
      <c r="C7" s="262" t="s">
        <v>172</v>
      </c>
      <c r="D7" s="130"/>
      <c r="E7" s="263" t="s">
        <v>158</v>
      </c>
      <c r="F7" s="286">
        <f>N79</f>
        <v>186.98349999999999</v>
      </c>
      <c r="G7" s="303">
        <f>N58</f>
        <v>350</v>
      </c>
      <c r="H7" s="323">
        <f>N94</f>
        <v>536.98350000000005</v>
      </c>
      <c r="I7" s="324"/>
      <c r="K7" s="325" t="s">
        <v>176</v>
      </c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7"/>
    </row>
    <row r="8" spans="2:28" ht="45" customHeight="1">
      <c r="C8" s="262" t="s">
        <v>143</v>
      </c>
      <c r="D8" s="130"/>
      <c r="E8" s="263" t="s">
        <v>157</v>
      </c>
      <c r="F8" s="282">
        <f>N145</f>
        <v>232.02850000000001</v>
      </c>
      <c r="G8" s="304">
        <f>N122</f>
        <v>102.89999999999999</v>
      </c>
      <c r="H8" s="328">
        <f>N160</f>
        <v>334.92849999999999</v>
      </c>
      <c r="I8" s="329"/>
      <c r="K8" s="325" t="s">
        <v>177</v>
      </c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7"/>
    </row>
    <row r="9" spans="2:28" ht="20.149999999999999" customHeight="1">
      <c r="B9" s="283" t="s">
        <v>173</v>
      </c>
      <c r="C9" s="312" t="s">
        <v>80</v>
      </c>
      <c r="D9" s="313"/>
      <c r="E9" s="314"/>
      <c r="F9" s="2"/>
      <c r="G9" s="305"/>
      <c r="H9" s="306"/>
      <c r="I9" s="306"/>
      <c r="K9" s="287"/>
      <c r="L9" s="288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</row>
    <row r="10" spans="2:28" ht="45" customHeight="1">
      <c r="C10" s="263"/>
      <c r="D10" s="130"/>
      <c r="E10" s="263" t="s">
        <v>178</v>
      </c>
      <c r="F10" s="282">
        <f>N206</f>
        <v>225.69250000000002</v>
      </c>
      <c r="G10" s="304">
        <f>N188</f>
        <v>102.89999999999999</v>
      </c>
      <c r="H10" s="328">
        <f>N220</f>
        <v>328.59249999999997</v>
      </c>
      <c r="I10" s="329"/>
      <c r="K10" s="325" t="s">
        <v>179</v>
      </c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7"/>
    </row>
    <row r="11" spans="2:28" ht="20.149999999999999" customHeight="1">
      <c r="B11" s="283" t="s">
        <v>180</v>
      </c>
      <c r="C11" s="312" t="s">
        <v>146</v>
      </c>
      <c r="D11" s="313"/>
      <c r="E11" s="314"/>
      <c r="F11" s="2"/>
      <c r="G11" s="305"/>
      <c r="H11" s="306"/>
      <c r="I11" s="306"/>
      <c r="K11" s="287"/>
      <c r="L11" s="288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</row>
    <row r="12" spans="2:28" ht="45" customHeight="1">
      <c r="C12" s="263"/>
      <c r="D12" s="130"/>
      <c r="E12" s="263" t="s">
        <v>181</v>
      </c>
      <c r="F12" s="282">
        <f>N271</f>
        <v>215.13250000000002</v>
      </c>
      <c r="G12" s="304">
        <f>N253</f>
        <v>102.89999999999999</v>
      </c>
      <c r="H12" s="328">
        <f>N285</f>
        <v>318.03249999999997</v>
      </c>
      <c r="I12" s="329"/>
      <c r="K12" s="325" t="s">
        <v>182</v>
      </c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  <c r="AA12" s="326"/>
      <c r="AB12" s="327"/>
    </row>
    <row r="13" spans="2:28" ht="20.149999999999999" customHeight="1">
      <c r="B13" s="283" t="s">
        <v>183</v>
      </c>
      <c r="C13" s="312" t="s">
        <v>86</v>
      </c>
      <c r="D13" s="313"/>
      <c r="E13" s="314"/>
      <c r="F13" s="2"/>
      <c r="G13" s="305"/>
      <c r="H13" s="306"/>
      <c r="I13" s="306"/>
      <c r="K13" s="287"/>
      <c r="L13" s="288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</row>
    <row r="14" spans="2:28" ht="45" customHeight="1">
      <c r="C14" s="263"/>
      <c r="D14" s="130"/>
      <c r="E14" s="263" t="s">
        <v>184</v>
      </c>
      <c r="F14" s="282">
        <f>N337</f>
        <v>222.7885</v>
      </c>
      <c r="G14" s="304">
        <f>N317</f>
        <v>102.89999999999999</v>
      </c>
      <c r="H14" s="328">
        <f>N352</f>
        <v>325.68849999999998</v>
      </c>
      <c r="I14" s="329"/>
      <c r="K14" s="325" t="s">
        <v>185</v>
      </c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A14" s="326"/>
      <c r="AB14" s="327"/>
    </row>
    <row r="15" spans="2:28" ht="20.149999999999999" customHeight="1">
      <c r="B15" s="283" t="s">
        <v>186</v>
      </c>
      <c r="C15" s="312" t="s">
        <v>206</v>
      </c>
      <c r="D15" s="313"/>
      <c r="E15" s="314"/>
      <c r="F15" s="2"/>
      <c r="G15" s="305"/>
      <c r="H15" s="306"/>
      <c r="I15" s="306"/>
      <c r="K15" s="287"/>
      <c r="L15" s="288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</row>
    <row r="16" spans="2:28" ht="45" customHeight="1">
      <c r="C16" s="263"/>
      <c r="D16" s="130"/>
      <c r="E16" s="263" t="s">
        <v>187</v>
      </c>
      <c r="F16" s="282">
        <f>N402</f>
        <v>162.06849999999997</v>
      </c>
      <c r="G16" s="304">
        <f>N384</f>
        <v>102.89999999999999</v>
      </c>
      <c r="H16" s="328">
        <f>N417</f>
        <v>264.96850000000001</v>
      </c>
      <c r="I16" s="329"/>
      <c r="K16" s="330" t="s">
        <v>190</v>
      </c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2"/>
    </row>
    <row r="17" spans="2:28" ht="20.149999999999999" customHeight="1">
      <c r="B17" s="283" t="s">
        <v>191</v>
      </c>
      <c r="C17" s="312" t="s">
        <v>205</v>
      </c>
      <c r="D17" s="313"/>
      <c r="E17" s="314"/>
      <c r="F17" s="2"/>
      <c r="G17" s="305"/>
      <c r="H17" s="306"/>
      <c r="I17" s="306"/>
      <c r="K17" s="287"/>
      <c r="L17" s="288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</row>
    <row r="18" spans="2:28" ht="45" customHeight="1">
      <c r="C18" s="263"/>
      <c r="D18" s="130"/>
      <c r="E18" s="263" t="s">
        <v>192</v>
      </c>
      <c r="F18" s="282">
        <f>N469</f>
        <v>187.5445</v>
      </c>
      <c r="G18" s="304">
        <f>N451</f>
        <v>102.89999999999999</v>
      </c>
      <c r="H18" s="328">
        <f>N484</f>
        <v>290.44450000000001</v>
      </c>
      <c r="I18" s="329"/>
      <c r="K18" s="330" t="s">
        <v>193</v>
      </c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2"/>
    </row>
    <row r="19" spans="2:28" ht="20.149999999999999" customHeight="1">
      <c r="B19" s="283" t="s">
        <v>188</v>
      </c>
      <c r="C19" s="312" t="s">
        <v>204</v>
      </c>
      <c r="D19" s="313"/>
      <c r="E19" s="314"/>
      <c r="F19" s="2"/>
      <c r="G19" s="305"/>
      <c r="H19" s="306"/>
      <c r="I19" s="306"/>
      <c r="K19" s="287"/>
      <c r="L19" s="288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</row>
    <row r="20" spans="2:28" ht="45" customHeight="1">
      <c r="C20" s="263"/>
      <c r="D20" s="130"/>
      <c r="E20" s="263" t="s">
        <v>189</v>
      </c>
      <c r="F20" s="282">
        <f>N537</f>
        <v>248.13249999999999</v>
      </c>
      <c r="G20" s="304">
        <f>N518</f>
        <v>102.89999999999999</v>
      </c>
      <c r="H20" s="328">
        <f>N552</f>
        <v>351.03249999999997</v>
      </c>
      <c r="I20" s="329"/>
      <c r="K20" s="325" t="s">
        <v>196</v>
      </c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7"/>
    </row>
    <row r="21" spans="2:28" ht="20.149999999999999" customHeight="1">
      <c r="B21" s="283" t="s">
        <v>194</v>
      </c>
      <c r="C21" s="312" t="s">
        <v>203</v>
      </c>
      <c r="D21" s="313"/>
      <c r="E21" s="314"/>
      <c r="F21" s="2"/>
      <c r="G21" s="305"/>
      <c r="H21" s="306"/>
      <c r="I21" s="306"/>
      <c r="K21" s="287"/>
      <c r="L21" s="288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287"/>
    </row>
    <row r="22" spans="2:28" ht="45" customHeight="1">
      <c r="C22" s="263"/>
      <c r="D22" s="130"/>
      <c r="E22" s="263" t="s">
        <v>195</v>
      </c>
      <c r="F22" s="282">
        <f>N604</f>
        <v>266.11250000000001</v>
      </c>
      <c r="G22" s="304">
        <f>N585</f>
        <v>102.89999999999999</v>
      </c>
      <c r="H22" s="328">
        <f>N621</f>
        <v>369.01249999999999</v>
      </c>
      <c r="I22" s="329"/>
      <c r="K22" s="325" t="s">
        <v>197</v>
      </c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  <c r="W22" s="326"/>
      <c r="X22" s="326"/>
      <c r="Y22" s="326"/>
      <c r="Z22" s="326"/>
      <c r="AA22" s="326"/>
      <c r="AB22" s="327"/>
    </row>
    <row r="23" spans="2:28" ht="20.149999999999999" customHeight="1">
      <c r="B23" s="283" t="s">
        <v>198</v>
      </c>
      <c r="C23" s="312" t="s">
        <v>61</v>
      </c>
      <c r="D23" s="313"/>
      <c r="E23" s="314"/>
      <c r="F23" s="2"/>
      <c r="G23" s="305"/>
      <c r="H23" s="306"/>
      <c r="I23" s="306"/>
      <c r="K23" s="287"/>
      <c r="L23" s="288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</row>
    <row r="24" spans="2:28" ht="45" customHeight="1">
      <c r="B24" s="6"/>
      <c r="C24" s="262" t="s">
        <v>172</v>
      </c>
      <c r="D24" s="130"/>
      <c r="E24" s="263" t="s">
        <v>199</v>
      </c>
      <c r="F24" s="282">
        <f>N675</f>
        <v>78.567499999999995</v>
      </c>
      <c r="G24" s="304">
        <f>N652</f>
        <v>102.89999999999999</v>
      </c>
      <c r="H24" s="328">
        <f>N689</f>
        <v>181.4675</v>
      </c>
      <c r="I24" s="329"/>
      <c r="K24" s="325" t="s">
        <v>202</v>
      </c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7"/>
    </row>
    <row r="25" spans="2:28" ht="45" customHeight="1">
      <c r="C25" s="262" t="s">
        <v>143</v>
      </c>
      <c r="D25" s="130"/>
      <c r="E25" s="263" t="s">
        <v>200</v>
      </c>
      <c r="F25" s="282">
        <f>N734</f>
        <v>120.3125</v>
      </c>
      <c r="G25" s="304">
        <f>N717</f>
        <v>102.89999999999999</v>
      </c>
      <c r="H25" s="328">
        <f>N748</f>
        <v>223.21249999999998</v>
      </c>
      <c r="I25" s="329"/>
      <c r="K25" s="325" t="s">
        <v>201</v>
      </c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  <c r="AA25" s="326"/>
      <c r="AB25" s="327"/>
    </row>
    <row r="26" spans="2:28" ht="10" customHeight="1"/>
    <row r="27" spans="2:28" ht="10" customHeight="1" thickBot="1"/>
    <row r="28" spans="2:28" ht="18" customHeight="1" thickBot="1">
      <c r="B28" s="315" t="s">
        <v>227</v>
      </c>
      <c r="C28" s="316"/>
      <c r="D28" s="316"/>
      <c r="E28" s="316"/>
      <c r="F28" s="316"/>
      <c r="G28" s="316"/>
      <c r="H28" s="316"/>
      <c r="I28" s="316"/>
      <c r="J28" s="316"/>
      <c r="K28" s="316"/>
      <c r="L28" s="316"/>
      <c r="M28" s="316"/>
      <c r="N28" s="316"/>
      <c r="O28" s="316"/>
      <c r="P28" s="316"/>
      <c r="Q28" s="316"/>
      <c r="R28" s="316"/>
      <c r="S28" s="316"/>
      <c r="T28" s="316"/>
      <c r="U28" s="316"/>
      <c r="V28" s="316"/>
      <c r="W28" s="316"/>
      <c r="X28" s="316"/>
      <c r="Y28" s="316"/>
      <c r="Z28" s="316"/>
      <c r="AA28" s="316"/>
      <c r="AB28" s="317"/>
    </row>
    <row r="29" spans="2:28" ht="10" customHeight="1" thickBot="1"/>
    <row r="30" spans="2:28" ht="18" customHeight="1" thickBot="1">
      <c r="B30" s="164" t="s">
        <v>31</v>
      </c>
      <c r="C30" s="6"/>
      <c r="D30" s="132"/>
      <c r="E30" s="252" t="s">
        <v>230</v>
      </c>
      <c r="F30" s="7"/>
      <c r="G30" s="8"/>
    </row>
    <row r="31" spans="2:28" ht="48" customHeight="1">
      <c r="B31" s="6"/>
      <c r="C31" s="307" t="s">
        <v>229</v>
      </c>
      <c r="D31" s="130"/>
      <c r="E31" s="307" t="s">
        <v>231</v>
      </c>
      <c r="F31" s="268" t="s">
        <v>232</v>
      </c>
      <c r="G31" s="151"/>
    </row>
    <row r="32" spans="2:28" ht="15" customHeight="1">
      <c r="B32" s="6"/>
      <c r="C32" s="6"/>
      <c r="D32" s="132"/>
      <c r="E32" s="12"/>
      <c r="F32" s="26"/>
      <c r="G32" s="11"/>
      <c r="H32" s="138"/>
      <c r="I32" s="11"/>
    </row>
    <row r="33" spans="2:29" ht="12" customHeight="1">
      <c r="B33" s="6"/>
      <c r="C33" s="6"/>
      <c r="D33" s="132"/>
      <c r="E33" s="12"/>
      <c r="F33" s="270" t="s">
        <v>7</v>
      </c>
      <c r="G33" s="271">
        <v>2025</v>
      </c>
      <c r="P33" s="137">
        <v>2024</v>
      </c>
      <c r="Q33" s="138"/>
      <c r="R33" s="137">
        <f>P33+1</f>
        <v>2025</v>
      </c>
      <c r="S33" s="137">
        <f>R33+1</f>
        <v>2026</v>
      </c>
      <c r="T33" s="137">
        <f>S33+1</f>
        <v>2027</v>
      </c>
      <c r="U33" s="137">
        <f>T33+1</f>
        <v>2028</v>
      </c>
      <c r="V33" s="137">
        <f>U33+1</f>
        <v>2029</v>
      </c>
      <c r="W33" s="137"/>
      <c r="X33" s="264">
        <f>V33+1</f>
        <v>2030</v>
      </c>
      <c r="Y33" s="139">
        <f>X33+1</f>
        <v>2031</v>
      </c>
      <c r="Z33" s="139">
        <f>Y33+1</f>
        <v>2032</v>
      </c>
      <c r="AA33" s="139">
        <f>Z33+1</f>
        <v>2033</v>
      </c>
      <c r="AB33" s="139">
        <f>AA33+1</f>
        <v>2034</v>
      </c>
    </row>
    <row r="34" spans="2:29" ht="12" customHeight="1">
      <c r="F34" s="1"/>
      <c r="G34" s="210" t="s">
        <v>234</v>
      </c>
      <c r="H34" s="18"/>
      <c r="I34" s="18"/>
      <c r="K34" s="19"/>
      <c r="L34" s="203"/>
      <c r="M34" s="20"/>
      <c r="N34" s="21" t="s">
        <v>1</v>
      </c>
      <c r="O34" s="20"/>
      <c r="P34" s="22"/>
      <c r="Q34" s="20"/>
      <c r="R34" s="140">
        <v>1</v>
      </c>
      <c r="S34" s="141">
        <v>0.9</v>
      </c>
      <c r="T34" s="142">
        <v>11.600000000000001</v>
      </c>
      <c r="U34" s="140">
        <v>16.600000000000001</v>
      </c>
      <c r="V34" s="143">
        <v>15.899999999999999</v>
      </c>
      <c r="W34" s="265"/>
      <c r="X34" s="144">
        <v>15.1</v>
      </c>
      <c r="Y34" s="144">
        <v>14.100000000000001</v>
      </c>
      <c r="Z34" s="144">
        <v>10.600000000000001</v>
      </c>
      <c r="AA34" s="144">
        <v>7.9</v>
      </c>
      <c r="AB34" s="144">
        <v>7.9</v>
      </c>
    </row>
    <row r="35" spans="2:29" ht="12" customHeight="1">
      <c r="B35" s="311">
        <v>36.840000000000003</v>
      </c>
      <c r="C35" s="3">
        <f>B35/4</f>
        <v>9.2100000000000009</v>
      </c>
      <c r="F35" s="1"/>
      <c r="G35" s="209" t="s">
        <v>233</v>
      </c>
      <c r="H35" s="18"/>
      <c r="I35" s="18"/>
      <c r="K35" s="19"/>
      <c r="L35" s="203"/>
      <c r="M35" s="20"/>
      <c r="N35" s="21" t="s">
        <v>0</v>
      </c>
      <c r="O35" s="20"/>
      <c r="P35" s="22"/>
      <c r="Q35" s="20"/>
      <c r="R35" s="140">
        <v>2.6</v>
      </c>
      <c r="S35" s="141">
        <v>2.1</v>
      </c>
      <c r="T35" s="142">
        <v>23.7</v>
      </c>
      <c r="U35" s="140">
        <v>33.799999999999997</v>
      </c>
      <c r="V35" s="143">
        <v>30.5</v>
      </c>
      <c r="W35" s="265"/>
      <c r="X35" s="144">
        <v>28.3</v>
      </c>
      <c r="Y35" s="144">
        <v>25.700000000000003</v>
      </c>
      <c r="Z35" s="144">
        <v>19.100000000000001</v>
      </c>
      <c r="AA35" s="144">
        <v>15.1</v>
      </c>
      <c r="AB35" s="144">
        <v>15.1</v>
      </c>
    </row>
    <row r="36" spans="2:29" ht="12" customHeight="1">
      <c r="C36" s="3">
        <v>9.58</v>
      </c>
      <c r="F36" s="1"/>
      <c r="G36" s="308" t="s">
        <v>235</v>
      </c>
      <c r="H36" s="18"/>
      <c r="I36" s="18"/>
      <c r="K36" s="19"/>
      <c r="L36" s="203"/>
      <c r="M36" s="20"/>
      <c r="N36" s="21" t="s">
        <v>236</v>
      </c>
      <c r="O36" s="20"/>
      <c r="P36" s="22"/>
      <c r="Q36" s="20"/>
      <c r="R36" s="140">
        <v>1</v>
      </c>
      <c r="S36" s="141">
        <v>0.9</v>
      </c>
      <c r="T36" s="142">
        <v>11.600000000000001</v>
      </c>
      <c r="U36" s="140">
        <v>16.600000000000001</v>
      </c>
      <c r="V36" s="143">
        <v>15.899999999999999</v>
      </c>
      <c r="W36" s="265"/>
      <c r="X36" s="144">
        <v>15.1</v>
      </c>
      <c r="Y36" s="144">
        <v>14.100000000000001</v>
      </c>
      <c r="Z36" s="144">
        <v>10.600000000000001</v>
      </c>
      <c r="AA36" s="144">
        <v>7.9</v>
      </c>
      <c r="AB36" s="144">
        <v>7.9</v>
      </c>
    </row>
    <row r="37" spans="2:29" ht="5.15" customHeight="1">
      <c r="F37" s="1"/>
      <c r="G37" s="165"/>
      <c r="H37" s="166"/>
      <c r="I37" s="166"/>
      <c r="K37" s="167"/>
      <c r="L37" s="204"/>
      <c r="M37" s="168"/>
      <c r="N37" s="169"/>
      <c r="O37" s="168"/>
      <c r="P37" s="168"/>
      <c r="Q37" s="168"/>
      <c r="R37" s="170"/>
      <c r="S37" s="170"/>
      <c r="T37" s="170"/>
      <c r="U37" s="170"/>
      <c r="V37" s="170"/>
      <c r="W37" s="171"/>
      <c r="X37" s="172"/>
      <c r="Y37" s="172"/>
      <c r="Z37" s="172"/>
      <c r="AA37" s="172"/>
      <c r="AB37" s="172"/>
    </row>
    <row r="38" spans="2:29" ht="12" customHeight="1">
      <c r="C38" s="3">
        <f>C36-C35</f>
        <v>0.36999999999999922</v>
      </c>
      <c r="E38" s="26" t="s">
        <v>237</v>
      </c>
      <c r="F38" s="27" t="s">
        <v>27</v>
      </c>
      <c r="O38" s="24"/>
      <c r="P38" s="134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6"/>
    </row>
    <row r="39" spans="2:29" ht="11.15" customHeight="1">
      <c r="C39" s="25"/>
      <c r="F39" s="1"/>
      <c r="G39" s="5"/>
      <c r="O39" s="24"/>
      <c r="P39" s="15">
        <v>2011</v>
      </c>
      <c r="Q39" s="16"/>
      <c r="R39" s="16">
        <f>P39+1</f>
        <v>2012</v>
      </c>
      <c r="S39" s="16">
        <f>R39+1</f>
        <v>2013</v>
      </c>
      <c r="T39" s="16">
        <f>S39+1</f>
        <v>2014</v>
      </c>
      <c r="U39" s="16">
        <f>T39+1</f>
        <v>2015</v>
      </c>
      <c r="V39" s="16">
        <f>U39+1</f>
        <v>2016</v>
      </c>
      <c r="W39" s="16"/>
      <c r="X39" s="17">
        <f>V39+1</f>
        <v>2017</v>
      </c>
      <c r="Y39" s="17">
        <f>X39+1</f>
        <v>2018</v>
      </c>
      <c r="Z39" s="17">
        <f>Y39+1</f>
        <v>2019</v>
      </c>
      <c r="AA39" s="17">
        <f>Z39+1</f>
        <v>2020</v>
      </c>
      <c r="AB39" s="17">
        <f>AA39+1</f>
        <v>2021</v>
      </c>
      <c r="AC39" s="24"/>
    </row>
    <row r="40" spans="2:29" ht="4" customHeight="1"/>
    <row r="41" spans="2:29" ht="12" customHeight="1">
      <c r="D41" s="242">
        <v>1</v>
      </c>
      <c r="E41" s="125" t="s">
        <v>238</v>
      </c>
      <c r="F41" s="125" t="s">
        <v>26</v>
      </c>
      <c r="G41" s="145"/>
      <c r="H41" s="150"/>
      <c r="I41" s="151"/>
      <c r="J41" s="3"/>
      <c r="K41" s="295">
        <v>4</v>
      </c>
      <c r="L41" s="201"/>
      <c r="M41" s="30"/>
      <c r="N41" s="87"/>
      <c r="O41" s="32"/>
      <c r="P41" s="33"/>
      <c r="Q41" s="30"/>
      <c r="R41" s="34">
        <f>K41</f>
        <v>4</v>
      </c>
      <c r="S41" s="35"/>
      <c r="T41" s="35"/>
      <c r="U41" s="35"/>
      <c r="V41" s="36"/>
      <c r="W41" s="30"/>
      <c r="X41" s="37"/>
      <c r="Y41" s="38"/>
      <c r="Z41" s="38"/>
      <c r="AA41" s="38"/>
      <c r="AB41" s="39"/>
    </row>
    <row r="42" spans="2:29" ht="12" customHeight="1">
      <c r="D42" s="243">
        <v>2</v>
      </c>
      <c r="E42" s="125" t="s">
        <v>238</v>
      </c>
      <c r="F42" s="126" t="s">
        <v>26</v>
      </c>
      <c r="G42" s="146"/>
      <c r="H42" s="152"/>
      <c r="I42" s="153"/>
      <c r="J42" s="3"/>
      <c r="K42" s="296">
        <v>2</v>
      </c>
      <c r="L42" s="201"/>
      <c r="M42" s="30"/>
      <c r="N42" s="101"/>
      <c r="O42" s="32"/>
      <c r="P42" s="45"/>
      <c r="Q42" s="30"/>
      <c r="R42" s="46"/>
      <c r="S42" s="47">
        <f>K42</f>
        <v>2</v>
      </c>
      <c r="T42" s="47"/>
      <c r="U42" s="47"/>
      <c r="V42" s="48"/>
      <c r="W42" s="30"/>
      <c r="X42" s="49"/>
      <c r="Y42" s="50"/>
      <c r="Z42" s="50"/>
      <c r="AA42" s="50"/>
      <c r="AB42" s="51"/>
    </row>
    <row r="43" spans="2:29" ht="12" customHeight="1">
      <c r="D43" s="243">
        <v>2</v>
      </c>
      <c r="E43" s="125" t="s">
        <v>239</v>
      </c>
      <c r="F43" s="126" t="s">
        <v>26</v>
      </c>
      <c r="G43" s="146"/>
      <c r="H43" s="152"/>
      <c r="I43" s="153"/>
      <c r="J43" s="3"/>
      <c r="K43" s="44">
        <v>2</v>
      </c>
      <c r="L43" s="201"/>
      <c r="M43" s="30"/>
      <c r="N43" s="53"/>
      <c r="O43" s="32"/>
      <c r="P43" s="45"/>
      <c r="Q43" s="30"/>
      <c r="R43" s="46"/>
      <c r="S43" s="47">
        <f t="shared" ref="S43" si="0">K43</f>
        <v>2</v>
      </c>
      <c r="T43" s="47"/>
      <c r="U43" s="47"/>
      <c r="V43" s="48"/>
      <c r="W43" s="30"/>
      <c r="X43" s="49"/>
      <c r="Y43" s="50"/>
      <c r="Z43" s="50"/>
      <c r="AA43" s="50"/>
      <c r="AB43" s="51"/>
    </row>
    <row r="44" spans="2:29" ht="12" customHeight="1">
      <c r="D44" s="243">
        <v>2</v>
      </c>
      <c r="E44" s="125" t="s">
        <v>240</v>
      </c>
      <c r="F44" s="127" t="s">
        <v>26</v>
      </c>
      <c r="G44" s="147"/>
      <c r="H44" s="154"/>
      <c r="I44" s="155"/>
      <c r="J44" s="3"/>
      <c r="K44" s="297">
        <v>4</v>
      </c>
      <c r="L44" s="201"/>
      <c r="M44" s="30"/>
      <c r="N44" s="53"/>
      <c r="O44" s="32"/>
      <c r="P44" s="45"/>
      <c r="Q44" s="30"/>
      <c r="R44" s="46"/>
      <c r="S44" s="47">
        <f>K44</f>
        <v>4</v>
      </c>
      <c r="T44" s="47"/>
      <c r="U44" s="47"/>
      <c r="V44" s="48"/>
      <c r="W44" s="30"/>
      <c r="X44" s="49"/>
      <c r="Y44" s="50"/>
      <c r="Z44" s="50"/>
      <c r="AA44" s="50"/>
      <c r="AB44" s="51"/>
    </row>
    <row r="45" spans="2:29" ht="12" customHeight="1">
      <c r="D45" s="243">
        <v>2</v>
      </c>
      <c r="E45" s="125" t="s">
        <v>241</v>
      </c>
      <c r="F45" s="126" t="s">
        <v>26</v>
      </c>
      <c r="G45" s="146"/>
      <c r="H45" s="152"/>
      <c r="I45" s="153"/>
      <c r="J45" s="3"/>
      <c r="K45" s="44">
        <v>2</v>
      </c>
      <c r="L45" s="201"/>
      <c r="M45" s="30"/>
      <c r="N45" s="53"/>
      <c r="O45" s="32"/>
      <c r="P45" s="45"/>
      <c r="Q45" s="30"/>
      <c r="R45" s="46"/>
      <c r="S45" s="47">
        <f t="shared" ref="S45" si="1">K45</f>
        <v>2</v>
      </c>
      <c r="T45" s="47"/>
      <c r="U45" s="47"/>
      <c r="V45" s="48"/>
      <c r="W45" s="30"/>
      <c r="X45" s="49"/>
      <c r="Y45" s="50"/>
      <c r="Z45" s="50"/>
      <c r="AA45" s="50"/>
      <c r="AB45" s="51"/>
    </row>
    <row r="46" spans="2:29" ht="12" customHeight="1">
      <c r="D46" s="244">
        <v>4</v>
      </c>
      <c r="E46" s="125" t="s">
        <v>242</v>
      </c>
      <c r="F46" s="127" t="s">
        <v>26</v>
      </c>
      <c r="G46" s="147"/>
      <c r="H46" s="154"/>
      <c r="I46" s="155"/>
      <c r="J46" s="3"/>
      <c r="K46" s="297">
        <v>4</v>
      </c>
      <c r="L46" s="201"/>
      <c r="M46" s="30"/>
      <c r="N46" s="53"/>
      <c r="O46" s="32"/>
      <c r="P46" s="45"/>
      <c r="Q46" s="30"/>
      <c r="R46" s="46"/>
      <c r="S46" s="47">
        <f>K46</f>
        <v>4</v>
      </c>
      <c r="T46" s="47"/>
      <c r="U46" s="47"/>
      <c r="V46" s="48"/>
      <c r="W46" s="30"/>
      <c r="X46" s="49"/>
      <c r="Y46" s="50"/>
      <c r="Z46" s="50"/>
      <c r="AA46" s="50"/>
      <c r="AB46" s="51"/>
    </row>
    <row r="47" spans="2:29" s="67" customFormat="1" ht="12" customHeight="1">
      <c r="B47" s="54"/>
      <c r="C47" s="55"/>
      <c r="D47" s="133"/>
      <c r="E47" s="124"/>
      <c r="F47" s="128" t="s">
        <v>2</v>
      </c>
      <c r="G47" s="129"/>
      <c r="H47" s="148"/>
      <c r="I47" s="149"/>
      <c r="J47" s="61"/>
      <c r="K47" s="29">
        <f>SUM(K41:K46)</f>
        <v>18</v>
      </c>
      <c r="L47" s="205"/>
      <c r="M47" s="62"/>
      <c r="N47" s="31"/>
      <c r="O47" s="61"/>
      <c r="P47" s="63"/>
      <c r="Q47" s="62"/>
      <c r="R47" s="64">
        <f>SUM(R41:R46)</f>
        <v>4</v>
      </c>
      <c r="S47" s="64">
        <f>SUM(S41:S46)</f>
        <v>14</v>
      </c>
      <c r="T47" s="64">
        <f>SUM(T41:T46)</f>
        <v>0</v>
      </c>
      <c r="U47" s="64">
        <f>SUM(U41:U46)</f>
        <v>0</v>
      </c>
      <c r="V47" s="266">
        <f>SUM(V41:V46)</f>
        <v>0</v>
      </c>
      <c r="W47" s="82"/>
      <c r="X47" s="65"/>
      <c r="Y47" s="59"/>
      <c r="Z47" s="59"/>
      <c r="AA47" s="59"/>
      <c r="AB47" s="66"/>
    </row>
    <row r="48" spans="2:29" ht="9" customHeight="1"/>
    <row r="49" spans="2:28" ht="12" customHeight="1">
      <c r="L49" s="1"/>
      <c r="O49" s="24"/>
      <c r="P49" s="84" t="s">
        <v>10</v>
      </c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22"/>
    </row>
    <row r="50" spans="2:28" ht="12" customHeight="1">
      <c r="E50" s="26" t="s">
        <v>243</v>
      </c>
      <c r="K50" s="137" t="s">
        <v>67</v>
      </c>
      <c r="L50" s="211" t="s">
        <v>66</v>
      </c>
      <c r="M50" s="24"/>
      <c r="N50" s="212" t="s">
        <v>11</v>
      </c>
      <c r="O50" s="24"/>
      <c r="P50" s="137">
        <v>2011</v>
      </c>
      <c r="Q50" s="5"/>
      <c r="R50" s="137">
        <f>P50+1</f>
        <v>2012</v>
      </c>
      <c r="S50" s="137">
        <f>R50+1</f>
        <v>2013</v>
      </c>
      <c r="T50" s="137">
        <f>S50+1</f>
        <v>2014</v>
      </c>
      <c r="U50" s="137">
        <f>T50+1</f>
        <v>2015</v>
      </c>
      <c r="V50" s="137">
        <f>U50+1</f>
        <v>2016</v>
      </c>
      <c r="W50" s="5"/>
      <c r="X50" s="139">
        <f>V50+1</f>
        <v>2017</v>
      </c>
      <c r="Y50" s="139">
        <f>X50+1</f>
        <v>2018</v>
      </c>
      <c r="Z50" s="139">
        <f>Y50+1</f>
        <v>2019</v>
      </c>
      <c r="AA50" s="139">
        <f>Z50+1</f>
        <v>2020</v>
      </c>
      <c r="AB50" s="139">
        <f>AA50+1</f>
        <v>2021</v>
      </c>
    </row>
    <row r="51" spans="2:28" ht="4.5" customHeight="1"/>
    <row r="52" spans="2:28" ht="12" customHeight="1">
      <c r="D52" s="242">
        <v>1</v>
      </c>
      <c r="E52" s="125" t="s">
        <v>238</v>
      </c>
      <c r="F52" s="125" t="s">
        <v>26</v>
      </c>
      <c r="G52" s="309">
        <v>25</v>
      </c>
      <c r="H52" s="78" t="s">
        <v>12</v>
      </c>
      <c r="I52" s="79" t="s">
        <v>13</v>
      </c>
      <c r="J52" s="3"/>
      <c r="K52" s="80">
        <f>K41</f>
        <v>4</v>
      </c>
      <c r="L52" s="225" t="s">
        <v>13</v>
      </c>
      <c r="M52" s="30"/>
      <c r="N52" s="156">
        <f t="shared" ref="N52:N57" si="2">G52*K52</f>
        <v>100</v>
      </c>
      <c r="O52" s="32"/>
      <c r="P52" s="33"/>
      <c r="Q52" s="30"/>
      <c r="R52" s="81">
        <f>$G52*R41</f>
        <v>100</v>
      </c>
      <c r="S52" s="81">
        <f>$G52*S41</f>
        <v>0</v>
      </c>
      <c r="T52" s="81">
        <f>$G52*T41</f>
        <v>0</v>
      </c>
      <c r="U52" s="81">
        <f>$G52*U41</f>
        <v>0</v>
      </c>
      <c r="V52" s="81">
        <f>$G52*V41</f>
        <v>0</v>
      </c>
      <c r="W52" s="30"/>
      <c r="X52" s="37"/>
      <c r="Y52" s="38"/>
      <c r="Z52" s="38"/>
      <c r="AA52" s="38"/>
      <c r="AB52" s="39"/>
    </row>
    <row r="53" spans="2:28" ht="12" customHeight="1">
      <c r="D53" s="243">
        <v>2</v>
      </c>
      <c r="E53" s="125" t="s">
        <v>238</v>
      </c>
      <c r="F53" s="126" t="s">
        <v>26</v>
      </c>
      <c r="G53" s="310">
        <v>25</v>
      </c>
      <c r="H53" s="42" t="s">
        <v>12</v>
      </c>
      <c r="I53" s="43" t="s">
        <v>13</v>
      </c>
      <c r="J53" s="3"/>
      <c r="K53" s="52">
        <f>K40</f>
        <v>0</v>
      </c>
      <c r="L53" s="226" t="s">
        <v>13</v>
      </c>
      <c r="M53" s="30"/>
      <c r="N53" s="157">
        <f t="shared" si="2"/>
        <v>0</v>
      </c>
      <c r="O53" s="32"/>
      <c r="P53" s="45"/>
      <c r="Q53" s="30"/>
      <c r="R53" s="81">
        <f>$G53*R40</f>
        <v>0</v>
      </c>
      <c r="S53" s="81">
        <f>$G53*S40</f>
        <v>0</v>
      </c>
      <c r="T53" s="81">
        <f>$G53*T40</f>
        <v>0</v>
      </c>
      <c r="U53" s="81">
        <f>$G53*U40</f>
        <v>0</v>
      </c>
      <c r="V53" s="81">
        <f>$G53*V40</f>
        <v>0</v>
      </c>
      <c r="W53" s="30"/>
      <c r="X53" s="49"/>
      <c r="Y53" s="50"/>
      <c r="Z53" s="50"/>
      <c r="AA53" s="50"/>
      <c r="AB53" s="51"/>
    </row>
    <row r="54" spans="2:28" ht="12" customHeight="1">
      <c r="D54" s="243">
        <v>3</v>
      </c>
      <c r="E54" s="125" t="s">
        <v>239</v>
      </c>
      <c r="F54" s="126" t="s">
        <v>26</v>
      </c>
      <c r="G54" s="310">
        <v>25</v>
      </c>
      <c r="H54" s="42" t="s">
        <v>12</v>
      </c>
      <c r="I54" s="43" t="s">
        <v>13</v>
      </c>
      <c r="J54" s="3"/>
      <c r="K54" s="52">
        <f>K43</f>
        <v>2</v>
      </c>
      <c r="L54" s="226" t="s">
        <v>13</v>
      </c>
      <c r="M54" s="30"/>
      <c r="N54" s="157">
        <f t="shared" si="2"/>
        <v>50</v>
      </c>
      <c r="O54" s="32"/>
      <c r="P54" s="45"/>
      <c r="Q54" s="30"/>
      <c r="R54" s="81">
        <f>$G54*R43</f>
        <v>0</v>
      </c>
      <c r="S54" s="81">
        <f>$G54*S43</f>
        <v>50</v>
      </c>
      <c r="T54" s="81">
        <f>$G54*T43</f>
        <v>0</v>
      </c>
      <c r="U54" s="81">
        <f>$G54*U43</f>
        <v>0</v>
      </c>
      <c r="V54" s="81">
        <f>$G54*V43</f>
        <v>0</v>
      </c>
      <c r="W54" s="30"/>
      <c r="X54" s="49"/>
      <c r="Y54" s="50"/>
      <c r="Z54" s="50"/>
      <c r="AA54" s="50"/>
      <c r="AB54" s="51"/>
    </row>
    <row r="55" spans="2:28" ht="12" customHeight="1">
      <c r="D55" s="243">
        <v>2</v>
      </c>
      <c r="E55" s="125" t="s">
        <v>240</v>
      </c>
      <c r="F55" s="126" t="s">
        <v>26</v>
      </c>
      <c r="G55" s="310">
        <v>25</v>
      </c>
      <c r="H55" s="42" t="s">
        <v>12</v>
      </c>
      <c r="I55" s="43" t="s">
        <v>13</v>
      </c>
      <c r="J55" s="3"/>
      <c r="K55" s="52">
        <f>K42</f>
        <v>2</v>
      </c>
      <c r="L55" s="226" t="s">
        <v>13</v>
      </c>
      <c r="M55" s="30"/>
      <c r="N55" s="157">
        <f t="shared" si="2"/>
        <v>50</v>
      </c>
      <c r="O55" s="32"/>
      <c r="P55" s="45"/>
      <c r="Q55" s="30"/>
      <c r="R55" s="81">
        <f>$G55*R42</f>
        <v>0</v>
      </c>
      <c r="S55" s="81">
        <f>$G55*S42</f>
        <v>50</v>
      </c>
      <c r="T55" s="81">
        <f>$G55*T42</f>
        <v>0</v>
      </c>
      <c r="U55" s="81">
        <f>$G55*U42</f>
        <v>0</v>
      </c>
      <c r="V55" s="81">
        <f>$G55*V42</f>
        <v>0</v>
      </c>
      <c r="W55" s="30"/>
      <c r="X55" s="49"/>
      <c r="Y55" s="50"/>
      <c r="Z55" s="50"/>
      <c r="AA55" s="50"/>
      <c r="AB55" s="51"/>
    </row>
    <row r="56" spans="2:28" ht="12" customHeight="1">
      <c r="D56" s="243">
        <v>3</v>
      </c>
      <c r="E56" s="125" t="s">
        <v>241</v>
      </c>
      <c r="F56" s="126" t="s">
        <v>26</v>
      </c>
      <c r="G56" s="310">
        <v>25</v>
      </c>
      <c r="H56" s="42" t="s">
        <v>12</v>
      </c>
      <c r="I56" s="43" t="s">
        <v>13</v>
      </c>
      <c r="J56" s="3"/>
      <c r="K56" s="52">
        <f>K45</f>
        <v>2</v>
      </c>
      <c r="L56" s="226" t="s">
        <v>13</v>
      </c>
      <c r="M56" s="30"/>
      <c r="N56" s="157">
        <f t="shared" si="2"/>
        <v>50</v>
      </c>
      <c r="O56" s="32"/>
      <c r="P56" s="45"/>
      <c r="Q56" s="30"/>
      <c r="R56" s="81">
        <f t="shared" ref="R56:V57" si="3">$G56*R45</f>
        <v>0</v>
      </c>
      <c r="S56" s="81">
        <f t="shared" si="3"/>
        <v>50</v>
      </c>
      <c r="T56" s="81">
        <f t="shared" si="3"/>
        <v>0</v>
      </c>
      <c r="U56" s="81">
        <f t="shared" si="3"/>
        <v>0</v>
      </c>
      <c r="V56" s="81">
        <f t="shared" si="3"/>
        <v>0</v>
      </c>
      <c r="W56" s="30"/>
      <c r="X56" s="49"/>
      <c r="Y56" s="50"/>
      <c r="Z56" s="50"/>
      <c r="AA56" s="50"/>
      <c r="AB56" s="51"/>
    </row>
    <row r="57" spans="2:28" ht="12" customHeight="1">
      <c r="D57" s="244">
        <v>4</v>
      </c>
      <c r="E57" s="125" t="s">
        <v>242</v>
      </c>
      <c r="F57" s="127" t="s">
        <v>26</v>
      </c>
      <c r="G57" s="310">
        <v>25</v>
      </c>
      <c r="H57" s="42" t="s">
        <v>12</v>
      </c>
      <c r="I57" s="43" t="s">
        <v>13</v>
      </c>
      <c r="J57" s="3"/>
      <c r="K57" s="52">
        <f>K46</f>
        <v>4</v>
      </c>
      <c r="L57" s="227" t="s">
        <v>13</v>
      </c>
      <c r="M57" s="30"/>
      <c r="N57" s="157">
        <f t="shared" si="2"/>
        <v>100</v>
      </c>
      <c r="O57" s="32"/>
      <c r="P57" s="45"/>
      <c r="Q57" s="30"/>
      <c r="R57" s="81">
        <f t="shared" si="3"/>
        <v>0</v>
      </c>
      <c r="S57" s="81">
        <f t="shared" si="3"/>
        <v>100</v>
      </c>
      <c r="T57" s="81">
        <f t="shared" si="3"/>
        <v>0</v>
      </c>
      <c r="U57" s="81">
        <f t="shared" si="3"/>
        <v>0</v>
      </c>
      <c r="V57" s="81">
        <f t="shared" si="3"/>
        <v>0</v>
      </c>
      <c r="W57" s="30"/>
      <c r="X57" s="49"/>
      <c r="Y57" s="50"/>
      <c r="Z57" s="50"/>
      <c r="AA57" s="50"/>
      <c r="AB57" s="51"/>
    </row>
    <row r="58" spans="2:28" s="67" customFormat="1" ht="12" customHeight="1">
      <c r="B58" s="54"/>
      <c r="C58" s="55"/>
      <c r="D58" s="133"/>
      <c r="E58" s="56"/>
      <c r="F58" s="57" t="s">
        <v>14</v>
      </c>
      <c r="G58" s="58"/>
      <c r="H58" s="59"/>
      <c r="I58" s="60"/>
      <c r="J58" s="61"/>
      <c r="K58" s="82"/>
      <c r="L58" s="206"/>
      <c r="M58" s="62"/>
      <c r="N58" s="180">
        <f>SUM(N52:N57)</f>
        <v>350</v>
      </c>
      <c r="O58" s="61"/>
      <c r="P58" s="63"/>
      <c r="Q58" s="62"/>
      <c r="R58" s="83">
        <f>SUM(R52:R57)</f>
        <v>100</v>
      </c>
      <c r="S58" s="83">
        <f>SUM(S52:S57)</f>
        <v>250</v>
      </c>
      <c r="T58" s="83">
        <f>SUM(T52:T57)</f>
        <v>0</v>
      </c>
      <c r="U58" s="83">
        <f>SUM(U52:U57)</f>
        <v>0</v>
      </c>
      <c r="V58" s="83">
        <f>SUM(V52:V57)</f>
        <v>0</v>
      </c>
      <c r="W58" s="62"/>
      <c r="X58" s="65"/>
      <c r="Y58" s="59"/>
      <c r="Z58" s="59"/>
      <c r="AA58" s="59"/>
      <c r="AB58" s="66"/>
    </row>
    <row r="59" spans="2:28" ht="5.15" customHeight="1"/>
    <row r="60" spans="2:28" ht="15" customHeight="1">
      <c r="E60" s="26" t="s">
        <v>244</v>
      </c>
      <c r="F60" s="84" t="s">
        <v>16</v>
      </c>
      <c r="G60" s="85"/>
      <c r="H60" s="215" t="s">
        <v>4</v>
      </c>
      <c r="I60" s="241" t="s">
        <v>76</v>
      </c>
      <c r="K60" s="137" t="s">
        <v>67</v>
      </c>
      <c r="L60" s="211" t="s">
        <v>66</v>
      </c>
      <c r="N60" s="212" t="s">
        <v>11</v>
      </c>
      <c r="P60" s="73">
        <v>2011</v>
      </c>
      <c r="Q60" s="74"/>
      <c r="R60" s="75">
        <f>P60+1</f>
        <v>2012</v>
      </c>
      <c r="S60" s="75">
        <f>R60+1</f>
        <v>2013</v>
      </c>
      <c r="T60" s="75">
        <f>S60+1</f>
        <v>2014</v>
      </c>
      <c r="U60" s="75">
        <f>T60+1</f>
        <v>2015</v>
      </c>
      <c r="V60" s="75">
        <f>U60+1</f>
        <v>2016</v>
      </c>
      <c r="W60" s="74"/>
      <c r="X60" s="76">
        <f>V60+1</f>
        <v>2017</v>
      </c>
      <c r="Y60" s="76">
        <f>X60+1</f>
        <v>2018</v>
      </c>
      <c r="Z60" s="76">
        <f>Y60+1</f>
        <v>2019</v>
      </c>
      <c r="AA60" s="76">
        <f>Z60+1</f>
        <v>2020</v>
      </c>
      <c r="AB60" s="76">
        <f>AA60+1</f>
        <v>2021</v>
      </c>
    </row>
    <row r="61" spans="2:28" ht="4" customHeight="1"/>
    <row r="62" spans="2:28" ht="12" customHeight="1">
      <c r="C62" s="28"/>
      <c r="E62" s="77" t="s">
        <v>218</v>
      </c>
      <c r="F62" s="158" t="s">
        <v>219</v>
      </c>
      <c r="G62" s="86"/>
      <c r="H62" s="213" t="s">
        <v>71</v>
      </c>
      <c r="I62" s="216">
        <v>0.5</v>
      </c>
      <c r="J62" s="3"/>
      <c r="K62" s="298">
        <v>13</v>
      </c>
      <c r="L62" s="229" t="s">
        <v>73</v>
      </c>
      <c r="M62" s="30"/>
      <c r="N62" s="176">
        <f>I62*K62</f>
        <v>6.5</v>
      </c>
      <c r="O62" s="32"/>
      <c r="P62" s="88"/>
      <c r="Q62" s="30"/>
      <c r="R62" s="90"/>
      <c r="S62" s="91">
        <f>N62</f>
        <v>6.5</v>
      </c>
      <c r="T62" s="91"/>
      <c r="U62" s="91"/>
      <c r="V62" s="92"/>
      <c r="W62" s="30"/>
      <c r="X62" s="90"/>
      <c r="Y62" s="91"/>
      <c r="Z62" s="91"/>
      <c r="AA62" s="91"/>
      <c r="AB62" s="92"/>
    </row>
    <row r="63" spans="2:28" ht="12" customHeight="1">
      <c r="C63" s="28"/>
      <c r="E63" s="77" t="s">
        <v>245</v>
      </c>
      <c r="F63" s="41" t="s">
        <v>17</v>
      </c>
      <c r="G63" s="86"/>
      <c r="H63" s="213" t="s">
        <v>71</v>
      </c>
      <c r="I63" s="216">
        <v>0.25</v>
      </c>
      <c r="J63" s="3"/>
      <c r="K63" s="228">
        <v>5.7</v>
      </c>
      <c r="L63" s="229" t="s">
        <v>72</v>
      </c>
      <c r="M63" s="30"/>
      <c r="N63" s="176">
        <f>I63*K63</f>
        <v>1.425</v>
      </c>
      <c r="O63" s="32"/>
      <c r="P63" s="88"/>
      <c r="Q63" s="30"/>
      <c r="R63" s="90">
        <f>N63</f>
        <v>1.425</v>
      </c>
      <c r="S63" s="91"/>
      <c r="T63" s="91"/>
      <c r="U63" s="91"/>
      <c r="V63" s="92"/>
      <c r="W63" s="30"/>
      <c r="X63" s="90"/>
      <c r="Y63" s="91"/>
      <c r="Z63" s="91"/>
      <c r="AA63" s="91"/>
      <c r="AB63" s="92"/>
    </row>
    <row r="64" spans="2:28" ht="12" customHeight="1">
      <c r="C64" s="28"/>
      <c r="E64" s="105"/>
      <c r="F64" s="41" t="s">
        <v>17</v>
      </c>
      <c r="G64" s="93"/>
      <c r="H64" s="94"/>
      <c r="I64" s="217">
        <v>0.1</v>
      </c>
      <c r="J64" s="3"/>
      <c r="K64" s="174">
        <v>7</v>
      </c>
      <c r="L64" s="226" t="s">
        <v>73</v>
      </c>
      <c r="M64" s="30"/>
      <c r="N64" s="177">
        <f>I64*K64</f>
        <v>0.70000000000000007</v>
      </c>
      <c r="O64" s="32"/>
      <c r="P64" s="96"/>
      <c r="Q64" s="30"/>
      <c r="R64" s="97">
        <f>N64</f>
        <v>0.70000000000000007</v>
      </c>
      <c r="S64" s="98"/>
      <c r="T64" s="98"/>
      <c r="U64" s="98"/>
      <c r="V64" s="99"/>
      <c r="W64" s="30"/>
      <c r="X64" s="97"/>
      <c r="Y64" s="98"/>
      <c r="Z64" s="98"/>
      <c r="AA64" s="98"/>
      <c r="AB64" s="99"/>
    </row>
    <row r="65" spans="3:28" ht="12" customHeight="1">
      <c r="C65" s="28"/>
      <c r="E65" s="77" t="s">
        <v>246</v>
      </c>
      <c r="F65" s="41" t="s">
        <v>217</v>
      </c>
      <c r="G65" s="100"/>
      <c r="H65" s="94"/>
      <c r="I65" s="217">
        <f>0.25</f>
        <v>0.25</v>
      </c>
      <c r="J65" s="3"/>
      <c r="K65" s="200">
        <f>11*3</f>
        <v>33</v>
      </c>
      <c r="L65" s="230" t="s">
        <v>72</v>
      </c>
      <c r="M65" s="30"/>
      <c r="N65" s="177">
        <f>I65*K65</f>
        <v>8.25</v>
      </c>
      <c r="O65" s="32"/>
      <c r="P65" s="96"/>
      <c r="Q65" s="30"/>
      <c r="R65" s="257"/>
      <c r="S65" s="214">
        <f>N65</f>
        <v>8.25</v>
      </c>
      <c r="T65" s="214"/>
      <c r="U65" s="103"/>
      <c r="V65" s="104"/>
      <c r="W65" s="30"/>
      <c r="X65" s="102"/>
      <c r="Y65" s="103"/>
      <c r="Z65" s="103"/>
      <c r="AA65" s="103"/>
      <c r="AB65" s="104"/>
    </row>
    <row r="66" spans="3:28" ht="12" customHeight="1">
      <c r="C66" s="28"/>
      <c r="E66" s="105"/>
      <c r="F66" s="253" t="s">
        <v>17</v>
      </c>
      <c r="G66" s="100"/>
      <c r="H66" s="94"/>
      <c r="I66" s="217">
        <v>0.1</v>
      </c>
      <c r="J66" s="3"/>
      <c r="K66" s="174">
        <v>11</v>
      </c>
      <c r="L66" s="226" t="s">
        <v>73</v>
      </c>
      <c r="M66" s="30"/>
      <c r="N66" s="177">
        <f>I66*K66</f>
        <v>1.1000000000000001</v>
      </c>
      <c r="O66" s="32"/>
      <c r="P66" s="96"/>
      <c r="Q66" s="30"/>
      <c r="R66" s="257"/>
      <c r="S66" s="214">
        <f>N66</f>
        <v>1.1000000000000001</v>
      </c>
      <c r="T66" s="214"/>
      <c r="U66" s="103"/>
      <c r="V66" s="104"/>
      <c r="W66" s="30"/>
      <c r="X66" s="102"/>
      <c r="Y66" s="103"/>
      <c r="Z66" s="103"/>
      <c r="AA66" s="103"/>
      <c r="AB66" s="104"/>
    </row>
    <row r="67" spans="3:28" ht="12" customHeight="1">
      <c r="C67" s="28"/>
      <c r="E67" s="183" t="s">
        <v>247</v>
      </c>
      <c r="F67" s="254"/>
      <c r="G67" s="184"/>
      <c r="H67" s="94"/>
      <c r="I67" s="95"/>
      <c r="J67" s="3"/>
      <c r="K67" s="174"/>
      <c r="L67" s="226"/>
      <c r="M67" s="30"/>
      <c r="N67" s="177"/>
      <c r="O67" s="32"/>
      <c r="P67" s="96"/>
      <c r="Q67" s="30"/>
      <c r="R67" s="257"/>
      <c r="S67" s="214"/>
      <c r="T67" s="214"/>
      <c r="U67" s="103"/>
      <c r="V67" s="104"/>
      <c r="W67" s="30"/>
      <c r="X67" s="102"/>
      <c r="Y67" s="103"/>
      <c r="Z67" s="103"/>
      <c r="AA67" s="103"/>
      <c r="AB67" s="104"/>
    </row>
    <row r="68" spans="3:28" ht="12" customHeight="1">
      <c r="C68" s="28"/>
      <c r="E68" s="107" t="s">
        <v>248</v>
      </c>
      <c r="F68" s="248"/>
      <c r="G68" s="185"/>
      <c r="H68" s="94" t="s">
        <v>25</v>
      </c>
      <c r="I68" s="159">
        <v>1</v>
      </c>
      <c r="J68" s="3"/>
      <c r="K68" s="174">
        <v>1</v>
      </c>
      <c r="L68" s="226"/>
      <c r="M68" s="30"/>
      <c r="N68" s="177">
        <f>I68*K68</f>
        <v>1</v>
      </c>
      <c r="O68" s="32"/>
      <c r="P68" s="96"/>
      <c r="Q68" s="30"/>
      <c r="R68" s="257">
        <f>1*N68</f>
        <v>1</v>
      </c>
      <c r="S68" s="214"/>
      <c r="T68" s="214"/>
      <c r="U68" s="103"/>
      <c r="V68" s="104"/>
      <c r="W68" s="30"/>
      <c r="X68" s="102"/>
      <c r="Y68" s="103"/>
      <c r="Z68" s="103"/>
      <c r="AA68" s="103"/>
      <c r="AB68" s="104"/>
    </row>
    <row r="69" spans="3:28" ht="12" customHeight="1">
      <c r="C69" s="28"/>
      <c r="E69" s="107"/>
      <c r="F69" s="248"/>
      <c r="G69" s="184"/>
      <c r="H69" s="94" t="s">
        <v>25</v>
      </c>
      <c r="I69" s="95">
        <v>1</v>
      </c>
      <c r="J69" s="3"/>
      <c r="K69" s="174">
        <v>1</v>
      </c>
      <c r="L69" s="226"/>
      <c r="M69" s="30"/>
      <c r="N69" s="178">
        <f>I69*K69</f>
        <v>1</v>
      </c>
      <c r="O69" s="32"/>
      <c r="P69" s="96"/>
      <c r="Q69" s="30"/>
      <c r="R69" s="257">
        <f t="shared" ref="R69:R70" si="4">1*N69</f>
        <v>1</v>
      </c>
      <c r="S69" s="214"/>
      <c r="T69" s="214"/>
      <c r="U69" s="103"/>
      <c r="V69" s="104"/>
      <c r="W69" s="30"/>
      <c r="X69" s="102"/>
      <c r="Y69" s="103"/>
      <c r="Z69" s="103"/>
      <c r="AA69" s="103"/>
      <c r="AB69" s="104"/>
    </row>
    <row r="70" spans="3:28" ht="12" customHeight="1">
      <c r="C70" s="28"/>
      <c r="E70" s="107"/>
      <c r="F70" s="255"/>
      <c r="G70" s="184"/>
      <c r="H70" s="94" t="s">
        <v>25</v>
      </c>
      <c r="I70" s="43">
        <v>0.25</v>
      </c>
      <c r="J70" s="3"/>
      <c r="K70" s="174">
        <v>1</v>
      </c>
      <c r="L70" s="226"/>
      <c r="M70" s="30"/>
      <c r="N70" s="178">
        <f>I70*K70</f>
        <v>0.25</v>
      </c>
      <c r="O70" s="32"/>
      <c r="P70" s="96"/>
      <c r="Q70" s="30"/>
      <c r="R70" s="257">
        <f t="shared" si="4"/>
        <v>0.25</v>
      </c>
      <c r="S70" s="214"/>
      <c r="T70" s="214"/>
      <c r="U70" s="103"/>
      <c r="V70" s="104"/>
      <c r="W70" s="30"/>
      <c r="X70" s="102"/>
      <c r="Y70" s="103"/>
      <c r="Z70" s="103"/>
      <c r="AA70" s="103"/>
      <c r="AB70" s="104"/>
    </row>
    <row r="71" spans="3:28" ht="12" customHeight="1">
      <c r="C71" s="28"/>
      <c r="E71" s="188" t="s">
        <v>252</v>
      </c>
      <c r="F71" s="191"/>
      <c r="G71" s="184"/>
      <c r="H71" s="94"/>
      <c r="I71" s="43"/>
      <c r="J71" s="3"/>
      <c r="K71" s="174"/>
      <c r="L71" s="226"/>
      <c r="M71" s="30"/>
      <c r="N71" s="178"/>
      <c r="O71" s="32"/>
      <c r="P71" s="96"/>
      <c r="Q71" s="30"/>
      <c r="R71" s="257"/>
      <c r="S71" s="214"/>
      <c r="T71" s="214"/>
      <c r="U71" s="103"/>
      <c r="V71" s="104"/>
      <c r="W71" s="30"/>
      <c r="X71" s="102"/>
      <c r="Y71" s="103"/>
      <c r="Z71" s="103"/>
      <c r="AA71" s="103"/>
      <c r="AB71" s="104"/>
    </row>
    <row r="72" spans="3:28" ht="12" customHeight="1">
      <c r="C72" s="28"/>
      <c r="E72" s="107" t="s">
        <v>250</v>
      </c>
      <c r="F72" s="249" t="s">
        <v>136</v>
      </c>
      <c r="G72" s="184"/>
      <c r="H72" s="94" t="s">
        <v>18</v>
      </c>
      <c r="I72" s="43">
        <v>7</v>
      </c>
      <c r="J72" s="3"/>
      <c r="K72" s="174">
        <v>1</v>
      </c>
      <c r="L72" s="226"/>
      <c r="M72" s="30"/>
      <c r="N72" s="178">
        <f>I72*K72</f>
        <v>7</v>
      </c>
      <c r="O72" s="32"/>
      <c r="P72" s="96"/>
      <c r="Q72" s="30"/>
      <c r="R72" s="257">
        <f>0.1*N72</f>
        <v>0.70000000000000007</v>
      </c>
      <c r="S72" s="214">
        <f t="shared" ref="S72:S77" si="5">0.5*N72</f>
        <v>3.5</v>
      </c>
      <c r="T72" s="214">
        <f>0.4*N72</f>
        <v>2.8000000000000003</v>
      </c>
      <c r="U72" s="103"/>
      <c r="V72" s="104"/>
      <c r="W72" s="30"/>
      <c r="X72" s="102"/>
      <c r="Y72" s="103"/>
      <c r="Z72" s="103"/>
      <c r="AA72" s="103"/>
      <c r="AB72" s="104"/>
    </row>
    <row r="73" spans="3:28" ht="12" customHeight="1">
      <c r="C73" s="28"/>
      <c r="E73" s="107" t="s">
        <v>249</v>
      </c>
      <c r="F73" s="249" t="s">
        <v>138</v>
      </c>
      <c r="G73" s="184"/>
      <c r="H73" s="94" t="s">
        <v>18</v>
      </c>
      <c r="I73" s="43"/>
      <c r="J73" s="3"/>
      <c r="K73" s="200"/>
      <c r="L73" s="230" t="s">
        <v>75</v>
      </c>
      <c r="M73" s="30"/>
      <c r="N73" s="177">
        <f>I73*K73</f>
        <v>0</v>
      </c>
      <c r="O73" s="32"/>
      <c r="P73" s="96"/>
      <c r="Q73" s="30"/>
      <c r="R73" s="257">
        <f t="shared" ref="R73:R77" si="6">0.1*N73</f>
        <v>0</v>
      </c>
      <c r="S73" s="214">
        <f t="shared" si="5"/>
        <v>0</v>
      </c>
      <c r="T73" s="214">
        <f t="shared" ref="T73:T77" si="7">0.4*N73</f>
        <v>0</v>
      </c>
      <c r="U73" s="103"/>
      <c r="V73" s="104"/>
      <c r="W73" s="30"/>
      <c r="X73" s="102"/>
      <c r="Y73" s="103"/>
      <c r="Z73" s="103"/>
      <c r="AA73" s="103"/>
      <c r="AB73" s="104"/>
    </row>
    <row r="74" spans="3:28" ht="12" customHeight="1">
      <c r="C74" s="28"/>
      <c r="E74" s="107" t="s">
        <v>251</v>
      </c>
      <c r="F74" s="247" t="s">
        <v>46</v>
      </c>
      <c r="G74" s="184"/>
      <c r="H74" s="94" t="s">
        <v>18</v>
      </c>
      <c r="I74" s="43">
        <v>65</v>
      </c>
      <c r="J74" s="3"/>
      <c r="K74" s="174">
        <v>1</v>
      </c>
      <c r="L74" s="226"/>
      <c r="M74" s="30"/>
      <c r="N74" s="177">
        <f>I74*K74</f>
        <v>65</v>
      </c>
      <c r="O74" s="32"/>
      <c r="P74" s="96"/>
      <c r="Q74" s="30"/>
      <c r="R74" s="257">
        <f t="shared" si="6"/>
        <v>6.5</v>
      </c>
      <c r="S74" s="214">
        <f t="shared" si="5"/>
        <v>32.5</v>
      </c>
      <c r="T74" s="214">
        <f t="shared" si="7"/>
        <v>26</v>
      </c>
      <c r="U74" s="103"/>
      <c r="V74" s="104"/>
      <c r="W74" s="30"/>
      <c r="X74" s="102"/>
      <c r="Y74" s="103"/>
      <c r="Z74" s="103"/>
      <c r="AA74" s="103"/>
      <c r="AB74" s="104"/>
    </row>
    <row r="75" spans="3:28" ht="12" customHeight="1">
      <c r="C75" s="28"/>
      <c r="E75" s="107"/>
      <c r="F75" s="247" t="s">
        <v>45</v>
      </c>
      <c r="G75" s="184"/>
      <c r="H75" s="94" t="s">
        <v>18</v>
      </c>
      <c r="I75" s="43">
        <v>0.12</v>
      </c>
      <c r="J75" s="3"/>
      <c r="K75" s="200">
        <f>36*8</f>
        <v>288</v>
      </c>
      <c r="L75" s="230" t="s">
        <v>75</v>
      </c>
      <c r="M75" s="30"/>
      <c r="N75" s="177">
        <f>I75*K75</f>
        <v>34.56</v>
      </c>
      <c r="O75" s="32"/>
      <c r="P75" s="96"/>
      <c r="Q75" s="30"/>
      <c r="R75" s="257">
        <f t="shared" si="6"/>
        <v>3.4560000000000004</v>
      </c>
      <c r="S75" s="214">
        <f t="shared" si="5"/>
        <v>17.28</v>
      </c>
      <c r="T75" s="214">
        <f t="shared" si="7"/>
        <v>13.824000000000002</v>
      </c>
      <c r="U75" s="103"/>
      <c r="V75" s="104"/>
      <c r="W75" s="30"/>
      <c r="X75" s="102"/>
      <c r="Y75" s="103"/>
      <c r="Z75" s="103"/>
      <c r="AA75" s="103"/>
      <c r="AB75" s="104"/>
    </row>
    <row r="76" spans="3:28" ht="12" customHeight="1">
      <c r="C76" s="28"/>
      <c r="E76" s="107"/>
      <c r="F76" s="247" t="s">
        <v>166</v>
      </c>
      <c r="G76" s="184"/>
      <c r="H76" s="94"/>
      <c r="I76" s="43">
        <v>0.12</v>
      </c>
      <c r="J76" s="3"/>
      <c r="K76" s="200">
        <f>30*12</f>
        <v>360</v>
      </c>
      <c r="L76" s="230" t="s">
        <v>75</v>
      </c>
      <c r="M76" s="30"/>
      <c r="N76" s="177">
        <f>I76*K76</f>
        <v>43.199999999999996</v>
      </c>
      <c r="O76" s="32"/>
      <c r="P76" s="96"/>
      <c r="Q76" s="30"/>
      <c r="R76" s="257">
        <f t="shared" si="6"/>
        <v>4.3199999999999994</v>
      </c>
      <c r="S76" s="214">
        <f t="shared" si="5"/>
        <v>21.599999999999998</v>
      </c>
      <c r="T76" s="214">
        <f t="shared" si="7"/>
        <v>17.279999999999998</v>
      </c>
      <c r="U76" s="103"/>
      <c r="V76" s="104"/>
      <c r="W76" s="30"/>
      <c r="X76" s="102"/>
      <c r="Y76" s="103"/>
      <c r="Z76" s="103"/>
      <c r="AA76" s="103"/>
      <c r="AB76" s="104"/>
    </row>
    <row r="77" spans="3:28" ht="12" customHeight="1">
      <c r="C77" s="28"/>
      <c r="E77" s="189"/>
      <c r="F77" s="256" t="s">
        <v>139</v>
      </c>
      <c r="G77" s="190"/>
      <c r="H77" s="94"/>
      <c r="I77" s="43"/>
      <c r="J77" s="3"/>
      <c r="K77" s="175"/>
      <c r="L77" s="231"/>
      <c r="M77" s="30"/>
      <c r="N77" s="234">
        <f>SUM(N62:N76)*0.1</f>
        <v>16.9985</v>
      </c>
      <c r="O77" s="32"/>
      <c r="P77" s="109"/>
      <c r="Q77" s="30"/>
      <c r="R77" s="258">
        <f t="shared" si="6"/>
        <v>1.6998500000000001</v>
      </c>
      <c r="S77" s="259">
        <f t="shared" si="5"/>
        <v>8.49925</v>
      </c>
      <c r="T77" s="259">
        <f t="shared" si="7"/>
        <v>6.7994000000000003</v>
      </c>
      <c r="U77" s="111"/>
      <c r="V77" s="112"/>
      <c r="W77" s="30"/>
      <c r="X77" s="110"/>
      <c r="Y77" s="111"/>
      <c r="Z77" s="111"/>
      <c r="AA77" s="111"/>
      <c r="AB77" s="112"/>
    </row>
    <row r="78" spans="3:28" ht="4" customHeight="1">
      <c r="E78" s="3"/>
      <c r="J78" s="3"/>
    </row>
    <row r="79" spans="3:28" ht="15" customHeight="1">
      <c r="F79" s="113" t="s">
        <v>19</v>
      </c>
      <c r="G79" s="114"/>
      <c r="H79" s="114"/>
      <c r="I79" s="85"/>
      <c r="K79" s="22"/>
      <c r="L79" s="207"/>
      <c r="M79" s="20"/>
      <c r="N79" s="179">
        <f>SUM(N62:N77)</f>
        <v>186.98349999999999</v>
      </c>
      <c r="O79" s="20"/>
      <c r="P79" s="22"/>
      <c r="Q79" s="20"/>
      <c r="R79" s="180">
        <f>SUM(R63:R77)</f>
        <v>21.050850000000001</v>
      </c>
      <c r="S79" s="181">
        <f>SUM(S63:S77)</f>
        <v>92.729250000000008</v>
      </c>
      <c r="T79" s="181">
        <f>SUM(T63:T77)</f>
        <v>66.703400000000002</v>
      </c>
      <c r="U79" s="182">
        <f>SUM(U63:U77)</f>
        <v>0</v>
      </c>
      <c r="V79" s="180">
        <f>SUM(V63:V77)</f>
        <v>0</v>
      </c>
      <c r="W79" s="115"/>
      <c r="X79" s="160">
        <f>SUM(X63:X77)</f>
        <v>0</v>
      </c>
      <c r="Y79" s="161">
        <f>SUM(Y63:Y77)</f>
        <v>0</v>
      </c>
      <c r="Z79" s="161">
        <f>SUM(Z63:Z77)</f>
        <v>0</v>
      </c>
      <c r="AA79" s="161">
        <f>SUM(AA63:AA77)</f>
        <v>0</v>
      </c>
      <c r="AB79" s="161">
        <f>SUM(AB63:AB77)</f>
        <v>0</v>
      </c>
    </row>
    <row r="80" spans="3:28" ht="12" customHeight="1">
      <c r="F80" s="192"/>
      <c r="G80" s="193"/>
      <c r="H80" s="193"/>
      <c r="I80" s="193"/>
      <c r="K80" s="168"/>
      <c r="L80" s="208"/>
      <c r="M80" s="168"/>
      <c r="N80" s="168"/>
      <c r="O80" s="168"/>
      <c r="P80" s="168"/>
      <c r="Q80" s="168"/>
      <c r="R80" s="168"/>
      <c r="S80" s="168"/>
      <c r="T80" s="168"/>
      <c r="U80" s="168"/>
      <c r="V80" s="196"/>
      <c r="W80" s="194"/>
      <c r="X80" s="195"/>
      <c r="Y80" s="195"/>
      <c r="Z80" s="195"/>
      <c r="AA80" s="195"/>
      <c r="AB80" s="195"/>
    </row>
    <row r="81" spans="2:28" ht="15" customHeight="1">
      <c r="B81" s="164" t="s">
        <v>31</v>
      </c>
      <c r="C81" s="6"/>
      <c r="E81" s="116" t="s">
        <v>20</v>
      </c>
    </row>
    <row r="82" spans="2:28" ht="15" customHeight="1">
      <c r="B82" s="6"/>
      <c r="C82" s="263" t="s">
        <v>5</v>
      </c>
      <c r="E82" s="267" t="s">
        <v>253</v>
      </c>
      <c r="F82" s="237"/>
      <c r="G82" s="240"/>
      <c r="K82" s="333" t="s">
        <v>9</v>
      </c>
      <c r="L82" s="334"/>
      <c r="M82" s="334"/>
      <c r="N82" s="335"/>
      <c r="O82" s="24"/>
      <c r="P82" s="68" t="s">
        <v>10</v>
      </c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70"/>
    </row>
    <row r="83" spans="2:28" ht="15" customHeight="1">
      <c r="E83" s="26" t="s">
        <v>21</v>
      </c>
      <c r="F83" s="84" t="s">
        <v>22</v>
      </c>
      <c r="G83" s="85"/>
      <c r="H83" s="73" t="s">
        <v>4</v>
      </c>
      <c r="I83" s="75" t="s">
        <v>23</v>
      </c>
      <c r="K83" s="71"/>
      <c r="M83" s="24"/>
      <c r="N83" s="72" t="s">
        <v>11</v>
      </c>
      <c r="O83" s="24"/>
      <c r="P83" s="73">
        <v>2011</v>
      </c>
      <c r="Q83" s="74"/>
      <c r="R83" s="75">
        <f>P83+1</f>
        <v>2012</v>
      </c>
      <c r="S83" s="75">
        <f>R83+1</f>
        <v>2013</v>
      </c>
      <c r="T83" s="75">
        <f>S83+1</f>
        <v>2014</v>
      </c>
      <c r="U83" s="75">
        <f>T83+1</f>
        <v>2015</v>
      </c>
      <c r="V83" s="75">
        <f>U83+1</f>
        <v>2016</v>
      </c>
      <c r="W83" s="74"/>
      <c r="X83" s="76">
        <f>V83+1</f>
        <v>2017</v>
      </c>
      <c r="Y83" s="76">
        <f>X83+1</f>
        <v>2018</v>
      </c>
      <c r="Z83" s="76">
        <f>Y83+1</f>
        <v>2019</v>
      </c>
      <c r="AA83" s="76">
        <f>Z83+1</f>
        <v>2020</v>
      </c>
      <c r="AB83" s="76">
        <f>AA83+1</f>
        <v>2021</v>
      </c>
    </row>
    <row r="84" spans="2:28" ht="4" customHeight="1"/>
    <row r="85" spans="2:28" ht="12" customHeight="1">
      <c r="C85" s="28"/>
      <c r="E85" s="77" t="s">
        <v>3</v>
      </c>
      <c r="F85" s="197" t="s">
        <v>224</v>
      </c>
      <c r="G85" s="117"/>
      <c r="H85" s="73"/>
      <c r="I85" s="75"/>
      <c r="J85" s="3"/>
      <c r="K85" s="87"/>
      <c r="L85" s="204"/>
      <c r="M85" s="30"/>
      <c r="N85" s="176">
        <f>N58</f>
        <v>350</v>
      </c>
      <c r="O85" s="32"/>
      <c r="P85" s="88"/>
      <c r="Q85" s="30"/>
      <c r="R85" s="89">
        <f>R58</f>
        <v>100</v>
      </c>
      <c r="S85" s="89">
        <f>S58</f>
        <v>250</v>
      </c>
      <c r="T85" s="89">
        <f>T58</f>
        <v>0</v>
      </c>
      <c r="U85" s="89">
        <f>U58</f>
        <v>0</v>
      </c>
      <c r="V85" s="220">
        <f>V58</f>
        <v>0</v>
      </c>
      <c r="X85" s="199"/>
      <c r="Y85" s="118"/>
      <c r="Z85" s="118"/>
      <c r="AA85" s="118"/>
      <c r="AB85" s="119"/>
    </row>
    <row r="86" spans="2:28" ht="12" customHeight="1">
      <c r="C86" s="28"/>
      <c r="E86" s="105" t="s">
        <v>218</v>
      </c>
      <c r="F86" s="41" t="s">
        <v>221</v>
      </c>
      <c r="G86" s="100"/>
      <c r="H86" s="94"/>
      <c r="I86" s="43"/>
      <c r="J86" s="3"/>
      <c r="K86" s="101"/>
      <c r="L86" s="204"/>
      <c r="M86" s="30"/>
      <c r="N86" s="178">
        <f>N62</f>
        <v>6.5</v>
      </c>
      <c r="O86" s="32"/>
      <c r="P86" s="96"/>
      <c r="Q86" s="30"/>
      <c r="R86" s="157">
        <f>R62</f>
        <v>0</v>
      </c>
      <c r="S86" s="157">
        <f>S62</f>
        <v>6.5</v>
      </c>
      <c r="T86" s="157">
        <f>T62</f>
        <v>0</v>
      </c>
      <c r="U86" s="157">
        <f>U62</f>
        <v>0</v>
      </c>
      <c r="V86" s="157">
        <f>V62</f>
        <v>0</v>
      </c>
      <c r="W86" s="30"/>
      <c r="X86" s="102"/>
      <c r="Y86" s="103"/>
      <c r="Z86" s="103"/>
      <c r="AA86" s="103"/>
      <c r="AB86" s="104"/>
    </row>
    <row r="87" spans="2:28" ht="12" customHeight="1">
      <c r="C87" s="28"/>
      <c r="E87" s="105" t="s">
        <v>29</v>
      </c>
      <c r="F87" s="41" t="s">
        <v>220</v>
      </c>
      <c r="G87" s="100"/>
      <c r="H87" s="94"/>
      <c r="I87" s="43"/>
      <c r="J87" s="3"/>
      <c r="K87" s="101"/>
      <c r="L87" s="204"/>
      <c r="M87" s="30"/>
      <c r="N87" s="178">
        <f>SUM(N63:N66)</f>
        <v>11.475</v>
      </c>
      <c r="O87" s="32"/>
      <c r="P87" s="96"/>
      <c r="Q87" s="30"/>
      <c r="R87" s="157">
        <f>SUM(R63:R66)</f>
        <v>2.125</v>
      </c>
      <c r="S87" s="157">
        <f>SUM(S63:S66)</f>
        <v>9.35</v>
      </c>
      <c r="T87" s="157">
        <f>SUM(T63:T66)</f>
        <v>0</v>
      </c>
      <c r="U87" s="157">
        <f>SUM(U63:U66)</f>
        <v>0</v>
      </c>
      <c r="V87" s="157">
        <f>SUM(V63:V66)</f>
        <v>0</v>
      </c>
      <c r="W87" s="30"/>
      <c r="X87" s="102"/>
      <c r="Y87" s="103"/>
      <c r="Z87" s="103"/>
      <c r="AA87" s="103"/>
      <c r="AB87" s="104"/>
    </row>
    <row r="88" spans="2:28" ht="12" customHeight="1">
      <c r="C88" s="28"/>
      <c r="E88" s="105" t="s">
        <v>254</v>
      </c>
      <c r="F88" s="41" t="s">
        <v>50</v>
      </c>
      <c r="G88" s="100"/>
      <c r="H88" s="94"/>
      <c r="I88" s="43"/>
      <c r="J88" s="3"/>
      <c r="K88" s="101"/>
      <c r="L88" s="204"/>
      <c r="M88" s="30"/>
      <c r="N88" s="178">
        <f>SUM(N68:N70)</f>
        <v>2.25</v>
      </c>
      <c r="O88" s="32"/>
      <c r="P88" s="96"/>
      <c r="Q88" s="30"/>
      <c r="R88" s="178">
        <f>SUM(R68:R70)</f>
        <v>2.25</v>
      </c>
      <c r="S88" s="178">
        <f>SUM(S68:S70)</f>
        <v>0</v>
      </c>
      <c r="T88" s="178">
        <f>SUM(T68:T70)</f>
        <v>0</v>
      </c>
      <c r="U88" s="178">
        <f>SUM(U68:U70)</f>
        <v>0</v>
      </c>
      <c r="V88" s="178">
        <f>SUM(V68:V70)</f>
        <v>0</v>
      </c>
      <c r="W88" s="30"/>
      <c r="X88" s="102"/>
      <c r="Y88" s="103"/>
      <c r="Z88" s="103"/>
      <c r="AA88" s="103"/>
      <c r="AB88" s="104"/>
    </row>
    <row r="89" spans="2:28" ht="12" customHeight="1">
      <c r="C89" s="28"/>
      <c r="E89" s="105" t="s">
        <v>52</v>
      </c>
      <c r="F89" s="41" t="s">
        <v>51</v>
      </c>
      <c r="G89" s="100"/>
      <c r="H89" s="94"/>
      <c r="I89" s="43"/>
      <c r="J89" s="3"/>
      <c r="K89" s="101"/>
      <c r="L89" s="204"/>
      <c r="M89" s="30"/>
      <c r="N89" s="178">
        <f>SUM(N72:N73)</f>
        <v>7</v>
      </c>
      <c r="O89" s="32"/>
      <c r="P89" s="96"/>
      <c r="Q89" s="30"/>
      <c r="R89" s="178">
        <f>SUM(R72:R73)</f>
        <v>0.70000000000000007</v>
      </c>
      <c r="S89" s="178">
        <f t="shared" ref="S89:V89" si="8">SUM(S72:S73)</f>
        <v>3.5</v>
      </c>
      <c r="T89" s="178">
        <f t="shared" si="8"/>
        <v>2.8000000000000003</v>
      </c>
      <c r="U89" s="178">
        <f t="shared" si="8"/>
        <v>0</v>
      </c>
      <c r="V89" s="178">
        <f t="shared" si="8"/>
        <v>0</v>
      </c>
      <c r="W89" s="30"/>
      <c r="X89" s="102"/>
      <c r="Y89" s="103"/>
      <c r="Z89" s="103"/>
      <c r="AA89" s="103"/>
      <c r="AB89" s="104"/>
    </row>
    <row r="90" spans="2:28" ht="12" customHeight="1">
      <c r="C90" s="28"/>
      <c r="E90" s="105" t="s">
        <v>53</v>
      </c>
      <c r="F90" s="41" t="s">
        <v>54</v>
      </c>
      <c r="G90" s="100"/>
      <c r="H90" s="94"/>
      <c r="I90" s="43"/>
      <c r="J90" s="3"/>
      <c r="K90" s="101"/>
      <c r="L90" s="204"/>
      <c r="M90" s="30"/>
      <c r="N90" s="178">
        <f>SUM(N74:N75)</f>
        <v>99.56</v>
      </c>
      <c r="O90" s="32"/>
      <c r="P90" s="96"/>
      <c r="Q90" s="30"/>
      <c r="R90" s="178">
        <f>SUM(R74:R75)</f>
        <v>9.9559999999999995</v>
      </c>
      <c r="S90" s="178">
        <f t="shared" ref="S90:V90" si="9">SUM(S74:S75)</f>
        <v>49.78</v>
      </c>
      <c r="T90" s="178">
        <f t="shared" si="9"/>
        <v>39.823999999999998</v>
      </c>
      <c r="U90" s="178">
        <f t="shared" si="9"/>
        <v>0</v>
      </c>
      <c r="V90" s="178">
        <f t="shared" si="9"/>
        <v>0</v>
      </c>
      <c r="W90" s="30"/>
      <c r="X90" s="102"/>
      <c r="Y90" s="103"/>
      <c r="Z90" s="103"/>
      <c r="AA90" s="103"/>
      <c r="AB90" s="104"/>
    </row>
    <row r="91" spans="2:28" ht="12" customHeight="1">
      <c r="C91" s="28"/>
      <c r="E91" s="105" t="s">
        <v>55</v>
      </c>
      <c r="F91" s="41" t="s">
        <v>165</v>
      </c>
      <c r="G91" s="100"/>
      <c r="H91" s="94"/>
      <c r="I91" s="43"/>
      <c r="J91" s="3"/>
      <c r="K91" s="101"/>
      <c r="L91" s="204"/>
      <c r="M91" s="30"/>
      <c r="N91" s="178">
        <f>SUM(N76:N76)</f>
        <v>43.199999999999996</v>
      </c>
      <c r="O91" s="32"/>
      <c r="P91" s="96"/>
      <c r="Q91" s="30"/>
      <c r="R91" s="178">
        <f>SUM(R76:R76)</f>
        <v>4.3199999999999994</v>
      </c>
      <c r="S91" s="178">
        <f>SUM(S76:S76)</f>
        <v>21.599999999999998</v>
      </c>
      <c r="T91" s="178">
        <f>SUM(T76:T76)</f>
        <v>17.279999999999998</v>
      </c>
      <c r="U91" s="178">
        <f>SUM(U76:U76)</f>
        <v>0</v>
      </c>
      <c r="V91" s="178">
        <f>SUM(V76:V76)</f>
        <v>0</v>
      </c>
      <c r="W91" s="30"/>
      <c r="X91" s="102"/>
      <c r="Y91" s="103"/>
      <c r="Z91" s="103"/>
      <c r="AA91" s="103"/>
      <c r="AB91" s="104"/>
    </row>
    <row r="92" spans="2:28" ht="12" customHeight="1">
      <c r="C92" s="28"/>
      <c r="E92" s="108" t="s">
        <v>59</v>
      </c>
      <c r="F92" s="256" t="s">
        <v>139</v>
      </c>
      <c r="G92" s="120"/>
      <c r="H92" s="94"/>
      <c r="I92" s="43"/>
      <c r="J92" s="3"/>
      <c r="K92" s="121"/>
      <c r="L92" s="204"/>
      <c r="M92" s="30"/>
      <c r="N92" s="234">
        <f>N77</f>
        <v>16.9985</v>
      </c>
      <c r="O92" s="32"/>
      <c r="P92" s="109"/>
      <c r="Q92" s="30"/>
      <c r="R92" s="163">
        <f t="shared" ref="R92:V92" si="10">R77</f>
        <v>1.6998500000000001</v>
      </c>
      <c r="S92" s="163">
        <f t="shared" si="10"/>
        <v>8.49925</v>
      </c>
      <c r="T92" s="163">
        <f t="shared" si="10"/>
        <v>6.7994000000000003</v>
      </c>
      <c r="U92" s="163">
        <f t="shared" si="10"/>
        <v>0</v>
      </c>
      <c r="V92" s="163">
        <f t="shared" si="10"/>
        <v>0</v>
      </c>
      <c r="W92" s="30"/>
      <c r="X92" s="218"/>
      <c r="Y92" s="111"/>
      <c r="Z92" s="111"/>
      <c r="AA92" s="111"/>
      <c r="AB92" s="112"/>
    </row>
    <row r="93" spans="2:28" ht="4" customHeight="1">
      <c r="E93" s="3"/>
      <c r="J93" s="3"/>
    </row>
    <row r="94" spans="2:28" ht="15" customHeight="1">
      <c r="F94" s="122" t="s">
        <v>24</v>
      </c>
      <c r="G94" s="114"/>
      <c r="H94" s="114"/>
      <c r="I94" s="85"/>
      <c r="K94" s="22"/>
      <c r="L94" s="207"/>
      <c r="M94" s="20"/>
      <c r="N94" s="162">
        <f>SUM(N85:N92)</f>
        <v>536.98350000000005</v>
      </c>
      <c r="O94" s="20"/>
      <c r="P94" s="22"/>
      <c r="Q94" s="20"/>
      <c r="R94" s="198">
        <f>SUM(R85:R92)</f>
        <v>121.05085</v>
      </c>
      <c r="S94" s="198">
        <f>SUM(S85:S92)</f>
        <v>349.22925000000004</v>
      </c>
      <c r="T94" s="198">
        <f>SUM(T85:T92)</f>
        <v>66.703400000000002</v>
      </c>
      <c r="U94" s="198">
        <f>SUM(U85:U92)</f>
        <v>0</v>
      </c>
      <c r="V94" s="198">
        <f>SUM(V85:V92)</f>
        <v>0</v>
      </c>
      <c r="W94" s="115"/>
      <c r="X94" s="160">
        <f>SUM(X85:X92)</f>
        <v>0</v>
      </c>
      <c r="Y94" s="160">
        <f>SUM(Y85:Y92)</f>
        <v>0</v>
      </c>
      <c r="Z94" s="160">
        <f>SUM(Z85:Z92)</f>
        <v>0</v>
      </c>
      <c r="AA94" s="160">
        <f>SUM(AA85:AA92)</f>
        <v>0</v>
      </c>
      <c r="AB94" s="160">
        <f>SUM(AB85:AB92)</f>
        <v>0</v>
      </c>
    </row>
    <row r="95" spans="2:28" ht="10" customHeight="1">
      <c r="F95" s="250"/>
      <c r="G95" s="193"/>
      <c r="H95" s="193"/>
      <c r="I95" s="193"/>
      <c r="K95" s="16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195"/>
      <c r="Z95" s="195"/>
      <c r="AA95" s="195"/>
      <c r="AB95" s="195"/>
    </row>
    <row r="96" spans="2:28" ht="12" customHeight="1" thickBot="1">
      <c r="F96" s="250"/>
      <c r="G96" s="193"/>
      <c r="H96" s="193"/>
      <c r="I96" s="193"/>
      <c r="K96" s="16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195"/>
      <c r="Z96" s="195"/>
      <c r="AA96" s="195"/>
      <c r="AB96" s="195"/>
    </row>
    <row r="97" spans="2:29" ht="18" customHeight="1" thickBot="1">
      <c r="B97" s="315" t="s">
        <v>227</v>
      </c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  <c r="N97" s="316"/>
      <c r="O97" s="316"/>
      <c r="P97" s="316"/>
      <c r="Q97" s="316"/>
      <c r="R97" s="316"/>
      <c r="S97" s="316"/>
      <c r="T97" s="316"/>
      <c r="U97" s="316"/>
      <c r="V97" s="316"/>
      <c r="W97" s="316"/>
      <c r="X97" s="316"/>
      <c r="Y97" s="316"/>
      <c r="Z97" s="316"/>
      <c r="AA97" s="316"/>
      <c r="AB97" s="317"/>
    </row>
    <row r="98" spans="2:29" ht="10" customHeight="1" thickBot="1"/>
    <row r="99" spans="2:29" ht="15" customHeight="1" thickBot="1">
      <c r="B99" s="164" t="s">
        <v>31</v>
      </c>
      <c r="C99" s="6"/>
      <c r="D99" s="132"/>
      <c r="E99" s="252" t="s">
        <v>30</v>
      </c>
      <c r="F99" s="7"/>
      <c r="G99" s="8"/>
    </row>
    <row r="100" spans="2:29" ht="45" customHeight="1">
      <c r="B100" s="6"/>
      <c r="C100" s="262" t="s">
        <v>143</v>
      </c>
      <c r="D100" s="130"/>
      <c r="E100" s="263" t="s">
        <v>157</v>
      </c>
      <c r="F100" s="268" t="s">
        <v>142</v>
      </c>
      <c r="G100" s="11"/>
    </row>
    <row r="101" spans="2:29" ht="15" customHeight="1">
      <c r="B101" s="6"/>
      <c r="C101" s="6"/>
      <c r="D101" s="132"/>
      <c r="E101" s="12"/>
      <c r="F101" s="26" t="s">
        <v>159</v>
      </c>
      <c r="G101" s="11"/>
      <c r="H101" s="138"/>
      <c r="I101" s="11"/>
    </row>
    <row r="102" spans="2:29" ht="12" customHeight="1">
      <c r="B102" s="6"/>
      <c r="C102" s="6"/>
      <c r="D102" s="132"/>
      <c r="E102" s="12"/>
      <c r="F102" s="13" t="s">
        <v>7</v>
      </c>
      <c r="G102" s="14">
        <v>2014</v>
      </c>
      <c r="P102" s="137">
        <v>2011</v>
      </c>
      <c r="Q102" s="138"/>
      <c r="R102" s="137">
        <f>P102+1</f>
        <v>2012</v>
      </c>
      <c r="S102" s="137">
        <f>R102+1</f>
        <v>2013</v>
      </c>
      <c r="T102" s="137">
        <f>S102+1</f>
        <v>2014</v>
      </c>
      <c r="U102" s="137">
        <f>T102+1</f>
        <v>2015</v>
      </c>
      <c r="V102" s="137">
        <f>U102+1</f>
        <v>2016</v>
      </c>
      <c r="W102" s="138"/>
      <c r="X102" s="139">
        <f>V102+1</f>
        <v>2017</v>
      </c>
      <c r="Y102" s="139">
        <f>X102+1</f>
        <v>2018</v>
      </c>
      <c r="Z102" s="139">
        <f>Y102+1</f>
        <v>2019</v>
      </c>
      <c r="AA102" s="139">
        <f>Z102+1</f>
        <v>2020</v>
      </c>
      <c r="AB102" s="139">
        <f>AA102+1</f>
        <v>2021</v>
      </c>
    </row>
    <row r="103" spans="2:29" ht="12" customHeight="1">
      <c r="F103" s="1"/>
      <c r="G103" s="209" t="s">
        <v>68</v>
      </c>
      <c r="H103" s="18"/>
      <c r="I103" s="18"/>
      <c r="K103" s="19"/>
      <c r="L103" s="203"/>
      <c r="M103" s="20"/>
      <c r="N103" s="21" t="s">
        <v>0</v>
      </c>
      <c r="O103" s="20"/>
      <c r="P103" s="22"/>
      <c r="Q103" s="20"/>
      <c r="R103" s="140"/>
      <c r="S103" s="141"/>
      <c r="T103" s="142">
        <v>23.7</v>
      </c>
      <c r="U103" s="140">
        <v>33.799999999999997</v>
      </c>
      <c r="V103" s="143">
        <v>30.5</v>
      </c>
      <c r="W103" s="23"/>
      <c r="X103" s="144">
        <v>28.3</v>
      </c>
      <c r="Y103" s="144">
        <v>25.700000000000003</v>
      </c>
      <c r="Z103" s="144">
        <v>19.100000000000001</v>
      </c>
      <c r="AA103" s="144">
        <v>15.1</v>
      </c>
      <c r="AB103" s="144">
        <v>15.1</v>
      </c>
    </row>
    <row r="104" spans="2:29" ht="12" customHeight="1">
      <c r="F104" s="1"/>
      <c r="G104" s="210" t="s">
        <v>69</v>
      </c>
      <c r="H104" s="18"/>
      <c r="I104" s="18"/>
      <c r="K104" s="19"/>
      <c r="L104" s="203"/>
      <c r="M104" s="20"/>
      <c r="N104" s="21" t="s">
        <v>1</v>
      </c>
      <c r="O104" s="20"/>
      <c r="P104" s="22"/>
      <c r="Q104" s="20"/>
      <c r="R104" s="140"/>
      <c r="S104" s="141"/>
      <c r="T104" s="142">
        <v>11.600000000000001</v>
      </c>
      <c r="U104" s="140">
        <v>16.600000000000001</v>
      </c>
      <c r="V104" s="143">
        <v>15.899999999999999</v>
      </c>
      <c r="W104" s="23"/>
      <c r="X104" s="144">
        <v>15.1</v>
      </c>
      <c r="Y104" s="144">
        <v>14.100000000000001</v>
      </c>
      <c r="Z104" s="144">
        <v>10.600000000000001</v>
      </c>
      <c r="AA104" s="144">
        <v>7.9</v>
      </c>
      <c r="AB104" s="144">
        <v>7.9</v>
      </c>
    </row>
    <row r="105" spans="2:29" ht="10" customHeight="1">
      <c r="F105" s="1"/>
      <c r="G105" s="165"/>
      <c r="H105" s="166"/>
      <c r="I105" s="166"/>
      <c r="K105" s="167"/>
      <c r="L105" s="204"/>
      <c r="M105" s="168"/>
      <c r="N105" s="169"/>
      <c r="O105" s="168"/>
      <c r="P105" s="168"/>
      <c r="Q105" s="168"/>
      <c r="R105" s="170"/>
      <c r="S105" s="170"/>
      <c r="T105" s="170"/>
      <c r="U105" s="170"/>
      <c r="V105" s="170"/>
      <c r="W105" s="171"/>
      <c r="X105" s="172"/>
      <c r="Y105" s="172"/>
      <c r="Z105" s="172"/>
      <c r="AA105" s="172"/>
      <c r="AB105" s="172"/>
    </row>
    <row r="106" spans="2:29" ht="12" customHeight="1">
      <c r="E106" s="26" t="s">
        <v>8</v>
      </c>
      <c r="F106" s="27" t="s">
        <v>27</v>
      </c>
      <c r="O106" s="24"/>
      <c r="P106" s="134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6"/>
    </row>
    <row r="107" spans="2:29" ht="12" customHeight="1">
      <c r="C107" s="25"/>
      <c r="F107" s="1"/>
      <c r="G107" s="5"/>
      <c r="O107" s="24"/>
      <c r="P107" s="15">
        <v>2011</v>
      </c>
      <c r="Q107" s="16"/>
      <c r="R107" s="16">
        <f>P107+1</f>
        <v>2012</v>
      </c>
      <c r="S107" s="16">
        <f>R107+1</f>
        <v>2013</v>
      </c>
      <c r="T107" s="16">
        <f>S107+1</f>
        <v>2014</v>
      </c>
      <c r="U107" s="16">
        <f>T107+1</f>
        <v>2015</v>
      </c>
      <c r="V107" s="16">
        <f>U107+1</f>
        <v>2016</v>
      </c>
      <c r="W107" s="16"/>
      <c r="X107" s="17">
        <f>V107+1</f>
        <v>2017</v>
      </c>
      <c r="Y107" s="17">
        <f>X107+1</f>
        <v>2018</v>
      </c>
      <c r="Z107" s="17">
        <f>Y107+1</f>
        <v>2019</v>
      </c>
      <c r="AA107" s="17">
        <f>Z107+1</f>
        <v>2020</v>
      </c>
      <c r="AB107" s="17">
        <f>AA107+1</f>
        <v>2021</v>
      </c>
      <c r="AC107" s="24"/>
    </row>
    <row r="108" spans="2:29" ht="4" customHeight="1"/>
    <row r="109" spans="2:29" ht="12" customHeight="1">
      <c r="D109" s="242">
        <v>1</v>
      </c>
      <c r="E109" s="125" t="s">
        <v>209</v>
      </c>
      <c r="F109" s="125" t="s">
        <v>210</v>
      </c>
      <c r="G109" s="145"/>
      <c r="H109" s="150"/>
      <c r="I109" s="151"/>
      <c r="J109" s="3"/>
      <c r="K109" s="295">
        <v>4</v>
      </c>
      <c r="L109" s="201"/>
      <c r="M109" s="30"/>
      <c r="N109" s="87"/>
      <c r="O109" s="32"/>
      <c r="P109" s="33"/>
      <c r="Q109" s="30"/>
      <c r="R109" s="34"/>
      <c r="S109" s="35">
        <f>K109</f>
        <v>4</v>
      </c>
      <c r="T109" s="35"/>
      <c r="U109" s="35"/>
      <c r="V109" s="36"/>
      <c r="W109" s="30"/>
      <c r="X109" s="37"/>
      <c r="Y109" s="38"/>
      <c r="Z109" s="38"/>
      <c r="AA109" s="38"/>
      <c r="AB109" s="39"/>
    </row>
    <row r="110" spans="2:29" ht="12" customHeight="1">
      <c r="D110" s="243">
        <v>2</v>
      </c>
      <c r="E110" s="126" t="s">
        <v>222</v>
      </c>
      <c r="F110" s="126" t="s">
        <v>223</v>
      </c>
      <c r="G110" s="146"/>
      <c r="H110" s="152"/>
      <c r="I110" s="153"/>
      <c r="J110" s="3"/>
      <c r="K110" s="296">
        <v>2</v>
      </c>
      <c r="L110" s="201"/>
      <c r="M110" s="30"/>
      <c r="N110" s="101"/>
      <c r="O110" s="32"/>
      <c r="P110" s="45"/>
      <c r="Q110" s="30"/>
      <c r="R110" s="46"/>
      <c r="S110" s="47">
        <f>K110</f>
        <v>2</v>
      </c>
      <c r="T110" s="47"/>
      <c r="U110" s="47"/>
      <c r="V110" s="48"/>
      <c r="W110" s="30"/>
      <c r="X110" s="49"/>
      <c r="Y110" s="50"/>
      <c r="Z110" s="50"/>
      <c r="AA110" s="50"/>
      <c r="AB110" s="51"/>
    </row>
    <row r="111" spans="2:29" ht="12" customHeight="1">
      <c r="D111" s="243">
        <v>3</v>
      </c>
      <c r="E111" s="126" t="s">
        <v>211</v>
      </c>
      <c r="F111" s="126" t="s">
        <v>26</v>
      </c>
      <c r="G111" s="146"/>
      <c r="H111" s="152"/>
      <c r="I111" s="153"/>
      <c r="J111" s="3"/>
      <c r="K111" s="44">
        <v>2</v>
      </c>
      <c r="L111" s="201"/>
      <c r="M111" s="30"/>
      <c r="N111" s="53"/>
      <c r="O111" s="32"/>
      <c r="P111" s="45"/>
      <c r="Q111" s="30"/>
      <c r="R111" s="46"/>
      <c r="S111" s="47">
        <f t="shared" ref="S111" si="11">K111</f>
        <v>2</v>
      </c>
      <c r="T111" s="47"/>
      <c r="U111" s="47"/>
      <c r="V111" s="48"/>
      <c r="W111" s="30"/>
      <c r="X111" s="49"/>
      <c r="Y111" s="50"/>
      <c r="Z111" s="50"/>
      <c r="AA111" s="50"/>
      <c r="AB111" s="51"/>
    </row>
    <row r="112" spans="2:29" ht="12" customHeight="1">
      <c r="D112" s="244">
        <v>4</v>
      </c>
      <c r="E112" s="127" t="s">
        <v>212</v>
      </c>
      <c r="F112" s="127" t="s">
        <v>26</v>
      </c>
      <c r="G112" s="147"/>
      <c r="H112" s="154"/>
      <c r="I112" s="155"/>
      <c r="J112" s="3"/>
      <c r="K112" s="297">
        <v>4</v>
      </c>
      <c r="L112" s="201"/>
      <c r="M112" s="30"/>
      <c r="N112" s="53"/>
      <c r="O112" s="32"/>
      <c r="P112" s="45"/>
      <c r="Q112" s="30"/>
      <c r="R112" s="46"/>
      <c r="S112" s="47">
        <f>K112</f>
        <v>4</v>
      </c>
      <c r="T112" s="47"/>
      <c r="U112" s="47"/>
      <c r="V112" s="48"/>
      <c r="W112" s="30"/>
      <c r="X112" s="49"/>
      <c r="Y112" s="50"/>
      <c r="Z112" s="50"/>
      <c r="AA112" s="50"/>
      <c r="AB112" s="51"/>
    </row>
    <row r="113" spans="2:28" s="67" customFormat="1" ht="12" customHeight="1">
      <c r="B113" s="54"/>
      <c r="C113" s="55"/>
      <c r="D113" s="133"/>
      <c r="E113" s="124"/>
      <c r="F113" s="128" t="s">
        <v>2</v>
      </c>
      <c r="G113" s="129"/>
      <c r="H113" s="148"/>
      <c r="I113" s="149"/>
      <c r="J113" s="61"/>
      <c r="K113" s="29">
        <f>SUM(K109:K112)</f>
        <v>12</v>
      </c>
      <c r="L113" s="205"/>
      <c r="M113" s="62"/>
      <c r="N113" s="31"/>
      <c r="O113" s="61"/>
      <c r="P113" s="63"/>
      <c r="Q113" s="62"/>
      <c r="R113" s="64">
        <f>SUM(R109:R112)</f>
        <v>0</v>
      </c>
      <c r="S113" s="64">
        <f>SUM(S109:S112)</f>
        <v>12</v>
      </c>
      <c r="T113" s="64">
        <f>SUM(T109:T112)</f>
        <v>0</v>
      </c>
      <c r="U113" s="64">
        <f>SUM(U109:U112)</f>
        <v>0</v>
      </c>
      <c r="V113" s="64">
        <f>SUM(V109:V112)</f>
        <v>0</v>
      </c>
      <c r="W113" s="62"/>
      <c r="X113" s="65"/>
      <c r="Y113" s="59"/>
      <c r="Z113" s="59"/>
      <c r="AA113" s="59"/>
      <c r="AB113" s="66"/>
    </row>
    <row r="114" spans="2:28" ht="9" customHeight="1"/>
    <row r="115" spans="2:28" ht="14.15" customHeight="1">
      <c r="L115" s="1"/>
      <c r="O115" s="24"/>
      <c r="P115" s="84" t="s">
        <v>10</v>
      </c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  <c r="AB115" s="222"/>
    </row>
    <row r="116" spans="2:28" ht="15" customHeight="1">
      <c r="E116" s="26" t="s">
        <v>28</v>
      </c>
      <c r="K116" s="137" t="s">
        <v>67</v>
      </c>
      <c r="L116" s="211" t="s">
        <v>66</v>
      </c>
      <c r="M116" s="24"/>
      <c r="N116" s="212" t="s">
        <v>11</v>
      </c>
      <c r="O116" s="24"/>
      <c r="P116" s="137">
        <v>2011</v>
      </c>
      <c r="Q116" s="5"/>
      <c r="R116" s="137">
        <f>P116+1</f>
        <v>2012</v>
      </c>
      <c r="S116" s="137">
        <f>R116+1</f>
        <v>2013</v>
      </c>
      <c r="T116" s="137">
        <f>S116+1</f>
        <v>2014</v>
      </c>
      <c r="U116" s="137">
        <f>T116+1</f>
        <v>2015</v>
      </c>
      <c r="V116" s="137">
        <f>U116+1</f>
        <v>2016</v>
      </c>
      <c r="W116" s="5"/>
      <c r="X116" s="139">
        <f>V116+1</f>
        <v>2017</v>
      </c>
      <c r="Y116" s="139">
        <f>X116+1</f>
        <v>2018</v>
      </c>
      <c r="Z116" s="139">
        <f>Y116+1</f>
        <v>2019</v>
      </c>
      <c r="AA116" s="139">
        <f>Z116+1</f>
        <v>2020</v>
      </c>
      <c r="AB116" s="139">
        <f>AA116+1</f>
        <v>2021</v>
      </c>
    </row>
    <row r="117" spans="2:28" ht="4.5" customHeight="1"/>
    <row r="118" spans="2:28" ht="12" customHeight="1">
      <c r="D118" s="242">
        <v>1</v>
      </c>
      <c r="E118" s="125" t="s">
        <v>209</v>
      </c>
      <c r="F118" s="125" t="s">
        <v>213</v>
      </c>
      <c r="G118" s="299">
        <f>(3*1+2.5)/4</f>
        <v>1.375</v>
      </c>
      <c r="H118" s="78" t="s">
        <v>12</v>
      </c>
      <c r="I118" s="79" t="s">
        <v>13</v>
      </c>
      <c r="J118" s="3"/>
      <c r="K118" s="80">
        <f>K109</f>
        <v>4</v>
      </c>
      <c r="L118" s="225" t="s">
        <v>13</v>
      </c>
      <c r="M118" s="30"/>
      <c r="N118" s="156">
        <f>G118*K118</f>
        <v>5.5</v>
      </c>
      <c r="O118" s="32"/>
      <c r="P118" s="33"/>
      <c r="Q118" s="30"/>
      <c r="R118" s="81">
        <f t="shared" ref="R118:V121" si="12">$G118*R109</f>
        <v>0</v>
      </c>
      <c r="S118" s="81">
        <f t="shared" si="12"/>
        <v>5.5</v>
      </c>
      <c r="T118" s="81">
        <f t="shared" si="12"/>
        <v>0</v>
      </c>
      <c r="U118" s="81">
        <f t="shared" si="12"/>
        <v>0</v>
      </c>
      <c r="V118" s="81">
        <f t="shared" si="12"/>
        <v>0</v>
      </c>
      <c r="W118" s="30"/>
      <c r="X118" s="37"/>
      <c r="Y118" s="38"/>
      <c r="Z118" s="38"/>
      <c r="AA118" s="38"/>
      <c r="AB118" s="39"/>
    </row>
    <row r="119" spans="2:28" ht="12" customHeight="1">
      <c r="D119" s="243">
        <v>2</v>
      </c>
      <c r="E119" s="126" t="s">
        <v>222</v>
      </c>
      <c r="F119" s="126" t="s">
        <v>214</v>
      </c>
      <c r="G119" s="300">
        <f>(2.3+2.7)/2</f>
        <v>2.5</v>
      </c>
      <c r="H119" s="42" t="s">
        <v>12</v>
      </c>
      <c r="I119" s="43" t="s">
        <v>13</v>
      </c>
      <c r="J119" s="3"/>
      <c r="K119" s="52">
        <f>K110</f>
        <v>2</v>
      </c>
      <c r="L119" s="226" t="s">
        <v>13</v>
      </c>
      <c r="M119" s="30"/>
      <c r="N119" s="157">
        <f>G119*K119</f>
        <v>5</v>
      </c>
      <c r="O119" s="32"/>
      <c r="P119" s="45"/>
      <c r="Q119" s="30"/>
      <c r="R119" s="81">
        <f t="shared" si="12"/>
        <v>0</v>
      </c>
      <c r="S119" s="81">
        <f t="shared" si="12"/>
        <v>5</v>
      </c>
      <c r="T119" s="81">
        <f t="shared" si="12"/>
        <v>0</v>
      </c>
      <c r="U119" s="81">
        <f t="shared" si="12"/>
        <v>0</v>
      </c>
      <c r="V119" s="81">
        <f t="shared" si="12"/>
        <v>0</v>
      </c>
      <c r="W119" s="30"/>
      <c r="X119" s="49"/>
      <c r="Y119" s="50"/>
      <c r="Z119" s="50"/>
      <c r="AA119" s="50"/>
      <c r="AB119" s="51"/>
    </row>
    <row r="120" spans="2:28" ht="12" customHeight="1">
      <c r="D120" s="243">
        <v>3</v>
      </c>
      <c r="E120" s="126" t="s">
        <v>211</v>
      </c>
      <c r="F120" s="126" t="s">
        <v>26</v>
      </c>
      <c r="G120" s="300">
        <f>(17.5+22)/2</f>
        <v>19.75</v>
      </c>
      <c r="H120" s="42" t="s">
        <v>12</v>
      </c>
      <c r="I120" s="43" t="s">
        <v>13</v>
      </c>
      <c r="J120" s="3"/>
      <c r="K120" s="52">
        <f>K111</f>
        <v>2</v>
      </c>
      <c r="L120" s="226" t="s">
        <v>13</v>
      </c>
      <c r="M120" s="30"/>
      <c r="N120" s="157">
        <f>G120*K120</f>
        <v>39.5</v>
      </c>
      <c r="O120" s="32"/>
      <c r="P120" s="45"/>
      <c r="Q120" s="30"/>
      <c r="R120" s="81">
        <f t="shared" si="12"/>
        <v>0</v>
      </c>
      <c r="S120" s="81">
        <f t="shared" si="12"/>
        <v>39.5</v>
      </c>
      <c r="T120" s="81">
        <f t="shared" si="12"/>
        <v>0</v>
      </c>
      <c r="U120" s="81">
        <f t="shared" si="12"/>
        <v>0</v>
      </c>
      <c r="V120" s="81">
        <f t="shared" si="12"/>
        <v>0</v>
      </c>
      <c r="W120" s="30"/>
      <c r="X120" s="49"/>
      <c r="Y120" s="50"/>
      <c r="Z120" s="50"/>
      <c r="AA120" s="50"/>
      <c r="AB120" s="51"/>
    </row>
    <row r="121" spans="2:28" ht="12" customHeight="1">
      <c r="D121" s="244">
        <v>4</v>
      </c>
      <c r="E121" s="127" t="s">
        <v>212</v>
      </c>
      <c r="F121" s="127" t="s">
        <v>26</v>
      </c>
      <c r="G121" s="300">
        <f>(3*13.7+11.8)/4</f>
        <v>13.224999999999998</v>
      </c>
      <c r="H121" s="42" t="s">
        <v>12</v>
      </c>
      <c r="I121" s="43" t="s">
        <v>13</v>
      </c>
      <c r="J121" s="3"/>
      <c r="K121" s="52">
        <f>K112</f>
        <v>4</v>
      </c>
      <c r="L121" s="227" t="s">
        <v>13</v>
      </c>
      <c r="M121" s="30"/>
      <c r="N121" s="157">
        <f>G121*K121</f>
        <v>52.899999999999991</v>
      </c>
      <c r="O121" s="32"/>
      <c r="P121" s="45"/>
      <c r="Q121" s="30"/>
      <c r="R121" s="81">
        <f t="shared" si="12"/>
        <v>0</v>
      </c>
      <c r="S121" s="81">
        <f t="shared" si="12"/>
        <v>52.899999999999991</v>
      </c>
      <c r="T121" s="81">
        <f t="shared" si="12"/>
        <v>0</v>
      </c>
      <c r="U121" s="81">
        <f t="shared" si="12"/>
        <v>0</v>
      </c>
      <c r="V121" s="81">
        <f t="shared" si="12"/>
        <v>0</v>
      </c>
      <c r="W121" s="30"/>
      <c r="X121" s="49"/>
      <c r="Y121" s="50"/>
      <c r="Z121" s="50"/>
      <c r="AA121" s="50"/>
      <c r="AB121" s="51"/>
    </row>
    <row r="122" spans="2:28" s="67" customFormat="1" ht="15" customHeight="1">
      <c r="B122" s="54"/>
      <c r="C122" s="55"/>
      <c r="D122" s="133"/>
      <c r="E122" s="56"/>
      <c r="F122" s="57" t="s">
        <v>14</v>
      </c>
      <c r="G122" s="58"/>
      <c r="H122" s="59"/>
      <c r="I122" s="60"/>
      <c r="J122" s="61"/>
      <c r="K122" s="82"/>
      <c r="L122" s="206"/>
      <c r="M122" s="62"/>
      <c r="N122" s="180">
        <f>SUM(N118:N121)</f>
        <v>102.89999999999999</v>
      </c>
      <c r="O122" s="61"/>
      <c r="P122" s="63"/>
      <c r="Q122" s="62"/>
      <c r="R122" s="83">
        <f>SUM(R118:R121)</f>
        <v>0</v>
      </c>
      <c r="S122" s="83">
        <f>SUM(S118:S121)</f>
        <v>102.89999999999999</v>
      </c>
      <c r="T122" s="83">
        <f>SUM(T118:T121)</f>
        <v>0</v>
      </c>
      <c r="U122" s="83">
        <f>SUM(U118:U121)</f>
        <v>0</v>
      </c>
      <c r="V122" s="83">
        <f>SUM(V118:V121)</f>
        <v>0</v>
      </c>
      <c r="W122" s="62"/>
      <c r="X122" s="65"/>
      <c r="Y122" s="59"/>
      <c r="Z122" s="59"/>
      <c r="AA122" s="59"/>
      <c r="AB122" s="66"/>
    </row>
    <row r="123" spans="2:28" ht="5.15" customHeight="1"/>
    <row r="124" spans="2:28" ht="20.149999999999999" customHeight="1">
      <c r="E124" s="26" t="s">
        <v>15</v>
      </c>
      <c r="F124" s="84" t="s">
        <v>16</v>
      </c>
      <c r="G124" s="85"/>
      <c r="H124" s="215" t="s">
        <v>4</v>
      </c>
      <c r="I124" s="232" t="s">
        <v>76</v>
      </c>
      <c r="K124" s="137" t="s">
        <v>67</v>
      </c>
      <c r="L124" s="211" t="s">
        <v>66</v>
      </c>
      <c r="N124" s="212" t="s">
        <v>11</v>
      </c>
      <c r="P124" s="73">
        <v>2011</v>
      </c>
      <c r="Q124" s="74"/>
      <c r="R124" s="75">
        <f>P124+1</f>
        <v>2012</v>
      </c>
      <c r="S124" s="75">
        <f>R124+1</f>
        <v>2013</v>
      </c>
      <c r="T124" s="75">
        <f>S124+1</f>
        <v>2014</v>
      </c>
      <c r="U124" s="75">
        <f>T124+1</f>
        <v>2015</v>
      </c>
      <c r="V124" s="75">
        <f>U124+1</f>
        <v>2016</v>
      </c>
      <c r="W124" s="74"/>
      <c r="X124" s="76">
        <f>V124+1</f>
        <v>2017</v>
      </c>
      <c r="Y124" s="76">
        <f>X124+1</f>
        <v>2018</v>
      </c>
      <c r="Z124" s="76">
        <f>Y124+1</f>
        <v>2019</v>
      </c>
      <c r="AA124" s="76">
        <f>Z124+1</f>
        <v>2020</v>
      </c>
      <c r="AB124" s="76">
        <f>AA124+1</f>
        <v>2021</v>
      </c>
    </row>
    <row r="125" spans="2:28" ht="4" customHeight="1"/>
    <row r="126" spans="2:28" ht="12" customHeight="1">
      <c r="C126" s="28"/>
      <c r="E126" s="77" t="s">
        <v>218</v>
      </c>
      <c r="F126" s="158" t="s">
        <v>219</v>
      </c>
      <c r="G126" s="86"/>
      <c r="H126" s="213" t="s">
        <v>71</v>
      </c>
      <c r="I126" s="216">
        <v>0.5</v>
      </c>
      <c r="J126" s="3"/>
      <c r="K126" s="298">
        <v>13</v>
      </c>
      <c r="L126" s="229" t="s">
        <v>73</v>
      </c>
      <c r="M126" s="30"/>
      <c r="N126" s="176">
        <f>I126*K126</f>
        <v>6.5</v>
      </c>
      <c r="O126" s="32"/>
      <c r="P126" s="88"/>
      <c r="Q126" s="30"/>
      <c r="R126" s="90"/>
      <c r="S126" s="91">
        <f>N126</f>
        <v>6.5</v>
      </c>
      <c r="T126" s="91"/>
      <c r="U126" s="91"/>
      <c r="V126" s="92"/>
      <c r="W126" s="30"/>
      <c r="X126" s="90"/>
      <c r="Y126" s="91"/>
      <c r="Z126" s="91"/>
      <c r="AA126" s="91"/>
      <c r="AB126" s="92"/>
    </row>
    <row r="127" spans="2:28" ht="12" customHeight="1">
      <c r="C127" s="28"/>
      <c r="E127" s="77" t="s">
        <v>215</v>
      </c>
      <c r="F127" s="158" t="s">
        <v>70</v>
      </c>
      <c r="G127" s="86"/>
      <c r="H127" s="213" t="s">
        <v>71</v>
      </c>
      <c r="I127" s="216">
        <v>0.25</v>
      </c>
      <c r="J127" s="3"/>
      <c r="K127" s="228">
        <v>5.7</v>
      </c>
      <c r="L127" s="229" t="s">
        <v>72</v>
      </c>
      <c r="M127" s="30"/>
      <c r="N127" s="176">
        <f>I127*K127</f>
        <v>1.425</v>
      </c>
      <c r="O127" s="32"/>
      <c r="P127" s="88"/>
      <c r="Q127" s="30"/>
      <c r="R127" s="90"/>
      <c r="S127" s="91">
        <f>N127</f>
        <v>1.425</v>
      </c>
      <c r="T127" s="91"/>
      <c r="U127" s="91"/>
      <c r="V127" s="92"/>
      <c r="W127" s="30"/>
      <c r="X127" s="90"/>
      <c r="Y127" s="91"/>
      <c r="Z127" s="91"/>
      <c r="AA127" s="91"/>
      <c r="AB127" s="92"/>
    </row>
    <row r="128" spans="2:28" ht="12" customHeight="1">
      <c r="C128" s="28"/>
      <c r="E128" s="105"/>
      <c r="F128" s="41" t="s">
        <v>17</v>
      </c>
      <c r="G128" s="93"/>
      <c r="H128" s="94"/>
      <c r="I128" s="217">
        <v>0.1</v>
      </c>
      <c r="J128" s="3"/>
      <c r="K128" s="174">
        <v>7</v>
      </c>
      <c r="L128" s="226" t="s">
        <v>73</v>
      </c>
      <c r="M128" s="30"/>
      <c r="N128" s="177">
        <f>I128*K128</f>
        <v>0.70000000000000007</v>
      </c>
      <c r="O128" s="32"/>
      <c r="P128" s="96"/>
      <c r="Q128" s="30"/>
      <c r="R128" s="97"/>
      <c r="S128" s="98">
        <f>N128</f>
        <v>0.70000000000000007</v>
      </c>
      <c r="T128" s="98"/>
      <c r="U128" s="98"/>
      <c r="V128" s="99"/>
      <c r="W128" s="30"/>
      <c r="X128" s="97"/>
      <c r="Y128" s="98"/>
      <c r="Z128" s="98"/>
      <c r="AA128" s="98"/>
      <c r="AB128" s="99"/>
    </row>
    <row r="129" spans="3:28" ht="12" customHeight="1">
      <c r="C129" s="28"/>
      <c r="E129" s="105" t="s">
        <v>216</v>
      </c>
      <c r="F129" s="41" t="s">
        <v>217</v>
      </c>
      <c r="G129" s="100"/>
      <c r="H129" s="94"/>
      <c r="I129" s="217">
        <f>0.25</f>
        <v>0.25</v>
      </c>
      <c r="J129" s="3"/>
      <c r="K129" s="200">
        <f>11*3</f>
        <v>33</v>
      </c>
      <c r="L129" s="230" t="s">
        <v>72</v>
      </c>
      <c r="M129" s="30"/>
      <c r="N129" s="177">
        <f>I129*K129</f>
        <v>8.25</v>
      </c>
      <c r="O129" s="32"/>
      <c r="P129" s="96"/>
      <c r="Q129" s="30"/>
      <c r="R129" s="257"/>
      <c r="S129" s="214">
        <f>N129</f>
        <v>8.25</v>
      </c>
      <c r="T129" s="214"/>
      <c r="U129" s="103"/>
      <c r="V129" s="104"/>
      <c r="W129" s="30"/>
      <c r="X129" s="102"/>
      <c r="Y129" s="103"/>
      <c r="Z129" s="103"/>
      <c r="AA129" s="103"/>
      <c r="AB129" s="104"/>
    </row>
    <row r="130" spans="3:28" ht="12" customHeight="1">
      <c r="C130" s="28"/>
      <c r="E130" s="105"/>
      <c r="F130" s="253" t="s">
        <v>17</v>
      </c>
      <c r="G130" s="100"/>
      <c r="H130" s="94"/>
      <c r="I130" s="217">
        <v>0.1</v>
      </c>
      <c r="J130" s="3"/>
      <c r="K130" s="174">
        <v>11</v>
      </c>
      <c r="L130" s="226" t="s">
        <v>73</v>
      </c>
      <c r="M130" s="30"/>
      <c r="N130" s="177">
        <f>I130*K130</f>
        <v>1.1000000000000001</v>
      </c>
      <c r="O130" s="32"/>
      <c r="P130" s="96"/>
      <c r="Q130" s="30"/>
      <c r="R130" s="257"/>
      <c r="S130" s="214">
        <f>N130</f>
        <v>1.1000000000000001</v>
      </c>
      <c r="T130" s="214"/>
      <c r="U130" s="103"/>
      <c r="V130" s="104"/>
      <c r="W130" s="30"/>
      <c r="X130" s="102"/>
      <c r="Y130" s="103"/>
      <c r="Z130" s="103"/>
      <c r="AA130" s="103"/>
      <c r="AB130" s="104"/>
    </row>
    <row r="131" spans="3:28" ht="12" customHeight="1">
      <c r="C131" s="28"/>
      <c r="E131" s="302" t="s">
        <v>33</v>
      </c>
      <c r="F131" s="254"/>
      <c r="G131" s="184"/>
      <c r="H131" s="94"/>
      <c r="I131" s="95"/>
      <c r="J131" s="3"/>
      <c r="K131" s="174"/>
      <c r="L131" s="226"/>
      <c r="M131" s="30"/>
      <c r="N131" s="177"/>
      <c r="O131" s="32"/>
      <c r="P131" s="96"/>
      <c r="Q131" s="30"/>
      <c r="R131" s="257"/>
      <c r="S131" s="214"/>
      <c r="T131" s="214"/>
      <c r="U131" s="103"/>
      <c r="V131" s="104"/>
      <c r="W131" s="30"/>
      <c r="X131" s="102"/>
      <c r="Y131" s="103"/>
      <c r="Z131" s="103"/>
      <c r="AA131" s="103"/>
      <c r="AB131" s="104"/>
    </row>
    <row r="132" spans="3:28" ht="10" customHeight="1">
      <c r="C132" s="28"/>
      <c r="E132" s="107" t="s">
        <v>35</v>
      </c>
      <c r="F132" s="301" t="s">
        <v>36</v>
      </c>
      <c r="G132" s="185"/>
      <c r="H132" s="94" t="s">
        <v>25</v>
      </c>
      <c r="I132" s="159">
        <v>1</v>
      </c>
      <c r="J132" s="3"/>
      <c r="K132" s="174"/>
      <c r="L132" s="226"/>
      <c r="M132" s="30"/>
      <c r="N132" s="177">
        <f>I132*K132</f>
        <v>0</v>
      </c>
      <c r="O132" s="32"/>
      <c r="P132" s="96"/>
      <c r="Q132" s="30"/>
      <c r="R132" s="257">
        <f>1*N132</f>
        <v>0</v>
      </c>
      <c r="S132" s="214"/>
      <c r="T132" s="214"/>
      <c r="U132" s="103"/>
      <c r="V132" s="104"/>
      <c r="W132" s="30"/>
      <c r="X132" s="102"/>
      <c r="Y132" s="103"/>
      <c r="Z132" s="103"/>
      <c r="AA132" s="103"/>
      <c r="AB132" s="104"/>
    </row>
    <row r="133" spans="3:28" ht="10" customHeight="1">
      <c r="C133" s="28"/>
      <c r="E133" s="107" t="s">
        <v>37</v>
      </c>
      <c r="F133" s="301" t="s">
        <v>32</v>
      </c>
      <c r="G133" s="184"/>
      <c r="H133" s="94" t="s">
        <v>25</v>
      </c>
      <c r="I133" s="95">
        <v>1</v>
      </c>
      <c r="J133" s="3"/>
      <c r="K133" s="174"/>
      <c r="L133" s="226"/>
      <c r="M133" s="30"/>
      <c r="N133" s="178">
        <f>I133*K133</f>
        <v>0</v>
      </c>
      <c r="O133" s="32"/>
      <c r="P133" s="96"/>
      <c r="Q133" s="30"/>
      <c r="R133" s="257">
        <f t="shared" ref="R133:R136" si="13">1*N133</f>
        <v>0</v>
      </c>
      <c r="S133" s="214"/>
      <c r="T133" s="214"/>
      <c r="U133" s="103"/>
      <c r="V133" s="104"/>
      <c r="W133" s="30"/>
      <c r="X133" s="102"/>
      <c r="Y133" s="103"/>
      <c r="Z133" s="103"/>
      <c r="AA133" s="103"/>
      <c r="AB133" s="104"/>
    </row>
    <row r="134" spans="3:28" ht="10" customHeight="1">
      <c r="C134" s="28"/>
      <c r="E134" s="107" t="s">
        <v>39</v>
      </c>
      <c r="F134" s="301" t="s">
        <v>40</v>
      </c>
      <c r="G134" s="184"/>
      <c r="H134" s="94" t="s">
        <v>25</v>
      </c>
      <c r="I134" s="95">
        <v>1</v>
      </c>
      <c r="J134" s="3"/>
      <c r="K134" s="174"/>
      <c r="L134" s="226"/>
      <c r="M134" s="30"/>
      <c r="N134" s="178">
        <f>I134*K134</f>
        <v>0</v>
      </c>
      <c r="O134" s="32"/>
      <c r="P134" s="96"/>
      <c r="Q134" s="30"/>
      <c r="R134" s="257">
        <f t="shared" si="13"/>
        <v>0</v>
      </c>
      <c r="S134" s="214"/>
      <c r="T134" s="214"/>
      <c r="U134" s="103"/>
      <c r="V134" s="104"/>
      <c r="W134" s="30"/>
      <c r="X134" s="102"/>
      <c r="Y134" s="103"/>
      <c r="Z134" s="103"/>
      <c r="AA134" s="103"/>
      <c r="AB134" s="104"/>
    </row>
    <row r="135" spans="3:28" ht="10" customHeight="1">
      <c r="C135" s="28"/>
      <c r="E135" s="107" t="s">
        <v>38</v>
      </c>
      <c r="F135" s="301" t="s">
        <v>74</v>
      </c>
      <c r="G135" s="184"/>
      <c r="H135" s="94" t="s">
        <v>18</v>
      </c>
      <c r="I135" s="95">
        <v>2</v>
      </c>
      <c r="J135" s="3"/>
      <c r="K135" s="174"/>
      <c r="L135" s="226"/>
      <c r="M135" s="30"/>
      <c r="N135" s="178">
        <f>I135*K135</f>
        <v>0</v>
      </c>
      <c r="O135" s="32"/>
      <c r="P135" s="96"/>
      <c r="Q135" s="30"/>
      <c r="R135" s="257">
        <f t="shared" si="13"/>
        <v>0</v>
      </c>
      <c r="S135" s="214"/>
      <c r="T135" s="214"/>
      <c r="U135" s="103"/>
      <c r="V135" s="104"/>
      <c r="W135" s="30"/>
      <c r="X135" s="102"/>
      <c r="Y135" s="103"/>
      <c r="Z135" s="103"/>
      <c r="AA135" s="103"/>
      <c r="AB135" s="104"/>
    </row>
    <row r="136" spans="3:28" ht="10" customHeight="1">
      <c r="C136" s="28"/>
      <c r="E136" s="107" t="s">
        <v>47</v>
      </c>
      <c r="F136" s="255"/>
      <c r="G136" s="184"/>
      <c r="H136" s="94" t="s">
        <v>25</v>
      </c>
      <c r="I136" s="43">
        <v>0.25</v>
      </c>
      <c r="J136" s="3"/>
      <c r="K136" s="174"/>
      <c r="L136" s="226"/>
      <c r="M136" s="30"/>
      <c r="N136" s="178">
        <f>I136*K136</f>
        <v>0</v>
      </c>
      <c r="O136" s="32"/>
      <c r="P136" s="96"/>
      <c r="Q136" s="30"/>
      <c r="R136" s="257">
        <f t="shared" si="13"/>
        <v>0</v>
      </c>
      <c r="S136" s="214"/>
      <c r="T136" s="214"/>
      <c r="U136" s="103"/>
      <c r="V136" s="104"/>
      <c r="W136" s="30"/>
      <c r="X136" s="102"/>
      <c r="Y136" s="103"/>
      <c r="Z136" s="103"/>
      <c r="AA136" s="103"/>
      <c r="AB136" s="104"/>
    </row>
    <row r="137" spans="3:28" ht="12" customHeight="1">
      <c r="C137" s="28"/>
      <c r="E137" s="188" t="s">
        <v>34</v>
      </c>
      <c r="F137" s="191"/>
      <c r="G137" s="184"/>
      <c r="H137" s="94"/>
      <c r="I137" s="43"/>
      <c r="J137" s="3"/>
      <c r="K137" s="174"/>
      <c r="L137" s="226"/>
      <c r="M137" s="30"/>
      <c r="N137" s="178"/>
      <c r="O137" s="32"/>
      <c r="P137" s="96"/>
      <c r="Q137" s="30"/>
      <c r="R137" s="257"/>
      <c r="S137" s="214"/>
      <c r="T137" s="214"/>
      <c r="U137" s="103"/>
      <c r="V137" s="104"/>
      <c r="W137" s="30"/>
      <c r="X137" s="102"/>
      <c r="Y137" s="103"/>
      <c r="Z137" s="103"/>
      <c r="AA137" s="103"/>
      <c r="AB137" s="104"/>
    </row>
    <row r="138" spans="3:28" ht="12" customHeight="1">
      <c r="C138" s="28"/>
      <c r="E138" s="107" t="s">
        <v>118</v>
      </c>
      <c r="F138" s="249" t="s">
        <v>136</v>
      </c>
      <c r="G138" s="184"/>
      <c r="H138" s="94" t="s">
        <v>18</v>
      </c>
      <c r="I138" s="43">
        <v>7</v>
      </c>
      <c r="J138" s="3"/>
      <c r="K138" s="174">
        <v>1</v>
      </c>
      <c r="L138" s="226"/>
      <c r="M138" s="30"/>
      <c r="N138" s="178">
        <f>I138*K138</f>
        <v>7</v>
      </c>
      <c r="O138" s="32"/>
      <c r="P138" s="96"/>
      <c r="Q138" s="30"/>
      <c r="R138" s="257">
        <f>0.1*N138</f>
        <v>0.70000000000000007</v>
      </c>
      <c r="S138" s="214">
        <f t="shared" ref="S138:S143" si="14">0.5*N138</f>
        <v>3.5</v>
      </c>
      <c r="T138" s="214">
        <f>0.4*N138</f>
        <v>2.8000000000000003</v>
      </c>
      <c r="U138" s="103"/>
      <c r="V138" s="104"/>
      <c r="W138" s="30"/>
      <c r="X138" s="102"/>
      <c r="Y138" s="103"/>
      <c r="Z138" s="103"/>
      <c r="AA138" s="103"/>
      <c r="AB138" s="104"/>
    </row>
    <row r="139" spans="3:28" ht="12" customHeight="1">
      <c r="C139" s="28"/>
      <c r="E139" s="107" t="s">
        <v>41</v>
      </c>
      <c r="F139" s="249" t="s">
        <v>122</v>
      </c>
      <c r="G139" s="184"/>
      <c r="H139" s="94" t="s">
        <v>18</v>
      </c>
      <c r="I139" s="43">
        <v>0.12</v>
      </c>
      <c r="J139" s="3"/>
      <c r="K139" s="200">
        <f>36*10</f>
        <v>360</v>
      </c>
      <c r="L139" s="230" t="s">
        <v>75</v>
      </c>
      <c r="M139" s="30"/>
      <c r="N139" s="177">
        <f>I139*K139</f>
        <v>43.199999999999996</v>
      </c>
      <c r="O139" s="32"/>
      <c r="P139" s="96"/>
      <c r="Q139" s="30"/>
      <c r="R139" s="257">
        <f t="shared" ref="R139:R143" si="15">0.1*N139</f>
        <v>4.3199999999999994</v>
      </c>
      <c r="S139" s="214">
        <f t="shared" si="14"/>
        <v>21.599999999999998</v>
      </c>
      <c r="T139" s="214">
        <f t="shared" ref="T139:T143" si="16">0.4*N139</f>
        <v>17.279999999999998</v>
      </c>
      <c r="U139" s="103"/>
      <c r="V139" s="104"/>
      <c r="W139" s="30"/>
      <c r="X139" s="102"/>
      <c r="Y139" s="103"/>
      <c r="Z139" s="103"/>
      <c r="AA139" s="103"/>
      <c r="AB139" s="104"/>
    </row>
    <row r="140" spans="3:28" ht="12" customHeight="1">
      <c r="C140" s="28"/>
      <c r="E140" s="107" t="s">
        <v>44</v>
      </c>
      <c r="F140" s="247" t="s">
        <v>46</v>
      </c>
      <c r="G140" s="184"/>
      <c r="H140" s="94" t="s">
        <v>18</v>
      </c>
      <c r="I140" s="43">
        <v>65</v>
      </c>
      <c r="J140" s="3"/>
      <c r="K140" s="174">
        <v>1</v>
      </c>
      <c r="L140" s="226"/>
      <c r="M140" s="30"/>
      <c r="N140" s="177">
        <f>I140*K140</f>
        <v>65</v>
      </c>
      <c r="O140" s="32"/>
      <c r="P140" s="96"/>
      <c r="Q140" s="30"/>
      <c r="R140" s="257">
        <f t="shared" si="15"/>
        <v>6.5</v>
      </c>
      <c r="S140" s="214">
        <f t="shared" si="14"/>
        <v>32.5</v>
      </c>
      <c r="T140" s="214">
        <f t="shared" si="16"/>
        <v>26</v>
      </c>
      <c r="U140" s="103"/>
      <c r="V140" s="104"/>
      <c r="W140" s="30"/>
      <c r="X140" s="102"/>
      <c r="Y140" s="103"/>
      <c r="Z140" s="103"/>
      <c r="AA140" s="103"/>
      <c r="AB140" s="104"/>
    </row>
    <row r="141" spans="3:28" ht="12" customHeight="1">
      <c r="C141" s="28"/>
      <c r="E141" s="107"/>
      <c r="F141" s="247" t="s">
        <v>45</v>
      </c>
      <c r="G141" s="184"/>
      <c r="H141" s="94" t="s">
        <v>18</v>
      </c>
      <c r="I141" s="43">
        <v>0.12</v>
      </c>
      <c r="J141" s="3"/>
      <c r="K141" s="200">
        <f>36*8</f>
        <v>288</v>
      </c>
      <c r="L141" s="230" t="s">
        <v>75</v>
      </c>
      <c r="M141" s="30"/>
      <c r="N141" s="177">
        <f>I141*K141</f>
        <v>34.56</v>
      </c>
      <c r="O141" s="32"/>
      <c r="P141" s="96"/>
      <c r="Q141" s="30"/>
      <c r="R141" s="257">
        <f t="shared" si="15"/>
        <v>3.4560000000000004</v>
      </c>
      <c r="S141" s="214">
        <f t="shared" si="14"/>
        <v>17.28</v>
      </c>
      <c r="T141" s="214">
        <f t="shared" si="16"/>
        <v>13.824000000000002</v>
      </c>
      <c r="U141" s="103"/>
      <c r="V141" s="104"/>
      <c r="W141" s="30"/>
      <c r="X141" s="102"/>
      <c r="Y141" s="103"/>
      <c r="Z141" s="103"/>
      <c r="AA141" s="103"/>
      <c r="AB141" s="104"/>
    </row>
    <row r="142" spans="3:28" ht="12" customHeight="1">
      <c r="C142" s="28"/>
      <c r="E142" s="107" t="s">
        <v>48</v>
      </c>
      <c r="F142" s="247" t="s">
        <v>57</v>
      </c>
      <c r="G142" s="184"/>
      <c r="H142" s="94"/>
      <c r="I142" s="43">
        <v>0.12</v>
      </c>
      <c r="J142" s="3"/>
      <c r="K142" s="200">
        <f>30*12</f>
        <v>360</v>
      </c>
      <c r="L142" s="230" t="s">
        <v>75</v>
      </c>
      <c r="M142" s="30"/>
      <c r="N142" s="177">
        <f>I142*K142</f>
        <v>43.199999999999996</v>
      </c>
      <c r="O142" s="32"/>
      <c r="P142" s="96"/>
      <c r="Q142" s="30"/>
      <c r="R142" s="257">
        <f t="shared" si="15"/>
        <v>4.3199999999999994</v>
      </c>
      <c r="S142" s="214">
        <f t="shared" si="14"/>
        <v>21.599999999999998</v>
      </c>
      <c r="T142" s="214">
        <f t="shared" si="16"/>
        <v>17.279999999999998</v>
      </c>
      <c r="U142" s="103"/>
      <c r="V142" s="104"/>
      <c r="W142" s="30"/>
      <c r="X142" s="102"/>
      <c r="Y142" s="103"/>
      <c r="Z142" s="103"/>
      <c r="AA142" s="103"/>
      <c r="AB142" s="104"/>
    </row>
    <row r="143" spans="3:28" ht="12" customHeight="1">
      <c r="C143" s="28"/>
      <c r="E143" s="189" t="s">
        <v>59</v>
      </c>
      <c r="F143" s="256" t="s">
        <v>139</v>
      </c>
      <c r="G143" s="190"/>
      <c r="H143" s="94"/>
      <c r="I143" s="43"/>
      <c r="J143" s="3"/>
      <c r="K143" s="175"/>
      <c r="L143" s="231"/>
      <c r="M143" s="30"/>
      <c r="N143" s="234">
        <f>SUM(N126:N142)*0.1</f>
        <v>21.093500000000002</v>
      </c>
      <c r="O143" s="32"/>
      <c r="P143" s="109"/>
      <c r="Q143" s="30"/>
      <c r="R143" s="258">
        <f t="shared" si="15"/>
        <v>2.1093500000000005</v>
      </c>
      <c r="S143" s="259">
        <f t="shared" si="14"/>
        <v>10.546750000000001</v>
      </c>
      <c r="T143" s="259">
        <f t="shared" si="16"/>
        <v>8.437400000000002</v>
      </c>
      <c r="U143" s="111"/>
      <c r="V143" s="112"/>
      <c r="W143" s="30"/>
      <c r="X143" s="110"/>
      <c r="Y143" s="111"/>
      <c r="Z143" s="111"/>
      <c r="AA143" s="111"/>
      <c r="AB143" s="112"/>
    </row>
    <row r="144" spans="3:28" ht="4" customHeight="1">
      <c r="E144" s="3"/>
      <c r="J144" s="3"/>
    </row>
    <row r="145" spans="2:28" ht="15" customHeight="1">
      <c r="F145" s="113" t="s">
        <v>19</v>
      </c>
      <c r="G145" s="114"/>
      <c r="H145" s="114"/>
      <c r="I145" s="85"/>
      <c r="K145" s="22"/>
      <c r="L145" s="207"/>
      <c r="M145" s="20"/>
      <c r="N145" s="179">
        <f>SUM(N126:N143)</f>
        <v>232.02850000000001</v>
      </c>
      <c r="O145" s="20"/>
      <c r="P145" s="22"/>
      <c r="Q145" s="20"/>
      <c r="R145" s="180">
        <f>SUM(R127:R143)</f>
        <v>21.405349999999999</v>
      </c>
      <c r="S145" s="181">
        <f>SUM(S127:S143)</f>
        <v>118.50174999999999</v>
      </c>
      <c r="T145" s="181">
        <f>SUM(T127:T143)</f>
        <v>85.621399999999994</v>
      </c>
      <c r="U145" s="182">
        <f>SUM(U127:U143)</f>
        <v>0</v>
      </c>
      <c r="V145" s="180">
        <f>SUM(V127:V143)</f>
        <v>0</v>
      </c>
      <c r="W145" s="115"/>
      <c r="X145" s="160">
        <f>SUM(X127:X143)</f>
        <v>0</v>
      </c>
      <c r="Y145" s="161">
        <f>SUM(Y127:Y143)</f>
        <v>0</v>
      </c>
      <c r="Z145" s="161">
        <f>SUM(Z127:Z143)</f>
        <v>0</v>
      </c>
      <c r="AA145" s="161">
        <f>SUM(AA127:AA143)</f>
        <v>0</v>
      </c>
      <c r="AB145" s="161">
        <f>SUM(AB127:AB143)</f>
        <v>0</v>
      </c>
    </row>
    <row r="146" spans="2:28" ht="10" customHeight="1">
      <c r="F146" s="192"/>
      <c r="G146" s="193"/>
      <c r="H146" s="193"/>
      <c r="I146" s="193"/>
      <c r="K146" s="168"/>
      <c r="L146" s="20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94"/>
      <c r="X146" s="195"/>
      <c r="Y146" s="195"/>
      <c r="Z146" s="195"/>
      <c r="AA146" s="195"/>
      <c r="AB146" s="195"/>
    </row>
    <row r="147" spans="2:28" ht="15" customHeight="1">
      <c r="B147" s="164" t="s">
        <v>31</v>
      </c>
      <c r="C147" s="6"/>
      <c r="E147" s="116" t="s">
        <v>20</v>
      </c>
    </row>
    <row r="148" spans="2:28" ht="15" customHeight="1">
      <c r="B148" s="6"/>
      <c r="C148" s="262" t="s">
        <v>6</v>
      </c>
      <c r="E148" s="277" t="s">
        <v>126</v>
      </c>
      <c r="F148" s="237"/>
      <c r="K148" s="333" t="s">
        <v>9</v>
      </c>
      <c r="L148" s="334"/>
      <c r="M148" s="334"/>
      <c r="N148" s="335"/>
      <c r="O148" s="24"/>
      <c r="P148" s="68" t="s">
        <v>10</v>
      </c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70"/>
    </row>
    <row r="149" spans="2:28" ht="15" customHeight="1">
      <c r="E149" s="26" t="s">
        <v>21</v>
      </c>
      <c r="F149" s="84" t="s">
        <v>22</v>
      </c>
      <c r="G149" s="85"/>
      <c r="H149" s="73" t="s">
        <v>4</v>
      </c>
      <c r="I149" s="75" t="s">
        <v>23</v>
      </c>
      <c r="K149" s="71"/>
      <c r="M149" s="24"/>
      <c r="N149" s="72" t="s">
        <v>11</v>
      </c>
      <c r="O149" s="24"/>
      <c r="P149" s="73">
        <v>2011</v>
      </c>
      <c r="Q149" s="74"/>
      <c r="R149" s="75">
        <f>P149+1</f>
        <v>2012</v>
      </c>
      <c r="S149" s="75">
        <f>R149+1</f>
        <v>2013</v>
      </c>
      <c r="T149" s="75">
        <f>S149+1</f>
        <v>2014</v>
      </c>
      <c r="U149" s="75">
        <f>T149+1</f>
        <v>2015</v>
      </c>
      <c r="V149" s="75">
        <f>U149+1</f>
        <v>2016</v>
      </c>
      <c r="W149" s="74"/>
      <c r="X149" s="76">
        <f>V149+1</f>
        <v>2017</v>
      </c>
      <c r="Y149" s="76">
        <f>X149+1</f>
        <v>2018</v>
      </c>
      <c r="Z149" s="76">
        <f>Y149+1</f>
        <v>2019</v>
      </c>
      <c r="AA149" s="76">
        <f>Z149+1</f>
        <v>2020</v>
      </c>
      <c r="AB149" s="76">
        <f>AA149+1</f>
        <v>2021</v>
      </c>
    </row>
    <row r="150" spans="2:28" ht="4" customHeight="1"/>
    <row r="151" spans="2:28" ht="12" customHeight="1">
      <c r="C151" s="28"/>
      <c r="E151" s="77" t="s">
        <v>3</v>
      </c>
      <c r="F151" s="197" t="s">
        <v>224</v>
      </c>
      <c r="G151" s="117"/>
      <c r="H151" s="73"/>
      <c r="I151" s="75"/>
      <c r="J151" s="3"/>
      <c r="K151" s="87"/>
      <c r="L151" s="204"/>
      <c r="M151" s="30"/>
      <c r="N151" s="176">
        <f>N122</f>
        <v>102.89999999999999</v>
      </c>
      <c r="O151" s="32"/>
      <c r="P151" s="88"/>
      <c r="Q151" s="30"/>
      <c r="R151" s="89">
        <f>R122</f>
        <v>0</v>
      </c>
      <c r="S151" s="89">
        <f>S122</f>
        <v>102.89999999999999</v>
      </c>
      <c r="T151" s="89">
        <f>T122</f>
        <v>0</v>
      </c>
      <c r="U151" s="89">
        <f>U122</f>
        <v>0</v>
      </c>
      <c r="V151" s="220">
        <f>V122</f>
        <v>0</v>
      </c>
      <c r="X151" s="199"/>
      <c r="Y151" s="118"/>
      <c r="Z151" s="118"/>
      <c r="AA151" s="118"/>
      <c r="AB151" s="119"/>
    </row>
    <row r="152" spans="2:28" ht="12" customHeight="1">
      <c r="C152" s="28"/>
      <c r="E152" s="105" t="s">
        <v>218</v>
      </c>
      <c r="F152" s="41" t="s">
        <v>221</v>
      </c>
      <c r="G152" s="100"/>
      <c r="H152" s="94"/>
      <c r="I152" s="43"/>
      <c r="J152" s="3"/>
      <c r="K152" s="101"/>
      <c r="L152" s="204"/>
      <c r="M152" s="30"/>
      <c r="N152" s="178">
        <f>N126</f>
        <v>6.5</v>
      </c>
      <c r="O152" s="32"/>
      <c r="P152" s="96"/>
      <c r="Q152" s="30"/>
      <c r="R152" s="157">
        <f>R126</f>
        <v>0</v>
      </c>
      <c r="S152" s="157">
        <f>S126</f>
        <v>6.5</v>
      </c>
      <c r="T152" s="157">
        <f t="shared" ref="T152:V152" si="17">T126</f>
        <v>0</v>
      </c>
      <c r="U152" s="157">
        <f t="shared" si="17"/>
        <v>0</v>
      </c>
      <c r="V152" s="157">
        <f t="shared" si="17"/>
        <v>0</v>
      </c>
      <c r="W152" s="30"/>
      <c r="X152" s="102"/>
      <c r="Y152" s="103"/>
      <c r="Z152" s="103"/>
      <c r="AA152" s="103"/>
      <c r="AB152" s="104"/>
    </row>
    <row r="153" spans="2:28" ht="12" customHeight="1">
      <c r="C153" s="28"/>
      <c r="E153" s="105" t="s">
        <v>29</v>
      </c>
      <c r="F153" s="41" t="s">
        <v>220</v>
      </c>
      <c r="G153" s="100"/>
      <c r="H153" s="94"/>
      <c r="I153" s="43"/>
      <c r="J153" s="3"/>
      <c r="K153" s="101"/>
      <c r="L153" s="204"/>
      <c r="M153" s="30"/>
      <c r="N153" s="178">
        <f>SUM(N127:N130)</f>
        <v>11.475</v>
      </c>
      <c r="O153" s="32"/>
      <c r="P153" s="96"/>
      <c r="Q153" s="30"/>
      <c r="R153" s="157">
        <f>SUM(R127:R130)</f>
        <v>0</v>
      </c>
      <c r="S153" s="157">
        <f t="shared" ref="S153:V153" si="18">SUM(S127:S130)</f>
        <v>11.475</v>
      </c>
      <c r="T153" s="157">
        <f>SUM(T127:T130)</f>
        <v>0</v>
      </c>
      <c r="U153" s="157">
        <f t="shared" si="18"/>
        <v>0</v>
      </c>
      <c r="V153" s="157">
        <f t="shared" si="18"/>
        <v>0</v>
      </c>
      <c r="W153" s="30"/>
      <c r="X153" s="102"/>
      <c r="Y153" s="103"/>
      <c r="Z153" s="103"/>
      <c r="AA153" s="103"/>
      <c r="AB153" s="104"/>
    </row>
    <row r="154" spans="2:28" ht="12" customHeight="1">
      <c r="C154" s="28"/>
      <c r="E154" s="105" t="s">
        <v>49</v>
      </c>
      <c r="F154" s="41" t="s">
        <v>50</v>
      </c>
      <c r="G154" s="100"/>
      <c r="H154" s="94"/>
      <c r="I154" s="43"/>
      <c r="J154" s="3"/>
      <c r="K154" s="101"/>
      <c r="L154" s="204"/>
      <c r="M154" s="30"/>
      <c r="N154" s="178">
        <f>SUM(N132:N136)</f>
        <v>0</v>
      </c>
      <c r="O154" s="32"/>
      <c r="P154" s="96"/>
      <c r="Q154" s="30"/>
      <c r="R154" s="178">
        <f>SUM(R132:R136)</f>
        <v>0</v>
      </c>
      <c r="S154" s="178">
        <f t="shared" ref="S154:V154" si="19">SUM(S132:S136)</f>
        <v>0</v>
      </c>
      <c r="T154" s="178">
        <f t="shared" si="19"/>
        <v>0</v>
      </c>
      <c r="U154" s="178">
        <f t="shared" si="19"/>
        <v>0</v>
      </c>
      <c r="V154" s="178">
        <f t="shared" si="19"/>
        <v>0</v>
      </c>
      <c r="W154" s="30"/>
      <c r="X154" s="102"/>
      <c r="Y154" s="103"/>
      <c r="Z154" s="103"/>
      <c r="AA154" s="103"/>
      <c r="AB154" s="104"/>
    </row>
    <row r="155" spans="2:28" ht="12" customHeight="1">
      <c r="C155" s="28"/>
      <c r="E155" s="105" t="s">
        <v>167</v>
      </c>
      <c r="F155" s="41" t="s">
        <v>51</v>
      </c>
      <c r="G155" s="100"/>
      <c r="H155" s="94"/>
      <c r="I155" s="43"/>
      <c r="J155" s="3"/>
      <c r="K155" s="101"/>
      <c r="L155" s="204"/>
      <c r="M155" s="30"/>
      <c r="N155" s="178">
        <f>SUM(N138:N139)</f>
        <v>50.199999999999996</v>
      </c>
      <c r="O155" s="32"/>
      <c r="P155" s="96"/>
      <c r="Q155" s="30"/>
      <c r="R155" s="178">
        <f>SUM(R138:R139)</f>
        <v>5.0199999999999996</v>
      </c>
      <c r="S155" s="178">
        <f t="shared" ref="S155:V155" si="20">SUM(S138:S139)</f>
        <v>25.099999999999998</v>
      </c>
      <c r="T155" s="178">
        <f t="shared" si="20"/>
        <v>20.079999999999998</v>
      </c>
      <c r="U155" s="178">
        <f t="shared" si="20"/>
        <v>0</v>
      </c>
      <c r="V155" s="178">
        <f t="shared" si="20"/>
        <v>0</v>
      </c>
      <c r="W155" s="30"/>
      <c r="X155" s="102"/>
      <c r="Y155" s="103"/>
      <c r="Z155" s="103"/>
      <c r="AA155" s="103"/>
      <c r="AB155" s="104"/>
    </row>
    <row r="156" spans="2:28" ht="12" customHeight="1">
      <c r="C156" s="28"/>
      <c r="E156" s="105" t="s">
        <v>53</v>
      </c>
      <c r="F156" s="41" t="s">
        <v>54</v>
      </c>
      <c r="G156" s="100"/>
      <c r="H156" s="94"/>
      <c r="I156" s="43"/>
      <c r="J156" s="3"/>
      <c r="K156" s="101"/>
      <c r="L156" s="204"/>
      <c r="M156" s="30"/>
      <c r="N156" s="178">
        <f>SUM(N140:N141)</f>
        <v>99.56</v>
      </c>
      <c r="O156" s="32"/>
      <c r="P156" s="96"/>
      <c r="Q156" s="30"/>
      <c r="R156" s="178">
        <f>SUM(R140:R141)</f>
        <v>9.9559999999999995</v>
      </c>
      <c r="S156" s="178">
        <f t="shared" ref="S156:V156" si="21">SUM(S140:S141)</f>
        <v>49.78</v>
      </c>
      <c r="T156" s="178">
        <f t="shared" si="21"/>
        <v>39.823999999999998</v>
      </c>
      <c r="U156" s="178">
        <f t="shared" si="21"/>
        <v>0</v>
      </c>
      <c r="V156" s="178">
        <f t="shared" si="21"/>
        <v>0</v>
      </c>
      <c r="W156" s="30"/>
      <c r="X156" s="102"/>
      <c r="Y156" s="103"/>
      <c r="Z156" s="103"/>
      <c r="AA156" s="103"/>
      <c r="AB156" s="104"/>
    </row>
    <row r="157" spans="2:28" ht="12" customHeight="1">
      <c r="C157" s="28"/>
      <c r="E157" s="105" t="s">
        <v>55</v>
      </c>
      <c r="F157" s="41" t="s">
        <v>165</v>
      </c>
      <c r="G157" s="100"/>
      <c r="H157" s="94"/>
      <c r="I157" s="43"/>
      <c r="J157" s="3"/>
      <c r="K157" s="101"/>
      <c r="L157" s="204"/>
      <c r="M157" s="30"/>
      <c r="N157" s="178">
        <f>SUM(N142:N142)</f>
        <v>43.199999999999996</v>
      </c>
      <c r="O157" s="32"/>
      <c r="P157" s="96"/>
      <c r="Q157" s="30"/>
      <c r="R157" s="178">
        <f>SUM(R142:R142)</f>
        <v>4.3199999999999994</v>
      </c>
      <c r="S157" s="178">
        <f>SUM(S142:S142)</f>
        <v>21.599999999999998</v>
      </c>
      <c r="T157" s="178">
        <f>SUM(T142:T142)</f>
        <v>17.279999999999998</v>
      </c>
      <c r="U157" s="178">
        <f>SUM(U142:U142)</f>
        <v>0</v>
      </c>
      <c r="V157" s="178">
        <f>SUM(V142:V142)</f>
        <v>0</v>
      </c>
      <c r="W157" s="30"/>
      <c r="X157" s="102"/>
      <c r="Y157" s="103"/>
      <c r="Z157" s="103"/>
      <c r="AA157" s="103"/>
      <c r="AB157" s="104"/>
    </row>
    <row r="158" spans="2:28" ht="12" customHeight="1">
      <c r="C158" s="28"/>
      <c r="E158" s="108" t="s">
        <v>59</v>
      </c>
      <c r="F158" s="256" t="s">
        <v>139</v>
      </c>
      <c r="G158" s="120"/>
      <c r="H158" s="94"/>
      <c r="I158" s="43"/>
      <c r="J158" s="3"/>
      <c r="K158" s="121"/>
      <c r="L158" s="204"/>
      <c r="M158" s="30"/>
      <c r="N158" s="234">
        <f>N143</f>
        <v>21.093500000000002</v>
      </c>
      <c r="O158" s="32"/>
      <c r="P158" s="109"/>
      <c r="Q158" s="30"/>
      <c r="R158" s="163">
        <f t="shared" ref="R158:V158" si="22">R143</f>
        <v>2.1093500000000005</v>
      </c>
      <c r="S158" s="163">
        <f t="shared" si="22"/>
        <v>10.546750000000001</v>
      </c>
      <c r="T158" s="163">
        <f t="shared" si="22"/>
        <v>8.437400000000002</v>
      </c>
      <c r="U158" s="163">
        <f t="shared" si="22"/>
        <v>0</v>
      </c>
      <c r="V158" s="163">
        <f t="shared" si="22"/>
        <v>0</v>
      </c>
      <c r="W158" s="30"/>
      <c r="X158" s="218"/>
      <c r="Y158" s="111"/>
      <c r="Z158" s="111"/>
      <c r="AA158" s="111"/>
      <c r="AB158" s="112"/>
    </row>
    <row r="159" spans="2:28" ht="4" customHeight="1">
      <c r="E159" s="3"/>
      <c r="J159" s="3"/>
    </row>
    <row r="160" spans="2:28" ht="15" customHeight="1">
      <c r="F160" s="122" t="s">
        <v>24</v>
      </c>
      <c r="G160" s="114"/>
      <c r="H160" s="114"/>
      <c r="I160" s="85"/>
      <c r="K160" s="22"/>
      <c r="L160" s="207"/>
      <c r="M160" s="20"/>
      <c r="N160" s="162">
        <f>SUM(N151:N158)</f>
        <v>334.92849999999999</v>
      </c>
      <c r="O160" s="20"/>
      <c r="P160" s="22"/>
      <c r="Q160" s="20"/>
      <c r="R160" s="198">
        <f>SUM(R151:R158)</f>
        <v>21.405349999999999</v>
      </c>
      <c r="S160" s="198">
        <f>SUM(S151:S158)</f>
        <v>227.90174999999999</v>
      </c>
      <c r="T160" s="198">
        <f>SUM(T151:T158)</f>
        <v>85.621399999999994</v>
      </c>
      <c r="U160" s="198">
        <f>SUM(U151:U158)</f>
        <v>0</v>
      </c>
      <c r="V160" s="198">
        <f>SUM(V151:V158)</f>
        <v>0</v>
      </c>
      <c r="W160" s="115"/>
      <c r="X160" s="160">
        <f>SUM(X151:X158)</f>
        <v>0</v>
      </c>
      <c r="Y160" s="160">
        <f>SUM(Y151:Y158)</f>
        <v>0</v>
      </c>
      <c r="Z160" s="160">
        <f>SUM(Z151:Z158)</f>
        <v>0</v>
      </c>
      <c r="AA160" s="160">
        <f>SUM(AA151:AA158)</f>
        <v>0</v>
      </c>
      <c r="AB160" s="160">
        <f>SUM(AB151:AB158)</f>
        <v>0</v>
      </c>
    </row>
    <row r="161" spans="2:29" ht="10" customHeight="1"/>
    <row r="162" spans="2:29" ht="12" customHeight="1" thickBot="1"/>
    <row r="163" spans="2:29" ht="18" customHeight="1" thickBot="1">
      <c r="B163" s="315" t="s">
        <v>227</v>
      </c>
      <c r="C163" s="316"/>
      <c r="D163" s="316"/>
      <c r="E163" s="316"/>
      <c r="F163" s="316"/>
      <c r="G163" s="316"/>
      <c r="H163" s="316"/>
      <c r="I163" s="316"/>
      <c r="J163" s="316"/>
      <c r="K163" s="316"/>
      <c r="L163" s="316"/>
      <c r="M163" s="316"/>
      <c r="N163" s="316"/>
      <c r="O163" s="316"/>
      <c r="P163" s="316"/>
      <c r="Q163" s="316"/>
      <c r="R163" s="316"/>
      <c r="S163" s="316"/>
      <c r="T163" s="316"/>
      <c r="U163" s="316"/>
      <c r="V163" s="316"/>
      <c r="W163" s="316"/>
      <c r="X163" s="316"/>
      <c r="Y163" s="316"/>
      <c r="Z163" s="316"/>
      <c r="AA163" s="316"/>
      <c r="AB163" s="317"/>
    </row>
    <row r="164" spans="2:29" ht="10" customHeight="1" thickBot="1"/>
    <row r="165" spans="2:29" ht="15" customHeight="1" thickBot="1">
      <c r="B165" s="164" t="s">
        <v>79</v>
      </c>
      <c r="C165" s="6"/>
      <c r="D165" s="132"/>
      <c r="E165" s="252" t="s">
        <v>80</v>
      </c>
      <c r="F165" s="7"/>
      <c r="G165" s="8"/>
    </row>
    <row r="166" spans="2:29" ht="36" customHeight="1">
      <c r="B166" s="6"/>
      <c r="C166" s="9"/>
      <c r="D166" s="130"/>
      <c r="E166" s="263" t="s">
        <v>144</v>
      </c>
      <c r="F166" s="272" t="s">
        <v>145</v>
      </c>
      <c r="G166" s="11"/>
    </row>
    <row r="167" spans="2:29" ht="12" customHeight="1">
      <c r="B167" s="6"/>
      <c r="C167" s="6"/>
      <c r="D167" s="132"/>
      <c r="E167" s="12"/>
      <c r="F167" s="26" t="s">
        <v>160</v>
      </c>
      <c r="G167" s="11"/>
    </row>
    <row r="168" spans="2:29" ht="12" customHeight="1">
      <c r="B168" s="6"/>
      <c r="C168" s="6"/>
      <c r="D168" s="132"/>
      <c r="E168" s="12"/>
      <c r="F168" s="273" t="s">
        <v>7</v>
      </c>
      <c r="G168" s="14">
        <v>2014</v>
      </c>
      <c r="P168" s="137">
        <v>2011</v>
      </c>
      <c r="Q168" s="138"/>
      <c r="R168" s="137">
        <f>P168+1</f>
        <v>2012</v>
      </c>
      <c r="S168" s="137">
        <f>R168+1</f>
        <v>2013</v>
      </c>
      <c r="T168" s="137">
        <f>S168+1</f>
        <v>2014</v>
      </c>
      <c r="U168" s="137">
        <f>T168+1</f>
        <v>2015</v>
      </c>
      <c r="V168" s="137">
        <f>U168+1</f>
        <v>2016</v>
      </c>
      <c r="W168" s="138"/>
      <c r="X168" s="139">
        <f>V168+1</f>
        <v>2017</v>
      </c>
      <c r="Y168" s="139">
        <f>X168+1</f>
        <v>2018</v>
      </c>
      <c r="Z168" s="139">
        <f>Y168+1</f>
        <v>2019</v>
      </c>
      <c r="AA168" s="139">
        <f>Z168+1</f>
        <v>2020</v>
      </c>
      <c r="AB168" s="139">
        <f>AA168+1</f>
        <v>2021</v>
      </c>
    </row>
    <row r="169" spans="2:29" ht="12" customHeight="1">
      <c r="F169" s="1"/>
      <c r="G169" s="209" t="s">
        <v>68</v>
      </c>
      <c r="H169" s="18"/>
      <c r="I169" s="18"/>
      <c r="K169" s="19"/>
      <c r="L169" s="203"/>
      <c r="M169" s="20"/>
      <c r="N169" s="21" t="s">
        <v>0</v>
      </c>
      <c r="O169" s="20"/>
      <c r="P169" s="22"/>
      <c r="Q169" s="20"/>
      <c r="R169" s="140"/>
      <c r="S169" s="141"/>
      <c r="T169" s="142">
        <v>23.7</v>
      </c>
      <c r="U169" s="140">
        <v>33.799999999999997</v>
      </c>
      <c r="V169" s="143">
        <v>30.5</v>
      </c>
      <c r="W169" s="23"/>
      <c r="X169" s="144">
        <v>28.3</v>
      </c>
      <c r="Y169" s="144">
        <v>25.700000000000003</v>
      </c>
      <c r="Z169" s="144">
        <v>19.100000000000001</v>
      </c>
      <c r="AA169" s="144">
        <v>15.1</v>
      </c>
      <c r="AB169" s="144">
        <v>15.1</v>
      </c>
    </row>
    <row r="170" spans="2:29" ht="12" customHeight="1">
      <c r="F170" s="1"/>
      <c r="G170" s="210" t="s">
        <v>69</v>
      </c>
      <c r="H170" s="18"/>
      <c r="I170" s="18"/>
      <c r="K170" s="19"/>
      <c r="L170" s="203"/>
      <c r="M170" s="20"/>
      <c r="N170" s="21" t="s">
        <v>1</v>
      </c>
      <c r="O170" s="20"/>
      <c r="P170" s="22"/>
      <c r="Q170" s="20"/>
      <c r="R170" s="140"/>
      <c r="S170" s="141"/>
      <c r="T170" s="142">
        <v>11.600000000000001</v>
      </c>
      <c r="U170" s="140">
        <v>16.600000000000001</v>
      </c>
      <c r="V170" s="143">
        <v>15.899999999999999</v>
      </c>
      <c r="W170" s="23"/>
      <c r="X170" s="144">
        <v>15.1</v>
      </c>
      <c r="Y170" s="144">
        <v>14.100000000000001</v>
      </c>
      <c r="Z170" s="144">
        <v>10.600000000000001</v>
      </c>
      <c r="AA170" s="144">
        <v>7.9</v>
      </c>
      <c r="AB170" s="144">
        <v>7.9</v>
      </c>
    </row>
    <row r="171" spans="2:29" ht="10" customHeight="1">
      <c r="F171" s="1"/>
      <c r="G171" s="165"/>
      <c r="H171" s="166"/>
      <c r="I171" s="166"/>
      <c r="K171" s="167"/>
      <c r="L171" s="204"/>
      <c r="M171" s="168"/>
      <c r="N171" s="169"/>
      <c r="O171" s="168"/>
      <c r="P171" s="168"/>
      <c r="Q171" s="168"/>
      <c r="R171" s="170"/>
      <c r="S171" s="170"/>
      <c r="T171" s="170"/>
      <c r="U171" s="170"/>
      <c r="V171" s="170"/>
      <c r="W171" s="171"/>
      <c r="X171" s="172"/>
      <c r="Y171" s="172"/>
      <c r="Z171" s="172"/>
      <c r="AA171" s="172"/>
      <c r="AB171" s="172"/>
    </row>
    <row r="172" spans="2:29" ht="12" customHeight="1">
      <c r="E172" s="26" t="s">
        <v>8</v>
      </c>
      <c r="F172" s="27" t="s">
        <v>27</v>
      </c>
      <c r="O172" s="24"/>
      <c r="P172" s="134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6"/>
    </row>
    <row r="173" spans="2:29" ht="12" customHeight="1">
      <c r="C173" s="25"/>
      <c r="F173" s="1"/>
      <c r="G173" s="5"/>
      <c r="O173" s="24"/>
      <c r="P173" s="15">
        <v>2011</v>
      </c>
      <c r="Q173" s="16"/>
      <c r="R173" s="16">
        <f>P173+1</f>
        <v>2012</v>
      </c>
      <c r="S173" s="16">
        <f>R173+1</f>
        <v>2013</v>
      </c>
      <c r="T173" s="16">
        <f>S173+1</f>
        <v>2014</v>
      </c>
      <c r="U173" s="16">
        <f>T173+1</f>
        <v>2015</v>
      </c>
      <c r="V173" s="16">
        <f>U173+1</f>
        <v>2016</v>
      </c>
      <c r="W173" s="16"/>
      <c r="X173" s="17">
        <f>V173+1</f>
        <v>2017</v>
      </c>
      <c r="Y173" s="17">
        <f>X173+1</f>
        <v>2018</v>
      </c>
      <c r="Z173" s="17">
        <f>Y173+1</f>
        <v>2019</v>
      </c>
      <c r="AA173" s="17">
        <f>Z173+1</f>
        <v>2020</v>
      </c>
      <c r="AB173" s="17">
        <f>AA173+1</f>
        <v>2021</v>
      </c>
      <c r="AC173" s="24"/>
    </row>
    <row r="174" spans="2:29" ht="4" customHeight="1"/>
    <row r="175" spans="2:29" ht="12" customHeight="1">
      <c r="D175" s="242">
        <v>1</v>
      </c>
      <c r="E175" s="125" t="s">
        <v>209</v>
      </c>
      <c r="F175" s="125" t="s">
        <v>210</v>
      </c>
      <c r="G175" s="145"/>
      <c r="H175" s="150"/>
      <c r="I175" s="151"/>
      <c r="J175" s="3"/>
      <c r="K175" s="295">
        <v>4</v>
      </c>
      <c r="L175" s="201"/>
      <c r="M175" s="30"/>
      <c r="N175" s="87"/>
      <c r="O175" s="32"/>
      <c r="P175" s="33"/>
      <c r="Q175" s="30"/>
      <c r="R175" s="34"/>
      <c r="S175" s="35">
        <f>K175</f>
        <v>4</v>
      </c>
      <c r="T175" s="35"/>
      <c r="U175" s="35"/>
      <c r="V175" s="36"/>
      <c r="W175" s="30"/>
      <c r="X175" s="37"/>
      <c r="Y175" s="38"/>
      <c r="Z175" s="38"/>
      <c r="AA175" s="38"/>
      <c r="AB175" s="39"/>
    </row>
    <row r="176" spans="2:29" ht="12" customHeight="1">
      <c r="D176" s="243">
        <v>2</v>
      </c>
      <c r="E176" s="126" t="s">
        <v>222</v>
      </c>
      <c r="F176" s="126" t="s">
        <v>223</v>
      </c>
      <c r="G176" s="146"/>
      <c r="H176" s="152"/>
      <c r="I176" s="153"/>
      <c r="J176" s="3"/>
      <c r="K176" s="296">
        <v>2</v>
      </c>
      <c r="L176" s="201"/>
      <c r="M176" s="30"/>
      <c r="N176" s="101"/>
      <c r="O176" s="32"/>
      <c r="P176" s="45"/>
      <c r="Q176" s="30"/>
      <c r="R176" s="46"/>
      <c r="S176" s="47">
        <f>K176</f>
        <v>2</v>
      </c>
      <c r="T176" s="47"/>
      <c r="U176" s="47"/>
      <c r="V176" s="48"/>
      <c r="W176" s="30"/>
      <c r="X176" s="49"/>
      <c r="Y176" s="50"/>
      <c r="Z176" s="50"/>
      <c r="AA176" s="50"/>
      <c r="AB176" s="51"/>
    </row>
    <row r="177" spans="2:28" ht="12" customHeight="1">
      <c r="D177" s="243">
        <v>3</v>
      </c>
      <c r="E177" s="126" t="s">
        <v>211</v>
      </c>
      <c r="F177" s="126" t="s">
        <v>26</v>
      </c>
      <c r="G177" s="146"/>
      <c r="H177" s="152"/>
      <c r="I177" s="153"/>
      <c r="J177" s="3"/>
      <c r="K177" s="44">
        <v>2</v>
      </c>
      <c r="L177" s="201"/>
      <c r="M177" s="30"/>
      <c r="N177" s="53"/>
      <c r="O177" s="32"/>
      <c r="P177" s="45"/>
      <c r="Q177" s="30"/>
      <c r="R177" s="46"/>
      <c r="S177" s="47">
        <f t="shared" ref="S177" si="23">K177</f>
        <v>2</v>
      </c>
      <c r="T177" s="47"/>
      <c r="U177" s="47"/>
      <c r="V177" s="48"/>
      <c r="W177" s="30"/>
      <c r="X177" s="49"/>
      <c r="Y177" s="50"/>
      <c r="Z177" s="50"/>
      <c r="AA177" s="50"/>
      <c r="AB177" s="51"/>
    </row>
    <row r="178" spans="2:28" ht="12" customHeight="1">
      <c r="D178" s="244">
        <v>4</v>
      </c>
      <c r="E178" s="127" t="s">
        <v>212</v>
      </c>
      <c r="F178" s="127" t="s">
        <v>26</v>
      </c>
      <c r="G178" s="147"/>
      <c r="H178" s="154"/>
      <c r="I178" s="155"/>
      <c r="J178" s="3"/>
      <c r="K178" s="297">
        <v>4</v>
      </c>
      <c r="L178" s="201"/>
      <c r="M178" s="30"/>
      <c r="N178" s="53"/>
      <c r="O178" s="32"/>
      <c r="P178" s="45"/>
      <c r="Q178" s="30"/>
      <c r="R178" s="46"/>
      <c r="S178" s="47">
        <f>K178</f>
        <v>4</v>
      </c>
      <c r="T178" s="47"/>
      <c r="U178" s="47"/>
      <c r="V178" s="48"/>
      <c r="W178" s="30"/>
      <c r="X178" s="49"/>
      <c r="Y178" s="50"/>
      <c r="Z178" s="50"/>
      <c r="AA178" s="50"/>
      <c r="AB178" s="51"/>
    </row>
    <row r="179" spans="2:28" s="67" customFormat="1" ht="15" customHeight="1">
      <c r="B179" s="54"/>
      <c r="C179" s="55"/>
      <c r="D179" s="133"/>
      <c r="E179" s="124"/>
      <c r="F179" s="128" t="s">
        <v>2</v>
      </c>
      <c r="G179" s="129"/>
      <c r="H179" s="148"/>
      <c r="I179" s="149"/>
      <c r="J179" s="61"/>
      <c r="K179" s="29">
        <f>SUM(K175:K178)</f>
        <v>12</v>
      </c>
      <c r="L179" s="205"/>
      <c r="M179" s="62"/>
      <c r="N179" s="31"/>
      <c r="O179" s="61"/>
      <c r="P179" s="63"/>
      <c r="Q179" s="62"/>
      <c r="R179" s="64">
        <f>SUM(R175:R178)</f>
        <v>0</v>
      </c>
      <c r="S179" s="64">
        <f>SUM(S175:S178)</f>
        <v>12</v>
      </c>
      <c r="T179" s="64">
        <f>SUM(T175:T178)</f>
        <v>0</v>
      </c>
      <c r="U179" s="64">
        <f>SUM(U175:U178)</f>
        <v>0</v>
      </c>
      <c r="V179" s="64">
        <f>SUM(V175:V178)</f>
        <v>0</v>
      </c>
      <c r="W179" s="62"/>
      <c r="X179" s="65"/>
      <c r="Y179" s="59"/>
      <c r="Z179" s="59"/>
      <c r="AA179" s="59"/>
      <c r="AB179" s="66"/>
    </row>
    <row r="180" spans="2:28" ht="9" customHeight="1"/>
    <row r="181" spans="2:28" ht="14.15" customHeight="1">
      <c r="L181" s="1"/>
      <c r="O181" s="24"/>
      <c r="P181" s="84" t="s">
        <v>10</v>
      </c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  <c r="AB181" s="222"/>
    </row>
    <row r="182" spans="2:28" ht="15" customHeight="1">
      <c r="E182" s="26" t="s">
        <v>28</v>
      </c>
      <c r="K182" s="137" t="s">
        <v>67</v>
      </c>
      <c r="L182" s="211" t="s">
        <v>66</v>
      </c>
      <c r="M182" s="24"/>
      <c r="N182" s="212" t="s">
        <v>11</v>
      </c>
      <c r="O182" s="24"/>
      <c r="P182" s="137">
        <v>2011</v>
      </c>
      <c r="Q182" s="5"/>
      <c r="R182" s="137">
        <f>P182+1</f>
        <v>2012</v>
      </c>
      <c r="S182" s="137">
        <f>R182+1</f>
        <v>2013</v>
      </c>
      <c r="T182" s="137">
        <f>S182+1</f>
        <v>2014</v>
      </c>
      <c r="U182" s="137">
        <f>T182+1</f>
        <v>2015</v>
      </c>
      <c r="V182" s="137">
        <f>U182+1</f>
        <v>2016</v>
      </c>
      <c r="W182" s="5"/>
      <c r="X182" s="139">
        <f>V182+1</f>
        <v>2017</v>
      </c>
      <c r="Y182" s="139">
        <f>X182+1</f>
        <v>2018</v>
      </c>
      <c r="Z182" s="139">
        <f>Y182+1</f>
        <v>2019</v>
      </c>
      <c r="AA182" s="139">
        <f>Z182+1</f>
        <v>2020</v>
      </c>
      <c r="AB182" s="139">
        <f>AA182+1</f>
        <v>2021</v>
      </c>
    </row>
    <row r="183" spans="2:28" ht="4.5" customHeight="1"/>
    <row r="184" spans="2:28" ht="12" customHeight="1">
      <c r="D184" s="242">
        <v>1</v>
      </c>
      <c r="E184" s="125" t="s">
        <v>209</v>
      </c>
      <c r="F184" s="125" t="s">
        <v>213</v>
      </c>
      <c r="G184" s="299">
        <f>(3*1+2.5)/4</f>
        <v>1.375</v>
      </c>
      <c r="H184" s="78" t="s">
        <v>12</v>
      </c>
      <c r="I184" s="79" t="s">
        <v>13</v>
      </c>
      <c r="J184" s="3"/>
      <c r="K184" s="80">
        <f>K175</f>
        <v>4</v>
      </c>
      <c r="L184" s="225" t="s">
        <v>13</v>
      </c>
      <c r="M184" s="30"/>
      <c r="N184" s="156">
        <f>G184*K184</f>
        <v>5.5</v>
      </c>
      <c r="O184" s="32"/>
      <c r="P184" s="33"/>
      <c r="Q184" s="30"/>
      <c r="R184" s="81">
        <f t="shared" ref="R184:V187" si="24">$G184*R175</f>
        <v>0</v>
      </c>
      <c r="S184" s="81">
        <f t="shared" si="24"/>
        <v>5.5</v>
      </c>
      <c r="T184" s="81">
        <f t="shared" si="24"/>
        <v>0</v>
      </c>
      <c r="U184" s="81">
        <f t="shared" si="24"/>
        <v>0</v>
      </c>
      <c r="V184" s="81">
        <f t="shared" si="24"/>
        <v>0</v>
      </c>
      <c r="W184" s="30"/>
      <c r="X184" s="37"/>
      <c r="Y184" s="38"/>
      <c r="Z184" s="38"/>
      <c r="AA184" s="38"/>
      <c r="AB184" s="39"/>
    </row>
    <row r="185" spans="2:28" ht="12" customHeight="1">
      <c r="D185" s="243">
        <v>2</v>
      </c>
      <c r="E185" s="126" t="s">
        <v>222</v>
      </c>
      <c r="F185" s="126" t="s">
        <v>214</v>
      </c>
      <c r="G185" s="300">
        <f>(2.3+2.7)/2</f>
        <v>2.5</v>
      </c>
      <c r="H185" s="42" t="s">
        <v>12</v>
      </c>
      <c r="I185" s="43" t="s">
        <v>13</v>
      </c>
      <c r="J185" s="3"/>
      <c r="K185" s="52">
        <f>K176</f>
        <v>2</v>
      </c>
      <c r="L185" s="226" t="s">
        <v>13</v>
      </c>
      <c r="M185" s="30"/>
      <c r="N185" s="157">
        <f>G185*K185</f>
        <v>5</v>
      </c>
      <c r="O185" s="32"/>
      <c r="P185" s="45"/>
      <c r="Q185" s="30"/>
      <c r="R185" s="81">
        <f t="shared" si="24"/>
        <v>0</v>
      </c>
      <c r="S185" s="81">
        <f t="shared" si="24"/>
        <v>5</v>
      </c>
      <c r="T185" s="81">
        <f t="shared" si="24"/>
        <v>0</v>
      </c>
      <c r="U185" s="81">
        <f t="shared" si="24"/>
        <v>0</v>
      </c>
      <c r="V185" s="81">
        <f t="shared" si="24"/>
        <v>0</v>
      </c>
      <c r="W185" s="30"/>
      <c r="X185" s="49"/>
      <c r="Y185" s="50"/>
      <c r="Z185" s="50"/>
      <c r="AA185" s="50"/>
      <c r="AB185" s="51"/>
    </row>
    <row r="186" spans="2:28" ht="12" customHeight="1">
      <c r="D186" s="243">
        <v>3</v>
      </c>
      <c r="E186" s="126" t="s">
        <v>211</v>
      </c>
      <c r="F186" s="126" t="s">
        <v>26</v>
      </c>
      <c r="G186" s="300">
        <f>(17.5+22)/2</f>
        <v>19.75</v>
      </c>
      <c r="H186" s="42" t="s">
        <v>12</v>
      </c>
      <c r="I186" s="43" t="s">
        <v>13</v>
      </c>
      <c r="J186" s="3"/>
      <c r="K186" s="52">
        <f>K177</f>
        <v>2</v>
      </c>
      <c r="L186" s="226" t="s">
        <v>13</v>
      </c>
      <c r="M186" s="30"/>
      <c r="N186" s="157">
        <f>G186*K186</f>
        <v>39.5</v>
      </c>
      <c r="O186" s="32"/>
      <c r="P186" s="45"/>
      <c r="Q186" s="30"/>
      <c r="R186" s="81">
        <f t="shared" si="24"/>
        <v>0</v>
      </c>
      <c r="S186" s="81">
        <f t="shared" si="24"/>
        <v>39.5</v>
      </c>
      <c r="T186" s="81">
        <f t="shared" si="24"/>
        <v>0</v>
      </c>
      <c r="U186" s="81">
        <f t="shared" si="24"/>
        <v>0</v>
      </c>
      <c r="V186" s="81">
        <f t="shared" si="24"/>
        <v>0</v>
      </c>
      <c r="W186" s="30"/>
      <c r="X186" s="49"/>
      <c r="Y186" s="50"/>
      <c r="Z186" s="50"/>
      <c r="AA186" s="50"/>
      <c r="AB186" s="51"/>
    </row>
    <row r="187" spans="2:28" ht="12" customHeight="1">
      <c r="D187" s="244">
        <v>4</v>
      </c>
      <c r="E187" s="127" t="s">
        <v>212</v>
      </c>
      <c r="F187" s="127" t="s">
        <v>26</v>
      </c>
      <c r="G187" s="300">
        <f>(3*13.7+11.8)/4</f>
        <v>13.224999999999998</v>
      </c>
      <c r="H187" s="42" t="s">
        <v>12</v>
      </c>
      <c r="I187" s="43" t="s">
        <v>13</v>
      </c>
      <c r="J187" s="3"/>
      <c r="K187" s="52">
        <f>K178</f>
        <v>4</v>
      </c>
      <c r="L187" s="227" t="s">
        <v>13</v>
      </c>
      <c r="M187" s="30"/>
      <c r="N187" s="157">
        <f>G187*K187</f>
        <v>52.899999999999991</v>
      </c>
      <c r="O187" s="32"/>
      <c r="P187" s="45"/>
      <c r="Q187" s="30"/>
      <c r="R187" s="81">
        <f t="shared" si="24"/>
        <v>0</v>
      </c>
      <c r="S187" s="81">
        <f t="shared" si="24"/>
        <v>52.899999999999991</v>
      </c>
      <c r="T187" s="81">
        <f t="shared" si="24"/>
        <v>0</v>
      </c>
      <c r="U187" s="81">
        <f t="shared" si="24"/>
        <v>0</v>
      </c>
      <c r="V187" s="81">
        <f t="shared" si="24"/>
        <v>0</v>
      </c>
      <c r="W187" s="30"/>
      <c r="X187" s="49"/>
      <c r="Y187" s="50"/>
      <c r="Z187" s="50"/>
      <c r="AA187" s="50"/>
      <c r="AB187" s="51"/>
    </row>
    <row r="188" spans="2:28" s="67" customFormat="1" ht="15" customHeight="1">
      <c r="B188" s="54"/>
      <c r="C188" s="55"/>
      <c r="D188" s="133"/>
      <c r="E188" s="56"/>
      <c r="F188" s="57" t="s">
        <v>14</v>
      </c>
      <c r="G188" s="58"/>
      <c r="H188" s="59"/>
      <c r="I188" s="60"/>
      <c r="J188" s="61"/>
      <c r="K188" s="82"/>
      <c r="L188" s="206"/>
      <c r="M188" s="62"/>
      <c r="N188" s="180">
        <f>SUM(N184:N187)</f>
        <v>102.89999999999999</v>
      </c>
      <c r="O188" s="61"/>
      <c r="P188" s="63"/>
      <c r="Q188" s="62"/>
      <c r="R188" s="83">
        <f>SUM(R184:R187)</f>
        <v>0</v>
      </c>
      <c r="S188" s="83">
        <f>SUM(S184:S187)</f>
        <v>102.89999999999999</v>
      </c>
      <c r="T188" s="83">
        <f>SUM(T184:T187)</f>
        <v>0</v>
      </c>
      <c r="U188" s="83">
        <f>SUM(U184:U187)</f>
        <v>0</v>
      </c>
      <c r="V188" s="278">
        <f>SUM(V184:V187)</f>
        <v>0</v>
      </c>
      <c r="W188" s="62"/>
      <c r="X188" s="65"/>
      <c r="Y188" s="59"/>
      <c r="Z188" s="59"/>
      <c r="AA188" s="59"/>
      <c r="AB188" s="66"/>
    </row>
    <row r="189" spans="2:28" ht="5.15" customHeight="1"/>
    <row r="190" spans="2:28" ht="20.149999999999999" customHeight="1">
      <c r="E190" s="26" t="s">
        <v>15</v>
      </c>
      <c r="F190" s="84" t="s">
        <v>16</v>
      </c>
      <c r="G190" s="85"/>
      <c r="H190" s="215" t="s">
        <v>4</v>
      </c>
      <c r="I190" s="232" t="s">
        <v>76</v>
      </c>
      <c r="K190" s="137" t="s">
        <v>67</v>
      </c>
      <c r="L190" s="211" t="s">
        <v>66</v>
      </c>
      <c r="N190" s="212" t="s">
        <v>11</v>
      </c>
      <c r="P190" s="73">
        <v>2011</v>
      </c>
      <c r="Q190" s="74"/>
      <c r="R190" s="75">
        <f>P190+1</f>
        <v>2012</v>
      </c>
      <c r="S190" s="75">
        <f>R190+1</f>
        <v>2013</v>
      </c>
      <c r="T190" s="75">
        <f>S190+1</f>
        <v>2014</v>
      </c>
      <c r="U190" s="75">
        <f>T190+1</f>
        <v>2015</v>
      </c>
      <c r="V190" s="75">
        <f>U190+1</f>
        <v>2016</v>
      </c>
      <c r="W190" s="74"/>
      <c r="X190" s="76">
        <f>V190+1</f>
        <v>2017</v>
      </c>
      <c r="Y190" s="76">
        <f>X190+1</f>
        <v>2018</v>
      </c>
      <c r="Z190" s="76">
        <f>Y190+1</f>
        <v>2019</v>
      </c>
      <c r="AA190" s="76">
        <f>Z190+1</f>
        <v>2020</v>
      </c>
      <c r="AB190" s="76">
        <f>AA190+1</f>
        <v>2021</v>
      </c>
    </row>
    <row r="191" spans="2:28" ht="4" customHeight="1"/>
    <row r="192" spans="2:28" ht="12" customHeight="1">
      <c r="C192" s="28"/>
      <c r="E192" s="77" t="s">
        <v>218</v>
      </c>
      <c r="F192" s="158" t="s">
        <v>219</v>
      </c>
      <c r="G192" s="86"/>
      <c r="H192" s="213" t="s">
        <v>71</v>
      </c>
      <c r="I192" s="216">
        <v>0.5</v>
      </c>
      <c r="J192" s="3"/>
      <c r="K192" s="298">
        <v>13</v>
      </c>
      <c r="L192" s="229" t="s">
        <v>73</v>
      </c>
      <c r="M192" s="30"/>
      <c r="N192" s="176">
        <f>I192*K192</f>
        <v>6.5</v>
      </c>
      <c r="O192" s="32"/>
      <c r="P192" s="88"/>
      <c r="Q192" s="30"/>
      <c r="R192" s="90"/>
      <c r="S192" s="91">
        <f>N192</f>
        <v>6.5</v>
      </c>
      <c r="T192" s="91"/>
      <c r="U192" s="91"/>
      <c r="V192" s="92"/>
      <c r="W192" s="30"/>
      <c r="X192" s="90"/>
      <c r="Y192" s="91"/>
      <c r="Z192" s="91"/>
      <c r="AA192" s="91"/>
      <c r="AB192" s="92"/>
    </row>
    <row r="193" spans="2:28" ht="12" customHeight="1">
      <c r="C193" s="28"/>
      <c r="E193" s="77" t="s">
        <v>215</v>
      </c>
      <c r="F193" s="158" t="s">
        <v>70</v>
      </c>
      <c r="G193" s="86"/>
      <c r="H193" s="213" t="s">
        <v>71</v>
      </c>
      <c r="I193" s="216">
        <v>0.25</v>
      </c>
      <c r="J193" s="3"/>
      <c r="K193" s="228">
        <v>5.7</v>
      </c>
      <c r="L193" s="229" t="s">
        <v>72</v>
      </c>
      <c r="M193" s="30"/>
      <c r="N193" s="176">
        <f>I193*K193</f>
        <v>1.425</v>
      </c>
      <c r="O193" s="32"/>
      <c r="P193" s="88"/>
      <c r="Q193" s="30"/>
      <c r="R193" s="90"/>
      <c r="S193" s="91">
        <f>N193</f>
        <v>1.425</v>
      </c>
      <c r="T193" s="91"/>
      <c r="U193" s="91"/>
      <c r="V193" s="92"/>
      <c r="W193" s="30"/>
      <c r="X193" s="90"/>
      <c r="Y193" s="91"/>
      <c r="Z193" s="91"/>
      <c r="AA193" s="91"/>
      <c r="AB193" s="92"/>
    </row>
    <row r="194" spans="2:28" ht="12" customHeight="1">
      <c r="C194" s="28"/>
      <c r="E194" s="105"/>
      <c r="F194" s="41" t="s">
        <v>17</v>
      </c>
      <c r="G194" s="93"/>
      <c r="H194" s="94"/>
      <c r="I194" s="217">
        <v>0.1</v>
      </c>
      <c r="J194" s="3"/>
      <c r="K194" s="174">
        <v>7</v>
      </c>
      <c r="L194" s="226" t="s">
        <v>73</v>
      </c>
      <c r="M194" s="30"/>
      <c r="N194" s="177">
        <f>I194*K194</f>
        <v>0.70000000000000007</v>
      </c>
      <c r="O194" s="32"/>
      <c r="P194" s="96"/>
      <c r="Q194" s="30"/>
      <c r="R194" s="97"/>
      <c r="S194" s="98">
        <f>N194</f>
        <v>0.70000000000000007</v>
      </c>
      <c r="T194" s="98"/>
      <c r="U194" s="98"/>
      <c r="V194" s="99"/>
      <c r="W194" s="30"/>
      <c r="X194" s="97"/>
      <c r="Y194" s="98"/>
      <c r="Z194" s="98"/>
      <c r="AA194" s="98"/>
      <c r="AB194" s="99"/>
    </row>
    <row r="195" spans="2:28" ht="12" customHeight="1">
      <c r="C195" s="28"/>
      <c r="E195" s="105" t="s">
        <v>216</v>
      </c>
      <c r="F195" s="41" t="s">
        <v>217</v>
      </c>
      <c r="G195" s="100"/>
      <c r="H195" s="94"/>
      <c r="I195" s="217">
        <f>0.25</f>
        <v>0.25</v>
      </c>
      <c r="J195" s="3"/>
      <c r="K195" s="200">
        <f>11*3</f>
        <v>33</v>
      </c>
      <c r="L195" s="230" t="s">
        <v>72</v>
      </c>
      <c r="M195" s="30"/>
      <c r="N195" s="177">
        <f>I195*K195</f>
        <v>8.25</v>
      </c>
      <c r="O195" s="32"/>
      <c r="P195" s="96"/>
      <c r="Q195" s="30"/>
      <c r="R195" s="257"/>
      <c r="S195" s="214">
        <f>N195</f>
        <v>8.25</v>
      </c>
      <c r="T195" s="214"/>
      <c r="U195" s="103"/>
      <c r="V195" s="104"/>
      <c r="W195" s="30"/>
      <c r="X195" s="102"/>
      <c r="Y195" s="103"/>
      <c r="Z195" s="103"/>
      <c r="AA195" s="103"/>
      <c r="AB195" s="104"/>
    </row>
    <row r="196" spans="2:28" ht="12" customHeight="1">
      <c r="C196" s="28"/>
      <c r="E196" s="105"/>
      <c r="F196" s="253" t="s">
        <v>17</v>
      </c>
      <c r="G196" s="100"/>
      <c r="H196" s="94"/>
      <c r="I196" s="217">
        <v>0.1</v>
      </c>
      <c r="J196" s="3"/>
      <c r="K196" s="174">
        <v>11</v>
      </c>
      <c r="L196" s="226" t="s">
        <v>73</v>
      </c>
      <c r="M196" s="30"/>
      <c r="N196" s="177">
        <f>I196*K196</f>
        <v>1.1000000000000001</v>
      </c>
      <c r="O196" s="32"/>
      <c r="P196" s="96"/>
      <c r="Q196" s="30"/>
      <c r="R196" s="257"/>
      <c r="S196" s="214">
        <f>N196</f>
        <v>1.1000000000000001</v>
      </c>
      <c r="T196" s="214"/>
      <c r="U196" s="103"/>
      <c r="V196" s="104"/>
      <c r="W196" s="30"/>
      <c r="X196" s="102"/>
      <c r="Y196" s="103"/>
      <c r="Z196" s="103"/>
      <c r="AA196" s="103"/>
      <c r="AB196" s="104"/>
    </row>
    <row r="197" spans="2:28" ht="12" customHeight="1">
      <c r="C197" s="28"/>
      <c r="E197" s="183" t="s">
        <v>62</v>
      </c>
      <c r="F197" s="186"/>
      <c r="G197" s="184"/>
      <c r="H197" s="94"/>
      <c r="I197" s="95"/>
      <c r="J197" s="3"/>
      <c r="K197" s="174"/>
      <c r="L197" s="226"/>
      <c r="M197" s="30"/>
      <c r="N197" s="177"/>
      <c r="O197" s="32"/>
      <c r="P197" s="96"/>
      <c r="Q197" s="30"/>
      <c r="R197" s="257"/>
      <c r="S197" s="214"/>
      <c r="T197" s="214"/>
      <c r="U197" s="103"/>
      <c r="V197" s="104"/>
      <c r="W197" s="30"/>
      <c r="X197" s="102"/>
      <c r="Y197" s="103"/>
      <c r="Z197" s="103"/>
      <c r="AA197" s="103"/>
      <c r="AB197" s="104"/>
    </row>
    <row r="198" spans="2:28" ht="12" customHeight="1">
      <c r="C198" s="28"/>
      <c r="E198" s="107" t="s">
        <v>118</v>
      </c>
      <c r="F198" s="254" t="s">
        <v>136</v>
      </c>
      <c r="G198" s="185"/>
      <c r="H198" s="94" t="s">
        <v>18</v>
      </c>
      <c r="I198" s="43">
        <v>7</v>
      </c>
      <c r="J198" s="3"/>
      <c r="K198" s="174">
        <v>1</v>
      </c>
      <c r="L198" s="226"/>
      <c r="M198" s="30"/>
      <c r="N198" s="178">
        <f>I198*K198</f>
        <v>7</v>
      </c>
      <c r="O198" s="32"/>
      <c r="P198" s="96"/>
      <c r="Q198" s="30"/>
      <c r="R198" s="257">
        <f>0.1*N198</f>
        <v>0.70000000000000007</v>
      </c>
      <c r="S198" s="214">
        <f t="shared" ref="S198:S199" si="25">0.5*N198</f>
        <v>3.5</v>
      </c>
      <c r="T198" s="214">
        <f>0.4*N198</f>
        <v>2.8000000000000003</v>
      </c>
      <c r="U198" s="103"/>
      <c r="V198" s="104"/>
      <c r="W198" s="30"/>
      <c r="X198" s="102"/>
      <c r="Y198" s="103"/>
      <c r="Z198" s="103"/>
      <c r="AA198" s="103"/>
      <c r="AB198" s="104"/>
    </row>
    <row r="199" spans="2:28" ht="12" customHeight="1">
      <c r="C199" s="28"/>
      <c r="E199" s="107" t="s">
        <v>41</v>
      </c>
      <c r="F199" s="248" t="s">
        <v>124</v>
      </c>
      <c r="G199" s="184"/>
      <c r="H199" s="94" t="s">
        <v>18</v>
      </c>
      <c r="I199" s="43">
        <v>0.12</v>
      </c>
      <c r="J199" s="3"/>
      <c r="K199" s="200">
        <f>36*10</f>
        <v>360</v>
      </c>
      <c r="L199" s="230"/>
      <c r="M199" s="30"/>
      <c r="N199" s="177">
        <f>I199*K199</f>
        <v>43.199999999999996</v>
      </c>
      <c r="O199" s="32"/>
      <c r="P199" s="96"/>
      <c r="Q199" s="30"/>
      <c r="R199" s="257">
        <f t="shared" ref="R199" si="26">0.1*N199</f>
        <v>4.3199999999999994</v>
      </c>
      <c r="S199" s="214">
        <f t="shared" si="25"/>
        <v>21.599999999999998</v>
      </c>
      <c r="T199" s="214">
        <f t="shared" ref="T199" si="27">0.4*N199</f>
        <v>17.279999999999998</v>
      </c>
      <c r="U199" s="103"/>
      <c r="V199" s="104"/>
      <c r="W199" s="30"/>
      <c r="X199" s="102"/>
      <c r="Y199" s="103"/>
      <c r="Z199" s="103"/>
      <c r="AA199" s="103"/>
      <c r="AB199" s="104"/>
    </row>
    <row r="200" spans="2:28" ht="12" customHeight="1">
      <c r="C200" s="28"/>
      <c r="E200" s="245" t="s">
        <v>44</v>
      </c>
      <c r="F200" s="246"/>
      <c r="G200" s="184"/>
      <c r="H200" s="94"/>
      <c r="I200" s="43"/>
      <c r="J200" s="3"/>
      <c r="K200" s="200"/>
      <c r="L200" s="230"/>
      <c r="M200" s="30"/>
      <c r="N200" s="177"/>
      <c r="O200" s="32"/>
      <c r="P200" s="96"/>
      <c r="Q200" s="30"/>
      <c r="R200" s="257"/>
      <c r="S200" s="214"/>
      <c r="T200" s="214"/>
      <c r="U200" s="103"/>
      <c r="V200" s="104"/>
      <c r="W200" s="30"/>
      <c r="X200" s="102"/>
      <c r="Y200" s="103"/>
      <c r="Z200" s="103"/>
      <c r="AA200" s="103"/>
      <c r="AB200" s="104"/>
    </row>
    <row r="201" spans="2:28" ht="12" customHeight="1">
      <c r="C201" s="28"/>
      <c r="E201" s="107" t="s">
        <v>44</v>
      </c>
      <c r="F201" s="247" t="s">
        <v>46</v>
      </c>
      <c r="G201" s="184"/>
      <c r="H201" s="94" t="s">
        <v>18</v>
      </c>
      <c r="I201" s="43">
        <v>65</v>
      </c>
      <c r="J201" s="3"/>
      <c r="K201" s="174">
        <v>1</v>
      </c>
      <c r="L201" s="226"/>
      <c r="M201" s="30"/>
      <c r="N201" s="177">
        <f>I201*K201</f>
        <v>65</v>
      </c>
      <c r="O201" s="32"/>
      <c r="P201" s="96"/>
      <c r="Q201" s="30"/>
      <c r="R201" s="257">
        <f t="shared" ref="R201:R204" si="28">0.1*N201</f>
        <v>6.5</v>
      </c>
      <c r="S201" s="214">
        <f t="shared" ref="S201:S204" si="29">0.5*N201</f>
        <v>32.5</v>
      </c>
      <c r="T201" s="214">
        <f t="shared" ref="T201:T204" si="30">0.4*N201</f>
        <v>26</v>
      </c>
      <c r="U201" s="103"/>
      <c r="V201" s="104"/>
      <c r="W201" s="30"/>
      <c r="X201" s="102"/>
      <c r="Y201" s="103"/>
      <c r="Z201" s="103"/>
      <c r="AA201" s="103"/>
      <c r="AB201" s="104"/>
    </row>
    <row r="202" spans="2:28" ht="12" customHeight="1">
      <c r="C202" s="28"/>
      <c r="E202" s="107"/>
      <c r="F202" s="247" t="s">
        <v>81</v>
      </c>
      <c r="G202" s="184"/>
      <c r="H202" s="94" t="s">
        <v>18</v>
      </c>
      <c r="I202" s="43">
        <v>0.12</v>
      </c>
      <c r="J202" s="3"/>
      <c r="K202" s="200">
        <f>30*8</f>
        <v>240</v>
      </c>
      <c r="L202" s="230" t="s">
        <v>75</v>
      </c>
      <c r="M202" s="30"/>
      <c r="N202" s="177">
        <f>I202*K202</f>
        <v>28.799999999999997</v>
      </c>
      <c r="O202" s="32"/>
      <c r="P202" s="96"/>
      <c r="Q202" s="30"/>
      <c r="R202" s="257">
        <f t="shared" si="28"/>
        <v>2.88</v>
      </c>
      <c r="S202" s="214">
        <f t="shared" si="29"/>
        <v>14.399999999999999</v>
      </c>
      <c r="T202" s="214">
        <f t="shared" si="30"/>
        <v>11.52</v>
      </c>
      <c r="U202" s="103"/>
      <c r="V202" s="104"/>
      <c r="W202" s="30"/>
      <c r="X202" s="102"/>
      <c r="Y202" s="103"/>
      <c r="Z202" s="103"/>
      <c r="AA202" s="103"/>
      <c r="AB202" s="104"/>
    </row>
    <row r="203" spans="2:28" ht="12" customHeight="1">
      <c r="C203" s="28"/>
      <c r="E203" s="107" t="s">
        <v>48</v>
      </c>
      <c r="F203" s="247" t="s">
        <v>57</v>
      </c>
      <c r="G203" s="184"/>
      <c r="H203" s="94"/>
      <c r="I203" s="43">
        <v>0.12</v>
      </c>
      <c r="J203" s="3"/>
      <c r="K203" s="200">
        <f>30*12</f>
        <v>360</v>
      </c>
      <c r="L203" s="230" t="s">
        <v>75</v>
      </c>
      <c r="M203" s="30"/>
      <c r="N203" s="177">
        <f>I203*K203</f>
        <v>43.199999999999996</v>
      </c>
      <c r="O203" s="32"/>
      <c r="P203" s="96"/>
      <c r="Q203" s="30"/>
      <c r="R203" s="257">
        <f t="shared" si="28"/>
        <v>4.3199999999999994</v>
      </c>
      <c r="S203" s="214">
        <f t="shared" si="29"/>
        <v>21.599999999999998</v>
      </c>
      <c r="T203" s="214">
        <f t="shared" si="30"/>
        <v>17.279999999999998</v>
      </c>
      <c r="U203" s="103"/>
      <c r="V203" s="104"/>
      <c r="W203" s="30"/>
      <c r="X203" s="102"/>
      <c r="Y203" s="103"/>
      <c r="Z203" s="103"/>
      <c r="AA203" s="103"/>
      <c r="AB203" s="104"/>
    </row>
    <row r="204" spans="2:28" ht="12" customHeight="1">
      <c r="C204" s="28"/>
      <c r="E204" s="189" t="s">
        <v>59</v>
      </c>
      <c r="F204" s="256" t="s">
        <v>139</v>
      </c>
      <c r="G204" s="190"/>
      <c r="H204" s="94"/>
      <c r="I204" s="43"/>
      <c r="J204" s="3"/>
      <c r="K204" s="175"/>
      <c r="L204" s="231"/>
      <c r="M204" s="30"/>
      <c r="N204" s="234">
        <f>SUM(N192:N203)*0.1</f>
        <v>20.517500000000002</v>
      </c>
      <c r="O204" s="32"/>
      <c r="P204" s="109"/>
      <c r="Q204" s="30"/>
      <c r="R204" s="258">
        <f t="shared" si="28"/>
        <v>2.0517500000000002</v>
      </c>
      <c r="S204" s="259">
        <f t="shared" si="29"/>
        <v>10.258750000000001</v>
      </c>
      <c r="T204" s="259">
        <f t="shared" si="30"/>
        <v>8.2070000000000007</v>
      </c>
      <c r="U204" s="111"/>
      <c r="V204" s="112"/>
      <c r="W204" s="30"/>
      <c r="X204" s="110"/>
      <c r="Y204" s="111"/>
      <c r="Z204" s="111"/>
      <c r="AA204" s="111"/>
      <c r="AB204" s="112"/>
    </row>
    <row r="205" spans="2:28" ht="4" customHeight="1">
      <c r="E205" s="3"/>
      <c r="J205" s="3"/>
    </row>
    <row r="206" spans="2:28" ht="15" customHeight="1">
      <c r="F206" s="113" t="s">
        <v>19</v>
      </c>
      <c r="G206" s="114"/>
      <c r="H206" s="114"/>
      <c r="I206" s="85"/>
      <c r="K206" s="22"/>
      <c r="L206" s="207"/>
      <c r="M206" s="20"/>
      <c r="N206" s="179">
        <f>SUM(N192:N204)</f>
        <v>225.69250000000002</v>
      </c>
      <c r="O206" s="20"/>
      <c r="P206" s="22"/>
      <c r="Q206" s="20"/>
      <c r="R206" s="180">
        <f>SUM(R193:R204)</f>
        <v>20.771749999999997</v>
      </c>
      <c r="S206" s="181">
        <f>SUM(S193:S204)</f>
        <v>115.33374999999999</v>
      </c>
      <c r="T206" s="181">
        <f>SUM(T193:T204)</f>
        <v>83.086999999999989</v>
      </c>
      <c r="U206" s="182">
        <f>SUM(U193:U204)</f>
        <v>0</v>
      </c>
      <c r="V206" s="180">
        <f>SUM(V193:V204)</f>
        <v>0</v>
      </c>
      <c r="W206" s="115"/>
      <c r="X206" s="160">
        <f>SUM(X193:X204)</f>
        <v>0</v>
      </c>
      <c r="Y206" s="161">
        <f>SUM(Y193:Y204)</f>
        <v>0</v>
      </c>
      <c r="Z206" s="161">
        <f>SUM(Z193:Z204)</f>
        <v>0</v>
      </c>
      <c r="AA206" s="161">
        <f>SUM(AA193:AA204)</f>
        <v>0</v>
      </c>
      <c r="AB206" s="161">
        <f>SUM(AB193:AB204)</f>
        <v>0</v>
      </c>
    </row>
    <row r="207" spans="2:28" ht="10" customHeight="1">
      <c r="F207" s="192"/>
      <c r="G207" s="193"/>
      <c r="H207" s="193"/>
      <c r="I207" s="193"/>
      <c r="K207" s="168"/>
      <c r="L207" s="20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94"/>
      <c r="X207" s="195"/>
      <c r="Y207" s="195"/>
      <c r="Z207" s="195"/>
      <c r="AA207" s="195"/>
      <c r="AB207" s="195"/>
    </row>
    <row r="208" spans="2:28" ht="15" customHeight="1">
      <c r="B208" s="164" t="s">
        <v>79</v>
      </c>
      <c r="C208" s="6"/>
      <c r="E208" s="116" t="s">
        <v>20</v>
      </c>
    </row>
    <row r="209" spans="2:28" ht="25" customHeight="1">
      <c r="B209" s="6"/>
      <c r="C209" s="9"/>
      <c r="E209" s="262" t="s">
        <v>144</v>
      </c>
      <c r="F209" s="237"/>
      <c r="K209" s="333" t="s">
        <v>9</v>
      </c>
      <c r="L209" s="334"/>
      <c r="M209" s="334"/>
      <c r="N209" s="335"/>
      <c r="O209" s="24"/>
      <c r="P209" s="68" t="s">
        <v>10</v>
      </c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70"/>
    </row>
    <row r="210" spans="2:28" ht="15" customHeight="1">
      <c r="E210" s="26" t="s">
        <v>21</v>
      </c>
      <c r="F210" s="84" t="s">
        <v>22</v>
      </c>
      <c r="G210" s="85"/>
      <c r="H210" s="73" t="s">
        <v>4</v>
      </c>
      <c r="I210" s="75" t="s">
        <v>23</v>
      </c>
      <c r="K210" s="71"/>
      <c r="M210" s="24"/>
      <c r="N210" s="72" t="s">
        <v>11</v>
      </c>
      <c r="O210" s="24"/>
      <c r="P210" s="73">
        <v>2011</v>
      </c>
      <c r="Q210" s="74"/>
      <c r="R210" s="75">
        <f>P210+1</f>
        <v>2012</v>
      </c>
      <c r="S210" s="75">
        <f>R210+1</f>
        <v>2013</v>
      </c>
      <c r="T210" s="75">
        <f>S210+1</f>
        <v>2014</v>
      </c>
      <c r="U210" s="75">
        <f>T210+1</f>
        <v>2015</v>
      </c>
      <c r="V210" s="75">
        <f>U210+1</f>
        <v>2016</v>
      </c>
      <c r="W210" s="74"/>
      <c r="X210" s="76">
        <f>V210+1</f>
        <v>2017</v>
      </c>
      <c r="Y210" s="76">
        <f>X210+1</f>
        <v>2018</v>
      </c>
      <c r="Z210" s="76">
        <f>Y210+1</f>
        <v>2019</v>
      </c>
      <c r="AA210" s="76">
        <f>Z210+1</f>
        <v>2020</v>
      </c>
      <c r="AB210" s="76">
        <f>AA210+1</f>
        <v>2021</v>
      </c>
    </row>
    <row r="211" spans="2:28" ht="4" customHeight="1"/>
    <row r="212" spans="2:28" ht="12" customHeight="1">
      <c r="C212" s="28"/>
      <c r="E212" s="77" t="s">
        <v>3</v>
      </c>
      <c r="F212" s="197" t="s">
        <v>224</v>
      </c>
      <c r="G212" s="117"/>
      <c r="H212" s="73"/>
      <c r="I212" s="75"/>
      <c r="J212" s="3"/>
      <c r="K212" s="87"/>
      <c r="L212" s="204"/>
      <c r="M212" s="30"/>
      <c r="N212" s="176">
        <f>N188</f>
        <v>102.89999999999999</v>
      </c>
      <c r="O212" s="32"/>
      <c r="P212" s="88"/>
      <c r="Q212" s="30"/>
      <c r="R212" s="89">
        <f>R188</f>
        <v>0</v>
      </c>
      <c r="S212" s="89">
        <f>S188</f>
        <v>102.89999999999999</v>
      </c>
      <c r="T212" s="89">
        <f>T188</f>
        <v>0</v>
      </c>
      <c r="U212" s="89">
        <f>U188</f>
        <v>0</v>
      </c>
      <c r="V212" s="220">
        <f>V188</f>
        <v>0</v>
      </c>
      <c r="X212" s="199"/>
      <c r="Y212" s="118"/>
      <c r="Z212" s="118"/>
      <c r="AA212" s="118"/>
      <c r="AB212" s="119"/>
    </row>
    <row r="213" spans="2:28" ht="12" customHeight="1">
      <c r="C213" s="28"/>
      <c r="E213" s="105" t="s">
        <v>218</v>
      </c>
      <c r="F213" s="41" t="s">
        <v>221</v>
      </c>
      <c r="G213" s="100"/>
      <c r="H213" s="94"/>
      <c r="I213" s="43"/>
      <c r="J213" s="3"/>
      <c r="K213" s="101"/>
      <c r="L213" s="204"/>
      <c r="M213" s="30"/>
      <c r="N213" s="178">
        <f>N192</f>
        <v>6.5</v>
      </c>
      <c r="O213" s="32"/>
      <c r="P213" s="96"/>
      <c r="Q213" s="30"/>
      <c r="R213" s="157">
        <f>SUM(R187:R190)</f>
        <v>2012</v>
      </c>
      <c r="S213" s="157">
        <f t="shared" ref="S213:V213" si="31">SUM(S187:S190)</f>
        <v>2168.8000000000002</v>
      </c>
      <c r="T213" s="157">
        <f t="shared" si="31"/>
        <v>2014</v>
      </c>
      <c r="U213" s="157">
        <f t="shared" si="31"/>
        <v>2015</v>
      </c>
      <c r="V213" s="157">
        <f t="shared" si="31"/>
        <v>2016</v>
      </c>
      <c r="W213" s="30"/>
      <c r="X213" s="102"/>
      <c r="Y213" s="103"/>
      <c r="Z213" s="103"/>
      <c r="AA213" s="103"/>
      <c r="AB213" s="104"/>
    </row>
    <row r="214" spans="2:28" ht="12" customHeight="1">
      <c r="C214" s="28"/>
      <c r="E214" s="105" t="s">
        <v>29</v>
      </c>
      <c r="F214" s="41" t="s">
        <v>220</v>
      </c>
      <c r="G214" s="100"/>
      <c r="H214" s="94"/>
      <c r="I214" s="43"/>
      <c r="J214" s="3"/>
      <c r="K214" s="101"/>
      <c r="L214" s="204"/>
      <c r="M214" s="30"/>
      <c r="N214" s="178">
        <f>SUM(N193:N196)</f>
        <v>11.475</v>
      </c>
      <c r="O214" s="32"/>
      <c r="P214" s="96"/>
      <c r="Q214" s="30"/>
      <c r="R214" s="157">
        <f>SUM(R193:R196)</f>
        <v>0</v>
      </c>
      <c r="S214" s="157">
        <f t="shared" ref="S214:V214" si="32">SUM(S193:S196)</f>
        <v>11.475</v>
      </c>
      <c r="T214" s="157">
        <f t="shared" si="32"/>
        <v>0</v>
      </c>
      <c r="U214" s="157">
        <f t="shared" si="32"/>
        <v>0</v>
      </c>
      <c r="V214" s="157">
        <f t="shared" si="32"/>
        <v>0</v>
      </c>
      <c r="W214" s="30"/>
      <c r="X214" s="102"/>
      <c r="Y214" s="103"/>
      <c r="Z214" s="103"/>
      <c r="AA214" s="103"/>
      <c r="AB214" s="104"/>
    </row>
    <row r="215" spans="2:28" ht="12" customHeight="1">
      <c r="C215" s="28"/>
      <c r="E215" s="105" t="s">
        <v>52</v>
      </c>
      <c r="F215" s="41" t="s">
        <v>51</v>
      </c>
      <c r="G215" s="100"/>
      <c r="H215" s="94"/>
      <c r="I215" s="43"/>
      <c r="J215" s="3"/>
      <c r="K215" s="101"/>
      <c r="L215" s="204"/>
      <c r="M215" s="30"/>
      <c r="N215" s="178">
        <f>SUM(N198:N199)</f>
        <v>50.199999999999996</v>
      </c>
      <c r="O215" s="32"/>
      <c r="P215" s="96"/>
      <c r="Q215" s="30"/>
      <c r="R215" s="178">
        <f>SUM(R198:R199)</f>
        <v>5.0199999999999996</v>
      </c>
      <c r="S215" s="178">
        <f t="shared" ref="S215:V215" si="33">SUM(S198:S199)</f>
        <v>25.099999999999998</v>
      </c>
      <c r="T215" s="178">
        <f t="shared" si="33"/>
        <v>20.079999999999998</v>
      </c>
      <c r="U215" s="178">
        <f t="shared" si="33"/>
        <v>0</v>
      </c>
      <c r="V215" s="178">
        <f t="shared" si="33"/>
        <v>0</v>
      </c>
      <c r="W215" s="30"/>
      <c r="X215" s="102"/>
      <c r="Y215" s="103"/>
      <c r="Z215" s="103"/>
      <c r="AA215" s="103"/>
      <c r="AB215" s="104"/>
    </row>
    <row r="216" spans="2:28" ht="12" customHeight="1">
      <c r="C216" s="28"/>
      <c r="E216" s="105" t="s">
        <v>53</v>
      </c>
      <c r="F216" s="41" t="s">
        <v>82</v>
      </c>
      <c r="G216" s="100"/>
      <c r="H216" s="94"/>
      <c r="I216" s="43"/>
      <c r="J216" s="3"/>
      <c r="K216" s="101"/>
      <c r="L216" s="204"/>
      <c r="M216" s="30"/>
      <c r="N216" s="178">
        <f>SUM(N201:N202)</f>
        <v>93.8</v>
      </c>
      <c r="O216" s="32"/>
      <c r="P216" s="96"/>
      <c r="Q216" s="30"/>
      <c r="R216" s="178">
        <f>SUM(R201:R202)</f>
        <v>9.379999999999999</v>
      </c>
      <c r="S216" s="178">
        <f t="shared" ref="S216:V216" si="34">SUM(S201:S202)</f>
        <v>46.9</v>
      </c>
      <c r="T216" s="178">
        <f t="shared" si="34"/>
        <v>37.519999999999996</v>
      </c>
      <c r="U216" s="178">
        <f t="shared" si="34"/>
        <v>0</v>
      </c>
      <c r="V216" s="178">
        <f t="shared" si="34"/>
        <v>0</v>
      </c>
      <c r="W216" s="30"/>
      <c r="X216" s="102"/>
      <c r="Y216" s="103"/>
      <c r="Z216" s="103"/>
      <c r="AA216" s="103"/>
      <c r="AB216" s="104"/>
    </row>
    <row r="217" spans="2:28" ht="12" customHeight="1">
      <c r="C217" s="28"/>
      <c r="E217" s="105" t="s">
        <v>55</v>
      </c>
      <c r="F217" s="41" t="s">
        <v>165</v>
      </c>
      <c r="G217" s="100"/>
      <c r="H217" s="94"/>
      <c r="I217" s="43"/>
      <c r="J217" s="3"/>
      <c r="K217" s="101"/>
      <c r="L217" s="204"/>
      <c r="M217" s="30"/>
      <c r="N217" s="178">
        <f>SUM(N203:N203)</f>
        <v>43.199999999999996</v>
      </c>
      <c r="O217" s="32"/>
      <c r="P217" s="96"/>
      <c r="Q217" s="30"/>
      <c r="R217" s="178">
        <f>SUM(R203:R203)</f>
        <v>4.3199999999999994</v>
      </c>
      <c r="S217" s="178">
        <f>SUM(S203:S203)</f>
        <v>21.599999999999998</v>
      </c>
      <c r="T217" s="178">
        <f>SUM(T203:T203)</f>
        <v>17.279999999999998</v>
      </c>
      <c r="U217" s="178">
        <f>SUM(U203:U203)</f>
        <v>0</v>
      </c>
      <c r="V217" s="178">
        <f>SUM(V203:V203)</f>
        <v>0</v>
      </c>
      <c r="W217" s="30"/>
      <c r="X217" s="102"/>
      <c r="Y217" s="103"/>
      <c r="Z217" s="103"/>
      <c r="AA217" s="103"/>
      <c r="AB217" s="104"/>
    </row>
    <row r="218" spans="2:28" ht="12" customHeight="1">
      <c r="C218" s="28"/>
      <c r="E218" s="108" t="s">
        <v>59</v>
      </c>
      <c r="F218" s="256" t="s">
        <v>139</v>
      </c>
      <c r="G218" s="120"/>
      <c r="H218" s="94"/>
      <c r="I218" s="43"/>
      <c r="J218" s="3"/>
      <c r="K218" s="121"/>
      <c r="L218" s="204"/>
      <c r="M218" s="30"/>
      <c r="N218" s="234">
        <f>N204</f>
        <v>20.517500000000002</v>
      </c>
      <c r="O218" s="32"/>
      <c r="P218" s="109"/>
      <c r="Q218" s="30"/>
      <c r="R218" s="163">
        <f t="shared" ref="R218:V218" si="35">R204</f>
        <v>2.0517500000000002</v>
      </c>
      <c r="S218" s="163">
        <f t="shared" si="35"/>
        <v>10.258750000000001</v>
      </c>
      <c r="T218" s="163">
        <f t="shared" si="35"/>
        <v>8.2070000000000007</v>
      </c>
      <c r="U218" s="163">
        <f t="shared" si="35"/>
        <v>0</v>
      </c>
      <c r="V218" s="163">
        <f t="shared" si="35"/>
        <v>0</v>
      </c>
      <c r="W218" s="30"/>
      <c r="X218" s="218"/>
      <c r="Y218" s="111"/>
      <c r="Z218" s="111"/>
      <c r="AA218" s="111"/>
      <c r="AB218" s="112"/>
    </row>
    <row r="219" spans="2:28" ht="4" customHeight="1">
      <c r="E219" s="3"/>
      <c r="J219" s="3"/>
    </row>
    <row r="220" spans="2:28" ht="15" customHeight="1">
      <c r="F220" s="122" t="s">
        <v>24</v>
      </c>
      <c r="G220" s="114"/>
      <c r="H220" s="114"/>
      <c r="I220" s="85"/>
      <c r="K220" s="22"/>
      <c r="L220" s="207"/>
      <c r="M220" s="20"/>
      <c r="N220" s="162">
        <f>SUM(N212:N218)</f>
        <v>328.59249999999997</v>
      </c>
      <c r="O220" s="20"/>
      <c r="P220" s="22"/>
      <c r="Q220" s="20"/>
      <c r="R220" s="198">
        <f>SUM(R212:R218)</f>
        <v>2032.7717500000001</v>
      </c>
      <c r="S220" s="198">
        <f>SUM(S212:S218)</f>
        <v>2387.0337500000001</v>
      </c>
      <c r="T220" s="198">
        <f>SUM(T212:T218)</f>
        <v>2097.087</v>
      </c>
      <c r="U220" s="198">
        <f>SUM(U212:U218)</f>
        <v>2015</v>
      </c>
      <c r="V220" s="198">
        <f>SUM(V212:V218)</f>
        <v>2016</v>
      </c>
      <c r="W220" s="115"/>
      <c r="X220" s="160">
        <f>SUM(X212:X218)</f>
        <v>0</v>
      </c>
      <c r="Y220" s="160">
        <f>SUM(Y212:Y218)</f>
        <v>0</v>
      </c>
      <c r="Z220" s="160">
        <f>SUM(Z212:Z218)</f>
        <v>0</v>
      </c>
      <c r="AA220" s="160">
        <f>SUM(AA212:AA218)</f>
        <v>0</v>
      </c>
      <c r="AB220" s="160">
        <f>SUM(AB212:AB218)</f>
        <v>0</v>
      </c>
    </row>
    <row r="221" spans="2:28" ht="10" customHeight="1"/>
    <row r="222" spans="2:28" ht="12" customHeight="1"/>
    <row r="223" spans="2:28" ht="12" customHeight="1"/>
    <row r="224" spans="2:28" ht="12" customHeight="1"/>
    <row r="225" spans="2:29" ht="12" customHeight="1"/>
    <row r="226" spans="2:29" ht="12" customHeight="1"/>
    <row r="227" spans="2:29" ht="10" customHeight="1" thickBot="1"/>
    <row r="228" spans="2:29" ht="18" customHeight="1" thickBot="1">
      <c r="B228" s="315" t="s">
        <v>227</v>
      </c>
      <c r="C228" s="316"/>
      <c r="D228" s="316"/>
      <c r="E228" s="316"/>
      <c r="F228" s="316"/>
      <c r="G228" s="316"/>
      <c r="H228" s="316"/>
      <c r="I228" s="316"/>
      <c r="J228" s="316"/>
      <c r="K228" s="316"/>
      <c r="L228" s="316"/>
      <c r="M228" s="316"/>
      <c r="N228" s="316"/>
      <c r="O228" s="316"/>
      <c r="P228" s="316"/>
      <c r="Q228" s="316"/>
      <c r="R228" s="316"/>
      <c r="S228" s="316"/>
      <c r="T228" s="316"/>
      <c r="U228" s="316"/>
      <c r="V228" s="316"/>
      <c r="W228" s="316"/>
      <c r="X228" s="316"/>
      <c r="Y228" s="316"/>
      <c r="Z228" s="316"/>
      <c r="AA228" s="316"/>
      <c r="AB228" s="317"/>
    </row>
    <row r="229" spans="2:29" ht="10" customHeight="1" thickBot="1"/>
    <row r="230" spans="2:29" ht="15" customHeight="1" thickBot="1">
      <c r="B230" s="164" t="s">
        <v>83</v>
      </c>
      <c r="C230" s="6"/>
      <c r="D230" s="132"/>
      <c r="E230" s="252" t="s">
        <v>146</v>
      </c>
      <c r="F230" s="7"/>
      <c r="G230" s="8"/>
    </row>
    <row r="231" spans="2:29" ht="45" customHeight="1">
      <c r="B231" s="6"/>
      <c r="C231" s="9"/>
      <c r="D231" s="130"/>
      <c r="E231" s="263" t="s">
        <v>147</v>
      </c>
      <c r="F231" s="272" t="s">
        <v>161</v>
      </c>
      <c r="G231" s="11"/>
    </row>
    <row r="232" spans="2:29" ht="12" customHeight="1">
      <c r="B232" s="6"/>
      <c r="C232" s="6"/>
      <c r="D232" s="132"/>
      <c r="E232" s="12"/>
      <c r="F232" s="26" t="s">
        <v>159</v>
      </c>
      <c r="G232" s="11"/>
    </row>
    <row r="233" spans="2:29" ht="12" customHeight="1">
      <c r="B233" s="6"/>
      <c r="C233" s="6"/>
      <c r="D233" s="132"/>
      <c r="E233" s="12"/>
      <c r="F233" s="273" t="s">
        <v>7</v>
      </c>
      <c r="G233" s="14">
        <v>2014</v>
      </c>
      <c r="P233" s="137">
        <v>2011</v>
      </c>
      <c r="Q233" s="138"/>
      <c r="R233" s="137">
        <f>P233+1</f>
        <v>2012</v>
      </c>
      <c r="S233" s="137">
        <f>R233+1</f>
        <v>2013</v>
      </c>
      <c r="T233" s="137">
        <f>S233+1</f>
        <v>2014</v>
      </c>
      <c r="U233" s="137">
        <f>T233+1</f>
        <v>2015</v>
      </c>
      <c r="V233" s="137">
        <f>U233+1</f>
        <v>2016</v>
      </c>
      <c r="W233" s="138"/>
      <c r="X233" s="139">
        <f>V233+1</f>
        <v>2017</v>
      </c>
      <c r="Y233" s="139">
        <f>X233+1</f>
        <v>2018</v>
      </c>
      <c r="Z233" s="139">
        <f>Y233+1</f>
        <v>2019</v>
      </c>
      <c r="AA233" s="139">
        <f>Z233+1</f>
        <v>2020</v>
      </c>
      <c r="AB233" s="139">
        <f>AA233+1</f>
        <v>2021</v>
      </c>
    </row>
    <row r="234" spans="2:29" ht="12" customHeight="1">
      <c r="F234" s="1"/>
      <c r="G234" s="209" t="s">
        <v>68</v>
      </c>
      <c r="H234" s="18"/>
      <c r="I234" s="18"/>
      <c r="K234" s="19"/>
      <c r="L234" s="203"/>
      <c r="M234" s="20"/>
      <c r="N234" s="21" t="s">
        <v>0</v>
      </c>
      <c r="O234" s="20"/>
      <c r="P234" s="22"/>
      <c r="Q234" s="20"/>
      <c r="R234" s="140"/>
      <c r="S234" s="141"/>
      <c r="T234" s="142">
        <v>23.7</v>
      </c>
      <c r="U234" s="140">
        <v>33.799999999999997</v>
      </c>
      <c r="V234" s="143">
        <v>30.5</v>
      </c>
      <c r="W234" s="23"/>
      <c r="X234" s="144">
        <v>28.3</v>
      </c>
      <c r="Y234" s="144">
        <v>25.700000000000003</v>
      </c>
      <c r="Z234" s="144">
        <v>19.100000000000001</v>
      </c>
      <c r="AA234" s="144">
        <v>15.1</v>
      </c>
      <c r="AB234" s="144">
        <v>15.1</v>
      </c>
    </row>
    <row r="235" spans="2:29" ht="12" customHeight="1">
      <c r="F235" s="1"/>
      <c r="G235" s="210" t="s">
        <v>69</v>
      </c>
      <c r="H235" s="18"/>
      <c r="I235" s="18"/>
      <c r="K235" s="19"/>
      <c r="L235" s="203"/>
      <c r="M235" s="20"/>
      <c r="N235" s="21" t="s">
        <v>1</v>
      </c>
      <c r="O235" s="20"/>
      <c r="P235" s="22"/>
      <c r="Q235" s="20"/>
      <c r="R235" s="140"/>
      <c r="S235" s="141"/>
      <c r="T235" s="142">
        <v>11.600000000000001</v>
      </c>
      <c r="U235" s="140">
        <v>16.600000000000001</v>
      </c>
      <c r="V235" s="143">
        <v>15.899999999999999</v>
      </c>
      <c r="W235" s="23"/>
      <c r="X235" s="144">
        <v>15.1</v>
      </c>
      <c r="Y235" s="144">
        <v>14.100000000000001</v>
      </c>
      <c r="Z235" s="144">
        <v>10.600000000000001</v>
      </c>
      <c r="AA235" s="144">
        <v>7.9</v>
      </c>
      <c r="AB235" s="144">
        <v>7.9</v>
      </c>
    </row>
    <row r="236" spans="2:29" ht="10" customHeight="1">
      <c r="F236" s="1"/>
      <c r="G236" s="165"/>
      <c r="H236" s="166"/>
      <c r="I236" s="166"/>
      <c r="K236" s="167"/>
      <c r="L236" s="204"/>
      <c r="M236" s="168"/>
      <c r="N236" s="169"/>
      <c r="O236" s="168"/>
      <c r="P236" s="168"/>
      <c r="Q236" s="168"/>
      <c r="R236" s="170"/>
      <c r="S236" s="170"/>
      <c r="T236" s="170"/>
      <c r="U236" s="170"/>
      <c r="V236" s="170"/>
      <c r="W236" s="171"/>
      <c r="X236" s="172"/>
      <c r="Y236" s="172"/>
      <c r="Z236" s="172"/>
      <c r="AA236" s="172"/>
      <c r="AB236" s="172"/>
    </row>
    <row r="237" spans="2:29" ht="12" customHeight="1">
      <c r="E237" s="26" t="s">
        <v>8</v>
      </c>
      <c r="F237" s="27" t="s">
        <v>27</v>
      </c>
      <c r="O237" s="24"/>
      <c r="P237" s="134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6"/>
    </row>
    <row r="238" spans="2:29" ht="12" customHeight="1">
      <c r="C238" s="25"/>
      <c r="F238" s="1"/>
      <c r="G238" s="5"/>
      <c r="O238" s="24"/>
      <c r="P238" s="15">
        <v>2011</v>
      </c>
      <c r="Q238" s="16"/>
      <c r="R238" s="16">
        <f>P238+1</f>
        <v>2012</v>
      </c>
      <c r="S238" s="16">
        <f>R238+1</f>
        <v>2013</v>
      </c>
      <c r="T238" s="16">
        <f>S238+1</f>
        <v>2014</v>
      </c>
      <c r="U238" s="16">
        <f>T238+1</f>
        <v>2015</v>
      </c>
      <c r="V238" s="16">
        <f>U238+1</f>
        <v>2016</v>
      </c>
      <c r="W238" s="16"/>
      <c r="X238" s="17">
        <f>V238+1</f>
        <v>2017</v>
      </c>
      <c r="Y238" s="17">
        <f>X238+1</f>
        <v>2018</v>
      </c>
      <c r="Z238" s="17">
        <f>Y238+1</f>
        <v>2019</v>
      </c>
      <c r="AA238" s="17">
        <f>Z238+1</f>
        <v>2020</v>
      </c>
      <c r="AB238" s="17">
        <f>AA238+1</f>
        <v>2021</v>
      </c>
      <c r="AC238" s="24"/>
    </row>
    <row r="239" spans="2:29" ht="4" customHeight="1"/>
    <row r="240" spans="2:29" ht="12" customHeight="1">
      <c r="D240" s="242">
        <v>1</v>
      </c>
      <c r="E240" s="125" t="s">
        <v>209</v>
      </c>
      <c r="F240" s="125" t="s">
        <v>210</v>
      </c>
      <c r="G240" s="145"/>
      <c r="H240" s="150"/>
      <c r="I240" s="151"/>
      <c r="J240" s="3"/>
      <c r="K240" s="295">
        <v>4</v>
      </c>
      <c r="L240" s="201"/>
      <c r="M240" s="30"/>
      <c r="N240" s="87"/>
      <c r="O240" s="32"/>
      <c r="P240" s="33"/>
      <c r="Q240" s="30"/>
      <c r="R240" s="34"/>
      <c r="S240" s="35">
        <f>K240</f>
        <v>4</v>
      </c>
      <c r="T240" s="35"/>
      <c r="U240" s="35"/>
      <c r="V240" s="36"/>
      <c r="W240" s="30"/>
      <c r="X240" s="37"/>
      <c r="Y240" s="38"/>
      <c r="Z240" s="38"/>
      <c r="AA240" s="38"/>
      <c r="AB240" s="39"/>
    </row>
    <row r="241" spans="2:28" ht="12" customHeight="1">
      <c r="D241" s="243">
        <v>2</v>
      </c>
      <c r="E241" s="126" t="s">
        <v>222</v>
      </c>
      <c r="F241" s="126" t="s">
        <v>223</v>
      </c>
      <c r="G241" s="146"/>
      <c r="H241" s="152"/>
      <c r="I241" s="153"/>
      <c r="J241" s="3"/>
      <c r="K241" s="296">
        <v>2</v>
      </c>
      <c r="L241" s="201"/>
      <c r="M241" s="30"/>
      <c r="N241" s="101"/>
      <c r="O241" s="32"/>
      <c r="P241" s="45"/>
      <c r="Q241" s="30"/>
      <c r="R241" s="46"/>
      <c r="S241" s="47">
        <f>K241</f>
        <v>2</v>
      </c>
      <c r="T241" s="47"/>
      <c r="U241" s="47"/>
      <c r="V241" s="48"/>
      <c r="W241" s="30"/>
      <c r="X241" s="49"/>
      <c r="Y241" s="50"/>
      <c r="Z241" s="50"/>
      <c r="AA241" s="50"/>
      <c r="AB241" s="51"/>
    </row>
    <row r="242" spans="2:28" ht="12" customHeight="1">
      <c r="D242" s="243">
        <v>3</v>
      </c>
      <c r="E242" s="126" t="s">
        <v>211</v>
      </c>
      <c r="F242" s="126" t="s">
        <v>26</v>
      </c>
      <c r="G242" s="146"/>
      <c r="H242" s="152"/>
      <c r="I242" s="153"/>
      <c r="J242" s="3"/>
      <c r="K242" s="44">
        <v>2</v>
      </c>
      <c r="L242" s="201"/>
      <c r="M242" s="30"/>
      <c r="N242" s="53"/>
      <c r="O242" s="32"/>
      <c r="P242" s="45"/>
      <c r="Q242" s="30"/>
      <c r="R242" s="46"/>
      <c r="S242" s="47">
        <f t="shared" ref="S242" si="36">K242</f>
        <v>2</v>
      </c>
      <c r="T242" s="47"/>
      <c r="U242" s="47"/>
      <c r="V242" s="48"/>
      <c r="W242" s="30"/>
      <c r="X242" s="49"/>
      <c r="Y242" s="50"/>
      <c r="Z242" s="50"/>
      <c r="AA242" s="50"/>
      <c r="AB242" s="51"/>
    </row>
    <row r="243" spans="2:28" ht="12" customHeight="1">
      <c r="D243" s="244">
        <v>4</v>
      </c>
      <c r="E243" s="127" t="s">
        <v>212</v>
      </c>
      <c r="F243" s="127" t="s">
        <v>26</v>
      </c>
      <c r="G243" s="147"/>
      <c r="H243" s="154"/>
      <c r="I243" s="155"/>
      <c r="J243" s="3"/>
      <c r="K243" s="297">
        <v>4</v>
      </c>
      <c r="L243" s="201"/>
      <c r="M243" s="30"/>
      <c r="N243" s="53"/>
      <c r="O243" s="32"/>
      <c r="P243" s="45"/>
      <c r="Q243" s="30"/>
      <c r="R243" s="46"/>
      <c r="S243" s="47">
        <f>K243</f>
        <v>4</v>
      </c>
      <c r="T243" s="47"/>
      <c r="U243" s="47"/>
      <c r="V243" s="48"/>
      <c r="W243" s="30"/>
      <c r="X243" s="49"/>
      <c r="Y243" s="50"/>
      <c r="Z243" s="50"/>
      <c r="AA243" s="50"/>
      <c r="AB243" s="51"/>
    </row>
    <row r="244" spans="2:28" s="67" customFormat="1" ht="15" customHeight="1">
      <c r="B244" s="54"/>
      <c r="C244" s="55"/>
      <c r="D244" s="133"/>
      <c r="E244" s="124"/>
      <c r="F244" s="128" t="s">
        <v>2</v>
      </c>
      <c r="G244" s="129"/>
      <c r="H244" s="148"/>
      <c r="I244" s="149"/>
      <c r="J244" s="61"/>
      <c r="K244" s="29">
        <f>SUM(K240:K243)</f>
        <v>12</v>
      </c>
      <c r="L244" s="205"/>
      <c r="M244" s="62"/>
      <c r="N244" s="31"/>
      <c r="O244" s="61"/>
      <c r="P244" s="63"/>
      <c r="Q244" s="62"/>
      <c r="R244" s="64">
        <f>SUM(R240:R243)</f>
        <v>0</v>
      </c>
      <c r="S244" s="64">
        <f>SUM(S240:S243)</f>
        <v>12</v>
      </c>
      <c r="T244" s="64">
        <f>SUM(T240:T243)</f>
        <v>0</v>
      </c>
      <c r="U244" s="64">
        <f>SUM(U240:U243)</f>
        <v>0</v>
      </c>
      <c r="V244" s="64">
        <f>SUM(V240:V243)</f>
        <v>0</v>
      </c>
      <c r="W244" s="62"/>
      <c r="X244" s="65"/>
      <c r="Y244" s="59"/>
      <c r="Z244" s="59"/>
      <c r="AA244" s="59"/>
      <c r="AB244" s="66"/>
    </row>
    <row r="245" spans="2:28" ht="9" customHeight="1"/>
    <row r="246" spans="2:28" ht="14.15" customHeight="1">
      <c r="L246" s="1"/>
      <c r="O246" s="24"/>
      <c r="P246" s="84" t="s">
        <v>10</v>
      </c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2"/>
    </row>
    <row r="247" spans="2:28" ht="15" customHeight="1">
      <c r="E247" s="26" t="s">
        <v>28</v>
      </c>
      <c r="K247" s="137" t="s">
        <v>67</v>
      </c>
      <c r="L247" s="211" t="s">
        <v>66</v>
      </c>
      <c r="M247" s="24"/>
      <c r="N247" s="212" t="s">
        <v>11</v>
      </c>
      <c r="O247" s="24"/>
      <c r="P247" s="137">
        <v>2011</v>
      </c>
      <c r="Q247" s="5"/>
      <c r="R247" s="137">
        <f>P247+1</f>
        <v>2012</v>
      </c>
      <c r="S247" s="137">
        <f>R247+1</f>
        <v>2013</v>
      </c>
      <c r="T247" s="137">
        <f>S247+1</f>
        <v>2014</v>
      </c>
      <c r="U247" s="137">
        <f>T247+1</f>
        <v>2015</v>
      </c>
      <c r="V247" s="137">
        <f>U247+1</f>
        <v>2016</v>
      </c>
      <c r="W247" s="5"/>
      <c r="X247" s="139">
        <f>V247+1</f>
        <v>2017</v>
      </c>
      <c r="Y247" s="139">
        <f>X247+1</f>
        <v>2018</v>
      </c>
      <c r="Z247" s="139">
        <f>Y247+1</f>
        <v>2019</v>
      </c>
      <c r="AA247" s="139">
        <f>Z247+1</f>
        <v>2020</v>
      </c>
      <c r="AB247" s="139">
        <f>AA247+1</f>
        <v>2021</v>
      </c>
    </row>
    <row r="248" spans="2:28" ht="4.5" customHeight="1"/>
    <row r="249" spans="2:28" ht="12" customHeight="1">
      <c r="D249" s="242">
        <v>1</v>
      </c>
      <c r="E249" s="125" t="s">
        <v>209</v>
      </c>
      <c r="F249" s="125" t="s">
        <v>213</v>
      </c>
      <c r="G249" s="299">
        <f>(3*1+2.5)/4</f>
        <v>1.375</v>
      </c>
      <c r="H249" s="78" t="s">
        <v>12</v>
      </c>
      <c r="I249" s="79" t="s">
        <v>13</v>
      </c>
      <c r="J249" s="3"/>
      <c r="K249" s="80">
        <f>K240</f>
        <v>4</v>
      </c>
      <c r="L249" s="225" t="s">
        <v>13</v>
      </c>
      <c r="M249" s="30"/>
      <c r="N249" s="156">
        <f>G249*K249</f>
        <v>5.5</v>
      </c>
      <c r="O249" s="32"/>
      <c r="P249" s="33"/>
      <c r="Q249" s="30"/>
      <c r="R249" s="81">
        <f t="shared" ref="R249:V252" si="37">$G249*R240</f>
        <v>0</v>
      </c>
      <c r="S249" s="81">
        <f t="shared" si="37"/>
        <v>5.5</v>
      </c>
      <c r="T249" s="81">
        <f t="shared" si="37"/>
        <v>0</v>
      </c>
      <c r="U249" s="81">
        <f t="shared" si="37"/>
        <v>0</v>
      </c>
      <c r="V249" s="81">
        <f t="shared" si="37"/>
        <v>0</v>
      </c>
      <c r="W249" s="30"/>
      <c r="X249" s="37"/>
      <c r="Y249" s="38"/>
      <c r="Z249" s="38"/>
      <c r="AA249" s="38"/>
      <c r="AB249" s="39"/>
    </row>
    <row r="250" spans="2:28" ht="12" customHeight="1">
      <c r="D250" s="243">
        <v>2</v>
      </c>
      <c r="E250" s="126" t="s">
        <v>222</v>
      </c>
      <c r="F250" s="126" t="s">
        <v>214</v>
      </c>
      <c r="G250" s="300">
        <f>(2.3+2.7)/2</f>
        <v>2.5</v>
      </c>
      <c r="H250" s="42" t="s">
        <v>12</v>
      </c>
      <c r="I250" s="43" t="s">
        <v>13</v>
      </c>
      <c r="J250" s="3"/>
      <c r="K250" s="52">
        <f>K241</f>
        <v>2</v>
      </c>
      <c r="L250" s="226" t="s">
        <v>13</v>
      </c>
      <c r="M250" s="30"/>
      <c r="N250" s="157">
        <f>G250*K250</f>
        <v>5</v>
      </c>
      <c r="O250" s="32"/>
      <c r="P250" s="45"/>
      <c r="Q250" s="30"/>
      <c r="R250" s="81">
        <f t="shared" si="37"/>
        <v>0</v>
      </c>
      <c r="S250" s="81">
        <f t="shared" si="37"/>
        <v>5</v>
      </c>
      <c r="T250" s="81">
        <f t="shared" si="37"/>
        <v>0</v>
      </c>
      <c r="U250" s="81">
        <f t="shared" si="37"/>
        <v>0</v>
      </c>
      <c r="V250" s="81">
        <f t="shared" si="37"/>
        <v>0</v>
      </c>
      <c r="W250" s="30"/>
      <c r="X250" s="49"/>
      <c r="Y250" s="50"/>
      <c r="Z250" s="50"/>
      <c r="AA250" s="50"/>
      <c r="AB250" s="51"/>
    </row>
    <row r="251" spans="2:28" ht="12" customHeight="1">
      <c r="D251" s="243">
        <v>3</v>
      </c>
      <c r="E251" s="126" t="s">
        <v>211</v>
      </c>
      <c r="F251" s="126" t="s">
        <v>26</v>
      </c>
      <c r="G251" s="300">
        <f>(17.5+22)/2</f>
        <v>19.75</v>
      </c>
      <c r="H251" s="42" t="s">
        <v>12</v>
      </c>
      <c r="I251" s="43" t="s">
        <v>13</v>
      </c>
      <c r="J251" s="3"/>
      <c r="K251" s="52">
        <f>K242</f>
        <v>2</v>
      </c>
      <c r="L251" s="226" t="s">
        <v>13</v>
      </c>
      <c r="M251" s="30"/>
      <c r="N251" s="157">
        <f>G251*K251</f>
        <v>39.5</v>
      </c>
      <c r="O251" s="32"/>
      <c r="P251" s="45"/>
      <c r="Q251" s="30"/>
      <c r="R251" s="81">
        <f t="shared" si="37"/>
        <v>0</v>
      </c>
      <c r="S251" s="81">
        <f t="shared" si="37"/>
        <v>39.5</v>
      </c>
      <c r="T251" s="81">
        <f t="shared" si="37"/>
        <v>0</v>
      </c>
      <c r="U251" s="81">
        <f t="shared" si="37"/>
        <v>0</v>
      </c>
      <c r="V251" s="81">
        <f t="shared" si="37"/>
        <v>0</v>
      </c>
      <c r="W251" s="30"/>
      <c r="X251" s="49"/>
      <c r="Y251" s="50"/>
      <c r="Z251" s="50"/>
      <c r="AA251" s="50"/>
      <c r="AB251" s="51"/>
    </row>
    <row r="252" spans="2:28" ht="12" customHeight="1">
      <c r="D252" s="244">
        <v>4</v>
      </c>
      <c r="E252" s="127" t="s">
        <v>212</v>
      </c>
      <c r="F252" s="127" t="s">
        <v>26</v>
      </c>
      <c r="G252" s="300">
        <f>(3*13.7+11.8)/4</f>
        <v>13.224999999999998</v>
      </c>
      <c r="H252" s="42" t="s">
        <v>12</v>
      </c>
      <c r="I252" s="43" t="s">
        <v>13</v>
      </c>
      <c r="J252" s="3"/>
      <c r="K252" s="52">
        <f>K243</f>
        <v>4</v>
      </c>
      <c r="L252" s="227" t="s">
        <v>13</v>
      </c>
      <c r="M252" s="30"/>
      <c r="N252" s="157">
        <f>G252*K252</f>
        <v>52.899999999999991</v>
      </c>
      <c r="O252" s="32"/>
      <c r="P252" s="45"/>
      <c r="Q252" s="30"/>
      <c r="R252" s="81">
        <f t="shared" si="37"/>
        <v>0</v>
      </c>
      <c r="S252" s="81">
        <f t="shared" si="37"/>
        <v>52.899999999999991</v>
      </c>
      <c r="T252" s="81">
        <f t="shared" si="37"/>
        <v>0</v>
      </c>
      <c r="U252" s="81">
        <f t="shared" si="37"/>
        <v>0</v>
      </c>
      <c r="V252" s="81">
        <f t="shared" si="37"/>
        <v>0</v>
      </c>
      <c r="W252" s="30"/>
      <c r="X252" s="49"/>
      <c r="Y252" s="50"/>
      <c r="Z252" s="50"/>
      <c r="AA252" s="50"/>
      <c r="AB252" s="51"/>
    </row>
    <row r="253" spans="2:28" s="67" customFormat="1" ht="15" customHeight="1">
      <c r="B253" s="54"/>
      <c r="C253" s="55"/>
      <c r="D253" s="133"/>
      <c r="E253" s="56"/>
      <c r="F253" s="57" t="s">
        <v>14</v>
      </c>
      <c r="G253" s="58"/>
      <c r="H253" s="59"/>
      <c r="I253" s="60"/>
      <c r="J253" s="61"/>
      <c r="K253" s="82"/>
      <c r="L253" s="279"/>
      <c r="M253" s="62"/>
      <c r="N253" s="180">
        <f>SUM(N249:N252)</f>
        <v>102.89999999999999</v>
      </c>
      <c r="O253" s="61"/>
      <c r="P253" s="63"/>
      <c r="Q253" s="62"/>
      <c r="R253" s="83">
        <f>SUM(R249:R252)</f>
        <v>0</v>
      </c>
      <c r="S253" s="83">
        <f>SUM(S249:S252)</f>
        <v>102.89999999999999</v>
      </c>
      <c r="T253" s="83">
        <f>SUM(T249:T252)</f>
        <v>0</v>
      </c>
      <c r="U253" s="83">
        <f>SUM(U249:U252)</f>
        <v>0</v>
      </c>
      <c r="V253" s="83">
        <f>SUM(V249:V252)</f>
        <v>0</v>
      </c>
      <c r="W253" s="62"/>
      <c r="X253" s="65"/>
      <c r="Y253" s="59"/>
      <c r="Z253" s="59"/>
      <c r="AA253" s="59"/>
      <c r="AB253" s="66"/>
    </row>
    <row r="254" spans="2:28" ht="5.15" customHeight="1"/>
    <row r="255" spans="2:28" ht="20.149999999999999" customHeight="1">
      <c r="E255" s="26" t="s">
        <v>15</v>
      </c>
      <c r="F255" s="84" t="s">
        <v>16</v>
      </c>
      <c r="G255" s="85"/>
      <c r="H255" s="215" t="s">
        <v>4</v>
      </c>
      <c r="I255" s="232" t="s">
        <v>76</v>
      </c>
      <c r="K255" s="137" t="s">
        <v>67</v>
      </c>
      <c r="L255" s="211" t="s">
        <v>66</v>
      </c>
      <c r="N255" s="212" t="s">
        <v>11</v>
      </c>
      <c r="P255" s="73">
        <v>2011</v>
      </c>
      <c r="Q255" s="74"/>
      <c r="R255" s="75">
        <f>P255+1</f>
        <v>2012</v>
      </c>
      <c r="S255" s="75">
        <f>R255+1</f>
        <v>2013</v>
      </c>
      <c r="T255" s="75">
        <f>S255+1</f>
        <v>2014</v>
      </c>
      <c r="U255" s="75">
        <f>T255+1</f>
        <v>2015</v>
      </c>
      <c r="V255" s="75">
        <f>U255+1</f>
        <v>2016</v>
      </c>
      <c r="W255" s="74"/>
      <c r="X255" s="76">
        <f>V255+1</f>
        <v>2017</v>
      </c>
      <c r="Y255" s="76">
        <f>X255+1</f>
        <v>2018</v>
      </c>
      <c r="Z255" s="76">
        <f>Y255+1</f>
        <v>2019</v>
      </c>
      <c r="AA255" s="76">
        <f>Z255+1</f>
        <v>2020</v>
      </c>
      <c r="AB255" s="76">
        <f>AA255+1</f>
        <v>2021</v>
      </c>
    </row>
    <row r="256" spans="2:28" ht="4" customHeight="1"/>
    <row r="257" spans="3:28" ht="12" customHeight="1">
      <c r="C257" s="28"/>
      <c r="E257" s="77" t="s">
        <v>218</v>
      </c>
      <c r="F257" s="158" t="s">
        <v>219</v>
      </c>
      <c r="G257" s="86"/>
      <c r="H257" s="213" t="s">
        <v>71</v>
      </c>
      <c r="I257" s="216">
        <v>0.5</v>
      </c>
      <c r="J257" s="3"/>
      <c r="K257" s="298">
        <v>13</v>
      </c>
      <c r="L257" s="229" t="s">
        <v>73</v>
      </c>
      <c r="M257" s="30"/>
      <c r="N257" s="176">
        <f>I257*K257</f>
        <v>6.5</v>
      </c>
      <c r="O257" s="32"/>
      <c r="P257" s="88"/>
      <c r="Q257" s="30"/>
      <c r="R257" s="90"/>
      <c r="S257" s="91">
        <f>N257</f>
        <v>6.5</v>
      </c>
      <c r="T257" s="91"/>
      <c r="U257" s="91"/>
      <c r="V257" s="92"/>
      <c r="W257" s="30"/>
      <c r="X257" s="90"/>
      <c r="Y257" s="91"/>
      <c r="Z257" s="91"/>
      <c r="AA257" s="91"/>
      <c r="AB257" s="92"/>
    </row>
    <row r="258" spans="3:28" ht="12" customHeight="1">
      <c r="C258" s="28"/>
      <c r="E258" s="77" t="s">
        <v>215</v>
      </c>
      <c r="F258" s="158" t="s">
        <v>70</v>
      </c>
      <c r="G258" s="86"/>
      <c r="H258" s="213" t="s">
        <v>71</v>
      </c>
      <c r="I258" s="216">
        <v>0.25</v>
      </c>
      <c r="J258" s="3"/>
      <c r="K258" s="228">
        <v>5.7</v>
      </c>
      <c r="L258" s="229" t="s">
        <v>72</v>
      </c>
      <c r="M258" s="30"/>
      <c r="N258" s="176">
        <f>I258*K258</f>
        <v>1.425</v>
      </c>
      <c r="O258" s="32"/>
      <c r="P258" s="88"/>
      <c r="Q258" s="30"/>
      <c r="R258" s="90"/>
      <c r="S258" s="91">
        <f>N258</f>
        <v>1.425</v>
      </c>
      <c r="T258" s="91"/>
      <c r="U258" s="91"/>
      <c r="V258" s="92"/>
      <c r="W258" s="30"/>
      <c r="X258" s="90"/>
      <c r="Y258" s="91"/>
      <c r="Z258" s="91"/>
      <c r="AA258" s="91"/>
      <c r="AB258" s="92"/>
    </row>
    <row r="259" spans="3:28" ht="12" customHeight="1">
      <c r="C259" s="28"/>
      <c r="E259" s="105"/>
      <c r="F259" s="41" t="s">
        <v>17</v>
      </c>
      <c r="G259" s="93"/>
      <c r="H259" s="94"/>
      <c r="I259" s="217">
        <v>0.1</v>
      </c>
      <c r="J259" s="3"/>
      <c r="K259" s="174">
        <v>7</v>
      </c>
      <c r="L259" s="226" t="s">
        <v>73</v>
      </c>
      <c r="M259" s="30"/>
      <c r="N259" s="177">
        <f>I259*K259</f>
        <v>0.70000000000000007</v>
      </c>
      <c r="O259" s="32"/>
      <c r="P259" s="96"/>
      <c r="Q259" s="30"/>
      <c r="R259" s="97"/>
      <c r="S259" s="98">
        <f>N259</f>
        <v>0.70000000000000007</v>
      </c>
      <c r="T259" s="98"/>
      <c r="U259" s="98"/>
      <c r="V259" s="99"/>
      <c r="W259" s="30"/>
      <c r="X259" s="97"/>
      <c r="Y259" s="98"/>
      <c r="Z259" s="98"/>
      <c r="AA259" s="98"/>
      <c r="AB259" s="99"/>
    </row>
    <row r="260" spans="3:28" ht="12" customHeight="1">
      <c r="C260" s="28"/>
      <c r="E260" s="105" t="s">
        <v>216</v>
      </c>
      <c r="F260" s="41" t="s">
        <v>217</v>
      </c>
      <c r="G260" s="100"/>
      <c r="H260" s="94"/>
      <c r="I260" s="217">
        <f>0.25</f>
        <v>0.25</v>
      </c>
      <c r="J260" s="3"/>
      <c r="K260" s="200">
        <f>11*3</f>
        <v>33</v>
      </c>
      <c r="L260" s="230" t="s">
        <v>72</v>
      </c>
      <c r="M260" s="30"/>
      <c r="N260" s="177">
        <f>I260*K260</f>
        <v>8.25</v>
      </c>
      <c r="O260" s="32"/>
      <c r="P260" s="96"/>
      <c r="Q260" s="30"/>
      <c r="R260" s="257"/>
      <c r="S260" s="214">
        <f>N260</f>
        <v>8.25</v>
      </c>
      <c r="T260" s="214"/>
      <c r="U260" s="103"/>
      <c r="V260" s="104"/>
      <c r="W260" s="30"/>
      <c r="X260" s="102"/>
      <c r="Y260" s="103"/>
      <c r="Z260" s="103"/>
      <c r="AA260" s="103"/>
      <c r="AB260" s="104"/>
    </row>
    <row r="261" spans="3:28" ht="12" customHeight="1">
      <c r="C261" s="28"/>
      <c r="E261" s="105"/>
      <c r="F261" s="253" t="s">
        <v>17</v>
      </c>
      <c r="G261" s="100"/>
      <c r="H261" s="94"/>
      <c r="I261" s="217">
        <v>0.1</v>
      </c>
      <c r="J261" s="3"/>
      <c r="K261" s="174">
        <v>11</v>
      </c>
      <c r="L261" s="226" t="s">
        <v>73</v>
      </c>
      <c r="M261" s="30"/>
      <c r="N261" s="177">
        <f>I261*K261</f>
        <v>1.1000000000000001</v>
      </c>
      <c r="O261" s="32"/>
      <c r="P261" s="96"/>
      <c r="Q261" s="30"/>
      <c r="R261" s="257"/>
      <c r="S261" s="214">
        <f>N261</f>
        <v>1.1000000000000001</v>
      </c>
      <c r="T261" s="214"/>
      <c r="U261" s="103"/>
      <c r="V261" s="104"/>
      <c r="W261" s="30"/>
      <c r="X261" s="102"/>
      <c r="Y261" s="103"/>
      <c r="Z261" s="103"/>
      <c r="AA261" s="103"/>
      <c r="AB261" s="104"/>
    </row>
    <row r="262" spans="3:28" ht="12" customHeight="1">
      <c r="C262" s="28"/>
      <c r="E262" s="183" t="s">
        <v>62</v>
      </c>
      <c r="F262" s="186"/>
      <c r="G262" s="184"/>
      <c r="H262" s="94"/>
      <c r="I262" s="95"/>
      <c r="J262" s="3"/>
      <c r="K262" s="174"/>
      <c r="L262" s="226"/>
      <c r="M262" s="30"/>
      <c r="N262" s="177"/>
      <c r="O262" s="32"/>
      <c r="P262" s="96"/>
      <c r="Q262" s="30"/>
      <c r="R262" s="257"/>
      <c r="S262" s="214"/>
      <c r="T262" s="214"/>
      <c r="U262" s="103"/>
      <c r="V262" s="104"/>
      <c r="W262" s="30"/>
      <c r="X262" s="102"/>
      <c r="Y262" s="103"/>
      <c r="Z262" s="103"/>
      <c r="AA262" s="103"/>
      <c r="AB262" s="104"/>
    </row>
    <row r="263" spans="3:28" ht="12" customHeight="1">
      <c r="C263" s="28"/>
      <c r="E263" s="107" t="s">
        <v>118</v>
      </c>
      <c r="F263" s="254" t="s">
        <v>136</v>
      </c>
      <c r="G263" s="185"/>
      <c r="H263" s="94" t="s">
        <v>18</v>
      </c>
      <c r="I263" s="43">
        <v>7</v>
      </c>
      <c r="J263" s="3"/>
      <c r="K263" s="174">
        <v>1</v>
      </c>
      <c r="L263" s="226"/>
      <c r="M263" s="30"/>
      <c r="N263" s="178">
        <f>I263*K263</f>
        <v>7</v>
      </c>
      <c r="O263" s="32"/>
      <c r="P263" s="96"/>
      <c r="Q263" s="30"/>
      <c r="R263" s="257">
        <f>0.1*N263</f>
        <v>0.70000000000000007</v>
      </c>
      <c r="S263" s="214">
        <f t="shared" ref="S263:S264" si="38">0.5*N263</f>
        <v>3.5</v>
      </c>
      <c r="T263" s="214">
        <f>0.4*N263</f>
        <v>2.8000000000000003</v>
      </c>
      <c r="U263" s="103"/>
      <c r="V263" s="104"/>
      <c r="W263" s="30"/>
      <c r="X263" s="102"/>
      <c r="Y263" s="103"/>
      <c r="Z263" s="103"/>
      <c r="AA263" s="103"/>
      <c r="AB263" s="104"/>
    </row>
    <row r="264" spans="3:28" ht="12" customHeight="1">
      <c r="C264" s="28"/>
      <c r="E264" s="107" t="s">
        <v>41</v>
      </c>
      <c r="F264" s="248" t="s">
        <v>124</v>
      </c>
      <c r="G264" s="184"/>
      <c r="H264" s="94" t="s">
        <v>18</v>
      </c>
      <c r="I264" s="43">
        <v>0.12</v>
      </c>
      <c r="J264" s="3"/>
      <c r="K264" s="200">
        <f>36*10</f>
        <v>360</v>
      </c>
      <c r="L264" s="230"/>
      <c r="M264" s="30"/>
      <c r="N264" s="177">
        <f>I264*K264</f>
        <v>43.199999999999996</v>
      </c>
      <c r="O264" s="32"/>
      <c r="P264" s="96"/>
      <c r="Q264" s="30"/>
      <c r="R264" s="257">
        <f t="shared" ref="R264" si="39">0.1*N264</f>
        <v>4.3199999999999994</v>
      </c>
      <c r="S264" s="214">
        <f t="shared" si="38"/>
        <v>21.599999999999998</v>
      </c>
      <c r="T264" s="214">
        <f t="shared" ref="T264" si="40">0.4*N264</f>
        <v>17.279999999999998</v>
      </c>
      <c r="U264" s="103"/>
      <c r="V264" s="104"/>
      <c r="W264" s="30"/>
      <c r="X264" s="102"/>
      <c r="Y264" s="103"/>
      <c r="Z264" s="103"/>
      <c r="AA264" s="103"/>
      <c r="AB264" s="104"/>
    </row>
    <row r="265" spans="3:28" ht="12" customHeight="1">
      <c r="C265" s="28"/>
      <c r="E265" s="245" t="s">
        <v>44</v>
      </c>
      <c r="F265" s="246"/>
      <c r="G265" s="184"/>
      <c r="H265" s="94"/>
      <c r="I265" s="43"/>
      <c r="J265" s="3"/>
      <c r="K265" s="200"/>
      <c r="L265" s="230"/>
      <c r="M265" s="30"/>
      <c r="N265" s="177"/>
      <c r="O265" s="32"/>
      <c r="P265" s="96"/>
      <c r="Q265" s="30"/>
      <c r="R265" s="257"/>
      <c r="S265" s="214"/>
      <c r="T265" s="214"/>
      <c r="U265" s="103"/>
      <c r="V265" s="104"/>
      <c r="W265" s="30"/>
      <c r="X265" s="102"/>
      <c r="Y265" s="103"/>
      <c r="Z265" s="103"/>
      <c r="AA265" s="103"/>
      <c r="AB265" s="104"/>
    </row>
    <row r="266" spans="3:28" ht="12" customHeight="1">
      <c r="C266" s="28"/>
      <c r="E266" s="107" t="s">
        <v>44</v>
      </c>
      <c r="F266" s="247" t="s">
        <v>46</v>
      </c>
      <c r="G266" s="184"/>
      <c r="H266" s="94" t="s">
        <v>18</v>
      </c>
      <c r="I266" s="43">
        <v>65</v>
      </c>
      <c r="J266" s="3"/>
      <c r="K266" s="174">
        <v>1</v>
      </c>
      <c r="L266" s="226"/>
      <c r="M266" s="30"/>
      <c r="N266" s="177">
        <f>I266*K266</f>
        <v>65</v>
      </c>
      <c r="O266" s="32"/>
      <c r="P266" s="96"/>
      <c r="Q266" s="30"/>
      <c r="R266" s="257">
        <f t="shared" ref="R266:R269" si="41">0.1*N266</f>
        <v>6.5</v>
      </c>
      <c r="S266" s="214">
        <f t="shared" ref="S266:S269" si="42">0.5*N266</f>
        <v>32.5</v>
      </c>
      <c r="T266" s="214">
        <f t="shared" ref="T266:T269" si="43">0.4*N266</f>
        <v>26</v>
      </c>
      <c r="U266" s="103"/>
      <c r="V266" s="104"/>
      <c r="W266" s="30"/>
      <c r="X266" s="102"/>
      <c r="Y266" s="103"/>
      <c r="Z266" s="103"/>
      <c r="AA266" s="103"/>
      <c r="AB266" s="104"/>
    </row>
    <row r="267" spans="3:28" ht="12" customHeight="1">
      <c r="C267" s="28"/>
      <c r="E267" s="107"/>
      <c r="F267" s="247" t="s">
        <v>84</v>
      </c>
      <c r="G267" s="184"/>
      <c r="H267" s="94" t="s">
        <v>18</v>
      </c>
      <c r="I267" s="43">
        <v>0.12</v>
      </c>
      <c r="J267" s="3"/>
      <c r="K267" s="200">
        <f>26*8</f>
        <v>208</v>
      </c>
      <c r="L267" s="230" t="s">
        <v>75</v>
      </c>
      <c r="M267" s="30"/>
      <c r="N267" s="177">
        <f>I267*K267</f>
        <v>24.96</v>
      </c>
      <c r="O267" s="32"/>
      <c r="P267" s="96"/>
      <c r="Q267" s="30"/>
      <c r="R267" s="257">
        <f t="shared" si="41"/>
        <v>2.4960000000000004</v>
      </c>
      <c r="S267" s="214">
        <f t="shared" si="42"/>
        <v>12.48</v>
      </c>
      <c r="T267" s="214">
        <f t="shared" si="43"/>
        <v>9.9840000000000018</v>
      </c>
      <c r="U267" s="103"/>
      <c r="V267" s="104"/>
      <c r="W267" s="30"/>
      <c r="X267" s="102"/>
      <c r="Y267" s="103"/>
      <c r="Z267" s="103"/>
      <c r="AA267" s="103"/>
      <c r="AB267" s="104"/>
    </row>
    <row r="268" spans="3:28" ht="12" customHeight="1">
      <c r="C268" s="28"/>
      <c r="E268" s="107" t="s">
        <v>48</v>
      </c>
      <c r="F268" s="247" t="s">
        <v>148</v>
      </c>
      <c r="G268" s="184"/>
      <c r="H268" s="94"/>
      <c r="I268" s="43">
        <v>0.12</v>
      </c>
      <c r="J268" s="3"/>
      <c r="K268" s="200">
        <f>26*12</f>
        <v>312</v>
      </c>
      <c r="L268" s="230" t="s">
        <v>75</v>
      </c>
      <c r="M268" s="30"/>
      <c r="N268" s="177">
        <f>I268*K268</f>
        <v>37.44</v>
      </c>
      <c r="O268" s="32"/>
      <c r="P268" s="96"/>
      <c r="Q268" s="30"/>
      <c r="R268" s="257">
        <f t="shared" si="41"/>
        <v>3.7439999999999998</v>
      </c>
      <c r="S268" s="214">
        <f t="shared" si="42"/>
        <v>18.72</v>
      </c>
      <c r="T268" s="214">
        <f t="shared" si="43"/>
        <v>14.975999999999999</v>
      </c>
      <c r="U268" s="103"/>
      <c r="V268" s="104"/>
      <c r="W268" s="30"/>
      <c r="X268" s="102"/>
      <c r="Y268" s="103"/>
      <c r="Z268" s="103"/>
      <c r="AA268" s="103"/>
      <c r="AB268" s="104"/>
    </row>
    <row r="269" spans="3:28" ht="12" customHeight="1">
      <c r="C269" s="28"/>
      <c r="E269" s="189" t="s">
        <v>59</v>
      </c>
      <c r="F269" s="256" t="s">
        <v>139</v>
      </c>
      <c r="G269" s="190"/>
      <c r="H269" s="94"/>
      <c r="I269" s="43"/>
      <c r="J269" s="3"/>
      <c r="K269" s="175"/>
      <c r="L269" s="231"/>
      <c r="M269" s="30"/>
      <c r="N269" s="234">
        <f>SUM(N257:N268)*0.1</f>
        <v>19.557500000000005</v>
      </c>
      <c r="O269" s="32"/>
      <c r="P269" s="109"/>
      <c r="Q269" s="30"/>
      <c r="R269" s="258">
        <f t="shared" si="41"/>
        <v>1.9557500000000005</v>
      </c>
      <c r="S269" s="259">
        <f t="shared" si="42"/>
        <v>9.7787500000000023</v>
      </c>
      <c r="T269" s="259">
        <f t="shared" si="43"/>
        <v>7.8230000000000022</v>
      </c>
      <c r="U269" s="111"/>
      <c r="V269" s="112"/>
      <c r="W269" s="30"/>
      <c r="X269" s="110"/>
      <c r="Y269" s="111"/>
      <c r="Z269" s="111"/>
      <c r="AA269" s="111"/>
      <c r="AB269" s="112"/>
    </row>
    <row r="270" spans="3:28" ht="4" customHeight="1">
      <c r="E270" s="3"/>
      <c r="J270" s="3"/>
    </row>
    <row r="271" spans="3:28" ht="15" customHeight="1">
      <c r="F271" s="113" t="s">
        <v>19</v>
      </c>
      <c r="G271" s="114"/>
      <c r="H271" s="114"/>
      <c r="I271" s="85"/>
      <c r="K271" s="22"/>
      <c r="L271" s="207"/>
      <c r="M271" s="20"/>
      <c r="N271" s="179">
        <f>SUM(N257:N269)</f>
        <v>215.13250000000002</v>
      </c>
      <c r="O271" s="20"/>
      <c r="P271" s="22"/>
      <c r="Q271" s="20"/>
      <c r="R271" s="180">
        <f>SUM(R258:R269)</f>
        <v>19.71575</v>
      </c>
      <c r="S271" s="181">
        <f>SUM(S258:S269)</f>
        <v>110.05374999999999</v>
      </c>
      <c r="T271" s="181">
        <f>SUM(T258:T269)</f>
        <v>78.863</v>
      </c>
      <c r="U271" s="182">
        <f>SUM(U258:U269)</f>
        <v>0</v>
      </c>
      <c r="V271" s="180">
        <f>SUM(V258:V269)</f>
        <v>0</v>
      </c>
      <c r="W271" s="115"/>
      <c r="X271" s="160">
        <f>SUM(X258:X269)</f>
        <v>0</v>
      </c>
      <c r="Y271" s="161">
        <f>SUM(Y258:Y269)</f>
        <v>0</v>
      </c>
      <c r="Z271" s="161">
        <f>SUM(Z258:Z269)</f>
        <v>0</v>
      </c>
      <c r="AA271" s="161">
        <f>SUM(AA258:AA269)</f>
        <v>0</v>
      </c>
      <c r="AB271" s="161">
        <f>SUM(AB258:AB269)</f>
        <v>0</v>
      </c>
    </row>
    <row r="272" spans="3:28" ht="10" customHeight="1">
      <c r="F272" s="192"/>
      <c r="G272" s="193"/>
      <c r="H272" s="193"/>
      <c r="I272" s="193"/>
      <c r="K272" s="168"/>
      <c r="L272" s="20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94"/>
      <c r="X272" s="195"/>
      <c r="Y272" s="195"/>
      <c r="Z272" s="195"/>
      <c r="AA272" s="195"/>
      <c r="AB272" s="195"/>
    </row>
    <row r="273" spans="2:28" ht="15" customHeight="1">
      <c r="B273" s="164" t="s">
        <v>83</v>
      </c>
      <c r="C273" s="6"/>
      <c r="E273" s="116" t="s">
        <v>20</v>
      </c>
    </row>
    <row r="274" spans="2:28" ht="25" customHeight="1">
      <c r="B274" s="6"/>
      <c r="C274" s="9"/>
      <c r="E274" s="262" t="s">
        <v>147</v>
      </c>
      <c r="F274" s="237"/>
      <c r="K274" s="333" t="s">
        <v>9</v>
      </c>
      <c r="L274" s="334"/>
      <c r="M274" s="334"/>
      <c r="N274" s="335"/>
      <c r="O274" s="24"/>
      <c r="P274" s="68" t="s">
        <v>10</v>
      </c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70"/>
    </row>
    <row r="275" spans="2:28" ht="15" customHeight="1">
      <c r="E275" s="26" t="s">
        <v>21</v>
      </c>
      <c r="F275" s="84" t="s">
        <v>22</v>
      </c>
      <c r="G275" s="85"/>
      <c r="H275" s="73" t="s">
        <v>4</v>
      </c>
      <c r="I275" s="75" t="s">
        <v>23</v>
      </c>
      <c r="K275" s="71"/>
      <c r="M275" s="24"/>
      <c r="N275" s="72" t="s">
        <v>11</v>
      </c>
      <c r="O275" s="24"/>
      <c r="P275" s="73">
        <v>2011</v>
      </c>
      <c r="Q275" s="74"/>
      <c r="R275" s="75">
        <f>P275+1</f>
        <v>2012</v>
      </c>
      <c r="S275" s="75">
        <f>R275+1</f>
        <v>2013</v>
      </c>
      <c r="T275" s="75">
        <f>S275+1</f>
        <v>2014</v>
      </c>
      <c r="U275" s="75">
        <f>T275+1</f>
        <v>2015</v>
      </c>
      <c r="V275" s="75">
        <f>U275+1</f>
        <v>2016</v>
      </c>
      <c r="W275" s="74"/>
      <c r="X275" s="76">
        <f>V275+1</f>
        <v>2017</v>
      </c>
      <c r="Y275" s="76">
        <f>X275+1</f>
        <v>2018</v>
      </c>
      <c r="Z275" s="76">
        <f>Y275+1</f>
        <v>2019</v>
      </c>
      <c r="AA275" s="76">
        <f>Z275+1</f>
        <v>2020</v>
      </c>
      <c r="AB275" s="76">
        <f>AA275+1</f>
        <v>2021</v>
      </c>
    </row>
    <row r="276" spans="2:28" ht="4" customHeight="1"/>
    <row r="277" spans="2:28" ht="12" customHeight="1">
      <c r="C277" s="28"/>
      <c r="E277" s="77" t="s">
        <v>3</v>
      </c>
      <c r="F277" s="197" t="s">
        <v>224</v>
      </c>
      <c r="G277" s="117"/>
      <c r="H277" s="73"/>
      <c r="I277" s="75"/>
      <c r="J277" s="3"/>
      <c r="K277" s="87"/>
      <c r="L277" s="204"/>
      <c r="M277" s="30"/>
      <c r="N277" s="176">
        <f>N253</f>
        <v>102.89999999999999</v>
      </c>
      <c r="O277" s="32"/>
      <c r="P277" s="88"/>
      <c r="Q277" s="30"/>
      <c r="R277" s="89">
        <f>R253</f>
        <v>0</v>
      </c>
      <c r="S277" s="89">
        <f>S253</f>
        <v>102.89999999999999</v>
      </c>
      <c r="T277" s="89">
        <f>T253</f>
        <v>0</v>
      </c>
      <c r="U277" s="89">
        <f>U253</f>
        <v>0</v>
      </c>
      <c r="V277" s="220">
        <f>V253</f>
        <v>0</v>
      </c>
      <c r="X277" s="199"/>
      <c r="Y277" s="118"/>
      <c r="Z277" s="118"/>
      <c r="AA277" s="118"/>
      <c r="AB277" s="119"/>
    </row>
    <row r="278" spans="2:28" ht="12" customHeight="1">
      <c r="C278" s="28"/>
      <c r="E278" s="105" t="s">
        <v>218</v>
      </c>
      <c r="F278" s="41" t="s">
        <v>221</v>
      </c>
      <c r="G278" s="100"/>
      <c r="H278" s="94"/>
      <c r="I278" s="43"/>
      <c r="J278" s="3"/>
      <c r="K278" s="101"/>
      <c r="L278" s="204"/>
      <c r="M278" s="30"/>
      <c r="N278" s="178">
        <f>N257</f>
        <v>6.5</v>
      </c>
      <c r="O278" s="32"/>
      <c r="P278" s="96"/>
      <c r="Q278" s="30"/>
      <c r="R278" s="157">
        <f>SUM(R252:R255)</f>
        <v>2012</v>
      </c>
      <c r="S278" s="157">
        <f t="shared" ref="S278:V278" si="44">SUM(S252:S255)</f>
        <v>2168.8000000000002</v>
      </c>
      <c r="T278" s="157">
        <f t="shared" si="44"/>
        <v>2014</v>
      </c>
      <c r="U278" s="157">
        <f t="shared" si="44"/>
        <v>2015</v>
      </c>
      <c r="V278" s="157">
        <f t="shared" si="44"/>
        <v>2016</v>
      </c>
      <c r="W278" s="30"/>
      <c r="X278" s="102"/>
      <c r="Y278" s="103"/>
      <c r="Z278" s="103"/>
      <c r="AA278" s="103"/>
      <c r="AB278" s="104"/>
    </row>
    <row r="279" spans="2:28" ht="12" customHeight="1">
      <c r="C279" s="28"/>
      <c r="E279" s="105" t="s">
        <v>29</v>
      </c>
      <c r="F279" s="41" t="s">
        <v>220</v>
      </c>
      <c r="G279" s="100"/>
      <c r="H279" s="94"/>
      <c r="I279" s="43"/>
      <c r="J279" s="3"/>
      <c r="K279" s="101"/>
      <c r="L279" s="204"/>
      <c r="M279" s="30"/>
      <c r="N279" s="178">
        <f>SUM(N258:N261)</f>
        <v>11.475</v>
      </c>
      <c r="O279" s="32"/>
      <c r="P279" s="96"/>
      <c r="Q279" s="30"/>
      <c r="R279" s="157">
        <f>SUM(R258:R261)</f>
        <v>0</v>
      </c>
      <c r="S279" s="157">
        <f t="shared" ref="S279:V279" si="45">SUM(S258:S261)</f>
        <v>11.475</v>
      </c>
      <c r="T279" s="157">
        <f t="shared" si="45"/>
        <v>0</v>
      </c>
      <c r="U279" s="157">
        <f t="shared" si="45"/>
        <v>0</v>
      </c>
      <c r="V279" s="157">
        <f t="shared" si="45"/>
        <v>0</v>
      </c>
      <c r="W279" s="30"/>
      <c r="X279" s="102"/>
      <c r="Y279" s="103"/>
      <c r="Z279" s="103"/>
      <c r="AA279" s="103"/>
      <c r="AB279" s="104"/>
    </row>
    <row r="280" spans="2:28" ht="12" customHeight="1">
      <c r="C280" s="28"/>
      <c r="E280" s="105" t="s">
        <v>52</v>
      </c>
      <c r="F280" s="41" t="s">
        <v>51</v>
      </c>
      <c r="G280" s="100"/>
      <c r="H280" s="94"/>
      <c r="I280" s="43"/>
      <c r="J280" s="3"/>
      <c r="K280" s="101"/>
      <c r="L280" s="204"/>
      <c r="M280" s="30"/>
      <c r="N280" s="178">
        <f>SUM(N263:N264)</f>
        <v>50.199999999999996</v>
      </c>
      <c r="O280" s="32"/>
      <c r="P280" s="96"/>
      <c r="Q280" s="30"/>
      <c r="R280" s="178">
        <f>SUM(R263:R264)</f>
        <v>5.0199999999999996</v>
      </c>
      <c r="S280" s="178">
        <f t="shared" ref="S280:V280" si="46">SUM(S263:S264)</f>
        <v>25.099999999999998</v>
      </c>
      <c r="T280" s="178">
        <f t="shared" si="46"/>
        <v>20.079999999999998</v>
      </c>
      <c r="U280" s="178">
        <f t="shared" si="46"/>
        <v>0</v>
      </c>
      <c r="V280" s="178">
        <f t="shared" si="46"/>
        <v>0</v>
      </c>
      <c r="W280" s="30"/>
      <c r="X280" s="102"/>
      <c r="Y280" s="103"/>
      <c r="Z280" s="103"/>
      <c r="AA280" s="103"/>
      <c r="AB280" s="104"/>
    </row>
    <row r="281" spans="2:28" ht="12" customHeight="1">
      <c r="C281" s="28"/>
      <c r="E281" s="105" t="s">
        <v>53</v>
      </c>
      <c r="F281" s="41" t="s">
        <v>82</v>
      </c>
      <c r="G281" s="100"/>
      <c r="H281" s="94"/>
      <c r="I281" s="43"/>
      <c r="J281" s="3"/>
      <c r="K281" s="101"/>
      <c r="L281" s="204"/>
      <c r="M281" s="30"/>
      <c r="N281" s="178">
        <f>SUM(N266:N267)</f>
        <v>89.960000000000008</v>
      </c>
      <c r="O281" s="32"/>
      <c r="P281" s="96"/>
      <c r="Q281" s="30"/>
      <c r="R281" s="178">
        <f>SUM(R266:R267)</f>
        <v>8.9960000000000004</v>
      </c>
      <c r="S281" s="178">
        <f t="shared" ref="S281:V281" si="47">SUM(S266:S267)</f>
        <v>44.980000000000004</v>
      </c>
      <c r="T281" s="178">
        <f t="shared" si="47"/>
        <v>35.984000000000002</v>
      </c>
      <c r="U281" s="178">
        <f t="shared" si="47"/>
        <v>0</v>
      </c>
      <c r="V281" s="178">
        <f t="shared" si="47"/>
        <v>0</v>
      </c>
      <c r="W281" s="30"/>
      <c r="X281" s="102"/>
      <c r="Y281" s="103"/>
      <c r="Z281" s="103"/>
      <c r="AA281" s="103"/>
      <c r="AB281" s="104"/>
    </row>
    <row r="282" spans="2:28" ht="12" customHeight="1">
      <c r="C282" s="28"/>
      <c r="E282" s="105" t="s">
        <v>55</v>
      </c>
      <c r="F282" s="41" t="s">
        <v>165</v>
      </c>
      <c r="G282" s="100"/>
      <c r="H282" s="94"/>
      <c r="I282" s="43"/>
      <c r="J282" s="3"/>
      <c r="K282" s="101"/>
      <c r="L282" s="204"/>
      <c r="M282" s="30"/>
      <c r="N282" s="178">
        <f>SUM(N268:N268)</f>
        <v>37.44</v>
      </c>
      <c r="O282" s="32"/>
      <c r="P282" s="96"/>
      <c r="Q282" s="30"/>
      <c r="R282" s="178">
        <f>SUM(R268:R268)</f>
        <v>3.7439999999999998</v>
      </c>
      <c r="S282" s="178">
        <f>SUM(S268:S268)</f>
        <v>18.72</v>
      </c>
      <c r="T282" s="178">
        <f>SUM(T268:T268)</f>
        <v>14.975999999999999</v>
      </c>
      <c r="U282" s="178">
        <f>SUM(U268:U268)</f>
        <v>0</v>
      </c>
      <c r="V282" s="178">
        <f>SUM(V268:V268)</f>
        <v>0</v>
      </c>
      <c r="W282" s="30"/>
      <c r="X282" s="102"/>
      <c r="Y282" s="103"/>
      <c r="Z282" s="103"/>
      <c r="AA282" s="103"/>
      <c r="AB282" s="104"/>
    </row>
    <row r="283" spans="2:28" ht="12" customHeight="1">
      <c r="C283" s="28"/>
      <c r="E283" s="108" t="s">
        <v>59</v>
      </c>
      <c r="F283" s="256" t="s">
        <v>139</v>
      </c>
      <c r="G283" s="120"/>
      <c r="H283" s="94"/>
      <c r="I283" s="43"/>
      <c r="J283" s="3"/>
      <c r="K283" s="121"/>
      <c r="L283" s="204"/>
      <c r="M283" s="30"/>
      <c r="N283" s="234">
        <f>N269</f>
        <v>19.557500000000005</v>
      </c>
      <c r="O283" s="32"/>
      <c r="P283" s="109"/>
      <c r="Q283" s="30"/>
      <c r="R283" s="163">
        <f t="shared" ref="R283:V283" si="48">R269</f>
        <v>1.9557500000000005</v>
      </c>
      <c r="S283" s="163">
        <f t="shared" si="48"/>
        <v>9.7787500000000023</v>
      </c>
      <c r="T283" s="163">
        <f t="shared" si="48"/>
        <v>7.8230000000000022</v>
      </c>
      <c r="U283" s="163">
        <f t="shared" si="48"/>
        <v>0</v>
      </c>
      <c r="V283" s="163">
        <f t="shared" si="48"/>
        <v>0</v>
      </c>
      <c r="W283" s="30"/>
      <c r="X283" s="218"/>
      <c r="Y283" s="111"/>
      <c r="Z283" s="111"/>
      <c r="AA283" s="111"/>
      <c r="AB283" s="112"/>
    </row>
    <row r="284" spans="2:28" ht="4" customHeight="1">
      <c r="E284" s="3"/>
      <c r="J284" s="3"/>
    </row>
    <row r="285" spans="2:28" ht="15" customHeight="1">
      <c r="F285" s="122" t="s">
        <v>24</v>
      </c>
      <c r="G285" s="114"/>
      <c r="H285" s="114"/>
      <c r="I285" s="85"/>
      <c r="K285" s="22"/>
      <c r="L285" s="207"/>
      <c r="M285" s="20"/>
      <c r="N285" s="162">
        <f>SUM(N277:N283)</f>
        <v>318.03249999999997</v>
      </c>
      <c r="O285" s="20"/>
      <c r="P285" s="22"/>
      <c r="Q285" s="20"/>
      <c r="R285" s="198">
        <f>SUM(R277:R283)</f>
        <v>2031.7157500000001</v>
      </c>
      <c r="S285" s="198">
        <f>SUM(S277:S283)</f>
        <v>2381.7537499999999</v>
      </c>
      <c r="T285" s="198">
        <f>SUM(T277:T283)</f>
        <v>2092.8629999999998</v>
      </c>
      <c r="U285" s="198">
        <f>SUM(U277:U283)</f>
        <v>2015</v>
      </c>
      <c r="V285" s="198">
        <f>SUM(V277:V283)</f>
        <v>2016</v>
      </c>
      <c r="W285" s="115"/>
      <c r="X285" s="160">
        <f>SUM(X277:X283)</f>
        <v>0</v>
      </c>
      <c r="Y285" s="160">
        <f>SUM(Y277:Y283)</f>
        <v>0</v>
      </c>
      <c r="Z285" s="160">
        <f>SUM(Z277:Z283)</f>
        <v>0</v>
      </c>
      <c r="AA285" s="160">
        <f>SUM(AA277:AA283)</f>
        <v>0</v>
      </c>
      <c r="AB285" s="160">
        <f>SUM(AB277:AB283)</f>
        <v>0</v>
      </c>
    </row>
    <row r="286" spans="2:28" ht="10" customHeight="1"/>
    <row r="287" spans="2:28" ht="12" customHeight="1"/>
    <row r="288" spans="2:28" ht="12" customHeight="1"/>
    <row r="289" spans="2:29" ht="12" customHeight="1"/>
    <row r="290" spans="2:29" ht="12" customHeight="1"/>
    <row r="291" spans="2:29" ht="10" customHeight="1" thickBot="1"/>
    <row r="292" spans="2:29" ht="18" customHeight="1" thickBot="1">
      <c r="B292" s="315" t="s">
        <v>227</v>
      </c>
      <c r="C292" s="316"/>
      <c r="D292" s="316"/>
      <c r="E292" s="316"/>
      <c r="F292" s="316"/>
      <c r="G292" s="316"/>
      <c r="H292" s="316"/>
      <c r="I292" s="316"/>
      <c r="J292" s="316"/>
      <c r="K292" s="316"/>
      <c r="L292" s="316"/>
      <c r="M292" s="316"/>
      <c r="N292" s="316"/>
      <c r="O292" s="316"/>
      <c r="P292" s="316"/>
      <c r="Q292" s="316"/>
      <c r="R292" s="316"/>
      <c r="S292" s="316"/>
      <c r="T292" s="316"/>
      <c r="U292" s="316"/>
      <c r="V292" s="316"/>
      <c r="W292" s="316"/>
      <c r="X292" s="316"/>
      <c r="Y292" s="316"/>
      <c r="Z292" s="316"/>
      <c r="AA292" s="316"/>
      <c r="AB292" s="317"/>
    </row>
    <row r="293" spans="2:29" ht="10" customHeight="1" thickBot="1"/>
    <row r="294" spans="2:29" ht="15" customHeight="1" thickBot="1">
      <c r="B294" s="164" t="s">
        <v>85</v>
      </c>
      <c r="C294" s="6"/>
      <c r="D294" s="132"/>
      <c r="E294" s="252" t="s">
        <v>86</v>
      </c>
      <c r="F294" s="7"/>
      <c r="G294" s="8"/>
    </row>
    <row r="295" spans="2:29" ht="15" customHeight="1">
      <c r="B295" s="6"/>
      <c r="C295" s="9"/>
      <c r="D295" s="130"/>
      <c r="E295" s="269" t="s">
        <v>126</v>
      </c>
      <c r="F295" s="251" t="s">
        <v>149</v>
      </c>
      <c r="G295" s="11"/>
    </row>
    <row r="296" spans="2:29" ht="12" customHeight="1">
      <c r="B296" s="6"/>
      <c r="C296" s="6"/>
      <c r="D296" s="132"/>
      <c r="E296" s="12"/>
      <c r="F296" s="26" t="s">
        <v>159</v>
      </c>
      <c r="G296" s="11"/>
    </row>
    <row r="297" spans="2:29" ht="12" customHeight="1">
      <c r="B297" s="6"/>
      <c r="C297" s="6"/>
      <c r="D297" s="132"/>
      <c r="E297" s="12"/>
      <c r="F297" s="273" t="s">
        <v>7</v>
      </c>
      <c r="G297" s="14">
        <v>2014</v>
      </c>
      <c r="P297" s="137">
        <v>2011</v>
      </c>
      <c r="Q297" s="138"/>
      <c r="R297" s="137">
        <f>P297+1</f>
        <v>2012</v>
      </c>
      <c r="S297" s="137">
        <f>R297+1</f>
        <v>2013</v>
      </c>
      <c r="T297" s="137">
        <f>S297+1</f>
        <v>2014</v>
      </c>
      <c r="U297" s="137">
        <f>T297+1</f>
        <v>2015</v>
      </c>
      <c r="V297" s="137">
        <f>U297+1</f>
        <v>2016</v>
      </c>
      <c r="W297" s="138"/>
      <c r="X297" s="139">
        <f>V297+1</f>
        <v>2017</v>
      </c>
      <c r="Y297" s="139">
        <f>X297+1</f>
        <v>2018</v>
      </c>
      <c r="Z297" s="139">
        <f>Y297+1</f>
        <v>2019</v>
      </c>
      <c r="AA297" s="139">
        <f>Z297+1</f>
        <v>2020</v>
      </c>
      <c r="AB297" s="139">
        <f>AA297+1</f>
        <v>2021</v>
      </c>
    </row>
    <row r="298" spans="2:29" ht="12" customHeight="1">
      <c r="F298" s="1"/>
      <c r="G298" s="209" t="s">
        <v>68</v>
      </c>
      <c r="H298" s="18"/>
      <c r="I298" s="18"/>
      <c r="K298" s="19"/>
      <c r="L298" s="203"/>
      <c r="M298" s="20"/>
      <c r="N298" s="21" t="s">
        <v>0</v>
      </c>
      <c r="O298" s="20"/>
      <c r="P298" s="22"/>
      <c r="Q298" s="20"/>
      <c r="R298" s="140"/>
      <c r="S298" s="141"/>
      <c r="T298" s="142">
        <v>23.7</v>
      </c>
      <c r="U298" s="140">
        <v>33.799999999999997</v>
      </c>
      <c r="V298" s="143">
        <v>30.5</v>
      </c>
      <c r="W298" s="23"/>
      <c r="X298" s="144">
        <v>28.3</v>
      </c>
      <c r="Y298" s="144">
        <v>25.700000000000003</v>
      </c>
      <c r="Z298" s="144">
        <v>19.100000000000001</v>
      </c>
      <c r="AA298" s="144">
        <v>15.1</v>
      </c>
      <c r="AB298" s="144">
        <v>15.1</v>
      </c>
    </row>
    <row r="299" spans="2:29" ht="12" customHeight="1">
      <c r="F299" s="1"/>
      <c r="G299" s="210" t="s">
        <v>69</v>
      </c>
      <c r="H299" s="18"/>
      <c r="I299" s="18"/>
      <c r="K299" s="19"/>
      <c r="L299" s="203"/>
      <c r="M299" s="20"/>
      <c r="N299" s="21" t="s">
        <v>1</v>
      </c>
      <c r="O299" s="20"/>
      <c r="P299" s="22"/>
      <c r="Q299" s="20"/>
      <c r="R299" s="140"/>
      <c r="S299" s="141"/>
      <c r="T299" s="142">
        <v>11.600000000000001</v>
      </c>
      <c r="U299" s="140">
        <v>16.600000000000001</v>
      </c>
      <c r="V299" s="143">
        <v>15.899999999999999</v>
      </c>
      <c r="W299" s="23"/>
      <c r="X299" s="144">
        <v>15.1</v>
      </c>
      <c r="Y299" s="144">
        <v>14.100000000000001</v>
      </c>
      <c r="Z299" s="144">
        <v>10.600000000000001</v>
      </c>
      <c r="AA299" s="144">
        <v>7.9</v>
      </c>
      <c r="AB299" s="144">
        <v>7.9</v>
      </c>
    </row>
    <row r="300" spans="2:29" ht="10" customHeight="1">
      <c r="F300" s="1"/>
      <c r="G300" s="165"/>
      <c r="H300" s="166"/>
      <c r="I300" s="166"/>
      <c r="K300" s="167"/>
      <c r="L300" s="204"/>
      <c r="M300" s="168"/>
      <c r="N300" s="169"/>
      <c r="O300" s="168"/>
      <c r="P300" s="168"/>
      <c r="Q300" s="168"/>
      <c r="R300" s="170"/>
      <c r="S300" s="170"/>
      <c r="T300" s="170"/>
      <c r="U300" s="170"/>
      <c r="V300" s="170"/>
      <c r="W300" s="171"/>
      <c r="X300" s="172"/>
      <c r="Y300" s="172"/>
      <c r="Z300" s="172"/>
      <c r="AA300" s="172"/>
      <c r="AB300" s="172"/>
    </row>
    <row r="301" spans="2:29" ht="12" customHeight="1">
      <c r="E301" s="26" t="s">
        <v>8</v>
      </c>
      <c r="F301" s="27" t="s">
        <v>27</v>
      </c>
      <c r="O301" s="24"/>
      <c r="P301" s="134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6"/>
    </row>
    <row r="302" spans="2:29" ht="12" customHeight="1">
      <c r="C302" s="25"/>
      <c r="F302" s="1"/>
      <c r="G302" s="5"/>
      <c r="O302" s="24"/>
      <c r="P302" s="15">
        <v>2011</v>
      </c>
      <c r="Q302" s="16"/>
      <c r="R302" s="16">
        <f>P302+1</f>
        <v>2012</v>
      </c>
      <c r="S302" s="16">
        <f>R302+1</f>
        <v>2013</v>
      </c>
      <c r="T302" s="16">
        <f>S302+1</f>
        <v>2014</v>
      </c>
      <c r="U302" s="16">
        <f>T302+1</f>
        <v>2015</v>
      </c>
      <c r="V302" s="16">
        <f>U302+1</f>
        <v>2016</v>
      </c>
      <c r="W302" s="16"/>
      <c r="X302" s="17">
        <f>V302+1</f>
        <v>2017</v>
      </c>
      <c r="Y302" s="17">
        <f>X302+1</f>
        <v>2018</v>
      </c>
      <c r="Z302" s="17">
        <f>Y302+1</f>
        <v>2019</v>
      </c>
      <c r="AA302" s="17">
        <f>Z302+1</f>
        <v>2020</v>
      </c>
      <c r="AB302" s="17">
        <f>AA302+1</f>
        <v>2021</v>
      </c>
      <c r="AC302" s="24"/>
    </row>
    <row r="303" spans="2:29" ht="4" customHeight="1"/>
    <row r="304" spans="2:29" ht="12" customHeight="1">
      <c r="D304" s="242">
        <v>1</v>
      </c>
      <c r="E304" s="125" t="s">
        <v>209</v>
      </c>
      <c r="F304" s="125" t="s">
        <v>210</v>
      </c>
      <c r="G304" s="145"/>
      <c r="H304" s="150"/>
      <c r="I304" s="151"/>
      <c r="J304" s="3"/>
      <c r="K304" s="295">
        <v>4</v>
      </c>
      <c r="L304" s="201"/>
      <c r="M304" s="30"/>
      <c r="N304" s="87"/>
      <c r="O304" s="32"/>
      <c r="P304" s="33"/>
      <c r="Q304" s="30"/>
      <c r="R304" s="34"/>
      <c r="S304" s="35">
        <f>K304</f>
        <v>4</v>
      </c>
      <c r="T304" s="35"/>
      <c r="U304" s="35"/>
      <c r="V304" s="36"/>
      <c r="W304" s="30"/>
      <c r="X304" s="37"/>
      <c r="Y304" s="38"/>
      <c r="Z304" s="38"/>
      <c r="AA304" s="38"/>
      <c r="AB304" s="39"/>
    </row>
    <row r="305" spans="2:28" ht="12" customHeight="1">
      <c r="D305" s="243">
        <v>2</v>
      </c>
      <c r="E305" s="126" t="s">
        <v>222</v>
      </c>
      <c r="F305" s="126" t="s">
        <v>223</v>
      </c>
      <c r="G305" s="146"/>
      <c r="H305" s="152"/>
      <c r="I305" s="153"/>
      <c r="J305" s="3"/>
      <c r="K305" s="296">
        <v>2</v>
      </c>
      <c r="L305" s="201"/>
      <c r="M305" s="30"/>
      <c r="N305" s="101"/>
      <c r="O305" s="32"/>
      <c r="P305" s="45"/>
      <c r="Q305" s="30"/>
      <c r="R305" s="46"/>
      <c r="S305" s="47">
        <f>K305</f>
        <v>2</v>
      </c>
      <c r="T305" s="47"/>
      <c r="U305" s="47"/>
      <c r="V305" s="48"/>
      <c r="W305" s="30"/>
      <c r="X305" s="49"/>
      <c r="Y305" s="50"/>
      <c r="Z305" s="50"/>
      <c r="AA305" s="50"/>
      <c r="AB305" s="51"/>
    </row>
    <row r="306" spans="2:28" ht="12" customHeight="1">
      <c r="D306" s="243">
        <v>3</v>
      </c>
      <c r="E306" s="126" t="s">
        <v>211</v>
      </c>
      <c r="F306" s="126" t="s">
        <v>26</v>
      </c>
      <c r="G306" s="146"/>
      <c r="H306" s="152"/>
      <c r="I306" s="153"/>
      <c r="J306" s="3"/>
      <c r="K306" s="44">
        <v>2</v>
      </c>
      <c r="L306" s="201"/>
      <c r="M306" s="30"/>
      <c r="N306" s="53"/>
      <c r="O306" s="32"/>
      <c r="P306" s="45"/>
      <c r="Q306" s="30"/>
      <c r="R306" s="46"/>
      <c r="S306" s="47">
        <f t="shared" ref="S306" si="49">K306</f>
        <v>2</v>
      </c>
      <c r="T306" s="47"/>
      <c r="U306" s="47"/>
      <c r="V306" s="48"/>
      <c r="W306" s="30"/>
      <c r="X306" s="49"/>
      <c r="Y306" s="50"/>
      <c r="Z306" s="50"/>
      <c r="AA306" s="50"/>
      <c r="AB306" s="51"/>
    </row>
    <row r="307" spans="2:28" ht="12" customHeight="1">
      <c r="D307" s="244">
        <v>4</v>
      </c>
      <c r="E307" s="127" t="s">
        <v>212</v>
      </c>
      <c r="F307" s="127" t="s">
        <v>26</v>
      </c>
      <c r="G307" s="147"/>
      <c r="H307" s="154"/>
      <c r="I307" s="155"/>
      <c r="J307" s="3"/>
      <c r="K307" s="297">
        <v>4</v>
      </c>
      <c r="L307" s="201"/>
      <c r="M307" s="30"/>
      <c r="N307" s="53"/>
      <c r="O307" s="32"/>
      <c r="P307" s="45"/>
      <c r="Q307" s="30"/>
      <c r="R307" s="46"/>
      <c r="S307" s="47">
        <f>K307</f>
        <v>4</v>
      </c>
      <c r="T307" s="47"/>
      <c r="U307" s="47"/>
      <c r="V307" s="48"/>
      <c r="W307" s="30"/>
      <c r="X307" s="49"/>
      <c r="Y307" s="50"/>
      <c r="Z307" s="50"/>
      <c r="AA307" s="50"/>
      <c r="AB307" s="51"/>
    </row>
    <row r="308" spans="2:28" s="67" customFormat="1" ht="15" customHeight="1">
      <c r="B308" s="54"/>
      <c r="C308" s="55"/>
      <c r="D308" s="133"/>
      <c r="E308" s="124"/>
      <c r="F308" s="128" t="s">
        <v>2</v>
      </c>
      <c r="G308" s="129"/>
      <c r="H308" s="148"/>
      <c r="I308" s="149"/>
      <c r="J308" s="61"/>
      <c r="K308" s="29">
        <f>SUM(K304:K307)</f>
        <v>12</v>
      </c>
      <c r="L308" s="205"/>
      <c r="M308" s="62"/>
      <c r="N308" s="31"/>
      <c r="O308" s="61"/>
      <c r="P308" s="63"/>
      <c r="Q308" s="62"/>
      <c r="R308" s="64">
        <f>SUM(R304:R307)</f>
        <v>0</v>
      </c>
      <c r="S308" s="64">
        <f>SUM(S304:S307)</f>
        <v>12</v>
      </c>
      <c r="T308" s="64">
        <f>SUM(T304:T307)</f>
        <v>0</v>
      </c>
      <c r="U308" s="64">
        <f>SUM(U304:U307)</f>
        <v>0</v>
      </c>
      <c r="V308" s="64">
        <f>SUM(V304:V307)</f>
        <v>0</v>
      </c>
      <c r="W308" s="62"/>
      <c r="X308" s="65"/>
      <c r="Y308" s="59"/>
      <c r="Z308" s="59"/>
      <c r="AA308" s="59"/>
      <c r="AB308" s="66"/>
    </row>
    <row r="309" spans="2:28" ht="9" customHeight="1"/>
    <row r="310" spans="2:28" ht="14.15" customHeight="1">
      <c r="L310" s="1"/>
      <c r="O310" s="24"/>
      <c r="P310" s="84" t="s">
        <v>10</v>
      </c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  <c r="AB310" s="222"/>
    </row>
    <row r="311" spans="2:28" ht="15" customHeight="1">
      <c r="E311" s="26" t="s">
        <v>28</v>
      </c>
      <c r="K311" s="137" t="s">
        <v>67</v>
      </c>
      <c r="L311" s="211" t="s">
        <v>66</v>
      </c>
      <c r="M311" s="24"/>
      <c r="N311" s="212" t="s">
        <v>11</v>
      </c>
      <c r="O311" s="24"/>
      <c r="P311" s="137">
        <v>2011</v>
      </c>
      <c r="Q311" s="5"/>
      <c r="R311" s="137">
        <f>P311+1</f>
        <v>2012</v>
      </c>
      <c r="S311" s="137">
        <f>R311+1</f>
        <v>2013</v>
      </c>
      <c r="T311" s="137">
        <f>S311+1</f>
        <v>2014</v>
      </c>
      <c r="U311" s="137">
        <f>T311+1</f>
        <v>2015</v>
      </c>
      <c r="V311" s="137">
        <f>U311+1</f>
        <v>2016</v>
      </c>
      <c r="W311" s="5"/>
      <c r="X311" s="139">
        <f>V311+1</f>
        <v>2017</v>
      </c>
      <c r="Y311" s="139">
        <f>X311+1</f>
        <v>2018</v>
      </c>
      <c r="Z311" s="139">
        <f>Y311+1</f>
        <v>2019</v>
      </c>
      <c r="AA311" s="139">
        <f>Z311+1</f>
        <v>2020</v>
      </c>
      <c r="AB311" s="139">
        <f>AA311+1</f>
        <v>2021</v>
      </c>
    </row>
    <row r="312" spans="2:28" ht="4.5" customHeight="1"/>
    <row r="313" spans="2:28" ht="12" customHeight="1">
      <c r="D313" s="242">
        <v>1</v>
      </c>
      <c r="E313" s="125" t="s">
        <v>209</v>
      </c>
      <c r="F313" s="125" t="s">
        <v>213</v>
      </c>
      <c r="G313" s="299">
        <f>(3*1+2.5)/4</f>
        <v>1.375</v>
      </c>
      <c r="H313" s="78" t="s">
        <v>12</v>
      </c>
      <c r="I313" s="79" t="s">
        <v>13</v>
      </c>
      <c r="J313" s="3"/>
      <c r="K313" s="80">
        <f>K304</f>
        <v>4</v>
      </c>
      <c r="L313" s="225" t="s">
        <v>13</v>
      </c>
      <c r="M313" s="30"/>
      <c r="N313" s="156">
        <f>G313*K313</f>
        <v>5.5</v>
      </c>
      <c r="O313" s="32"/>
      <c r="P313" s="33"/>
      <c r="Q313" s="30"/>
      <c r="R313" s="81">
        <f t="shared" ref="R313:V316" si="50">$G313*R304</f>
        <v>0</v>
      </c>
      <c r="S313" s="81">
        <f t="shared" si="50"/>
        <v>5.5</v>
      </c>
      <c r="T313" s="81">
        <f t="shared" si="50"/>
        <v>0</v>
      </c>
      <c r="U313" s="81">
        <f t="shared" si="50"/>
        <v>0</v>
      </c>
      <c r="V313" s="81">
        <f t="shared" si="50"/>
        <v>0</v>
      </c>
      <c r="W313" s="30"/>
      <c r="X313" s="37"/>
      <c r="Y313" s="38"/>
      <c r="Z313" s="38"/>
      <c r="AA313" s="38"/>
      <c r="AB313" s="39"/>
    </row>
    <row r="314" spans="2:28" ht="12" customHeight="1">
      <c r="D314" s="243">
        <v>2</v>
      </c>
      <c r="E314" s="126" t="s">
        <v>222</v>
      </c>
      <c r="F314" s="126" t="s">
        <v>214</v>
      </c>
      <c r="G314" s="300">
        <f>(2.3+2.7)/2</f>
        <v>2.5</v>
      </c>
      <c r="H314" s="42" t="s">
        <v>12</v>
      </c>
      <c r="I314" s="43" t="s">
        <v>13</v>
      </c>
      <c r="J314" s="3"/>
      <c r="K314" s="52">
        <f>K305</f>
        <v>2</v>
      </c>
      <c r="L314" s="226" t="s">
        <v>13</v>
      </c>
      <c r="M314" s="30"/>
      <c r="N314" s="157">
        <f>G314*K314</f>
        <v>5</v>
      </c>
      <c r="O314" s="32"/>
      <c r="P314" s="45"/>
      <c r="Q314" s="30"/>
      <c r="R314" s="81">
        <f t="shared" si="50"/>
        <v>0</v>
      </c>
      <c r="S314" s="81">
        <f t="shared" si="50"/>
        <v>5</v>
      </c>
      <c r="T314" s="81">
        <f t="shared" si="50"/>
        <v>0</v>
      </c>
      <c r="U314" s="81">
        <f t="shared" si="50"/>
        <v>0</v>
      </c>
      <c r="V314" s="81">
        <f t="shared" si="50"/>
        <v>0</v>
      </c>
      <c r="W314" s="30"/>
      <c r="X314" s="49"/>
      <c r="Y314" s="50"/>
      <c r="Z314" s="50"/>
      <c r="AA314" s="50"/>
      <c r="AB314" s="51"/>
    </row>
    <row r="315" spans="2:28" ht="12" customHeight="1">
      <c r="D315" s="243">
        <v>3</v>
      </c>
      <c r="E315" s="126" t="s">
        <v>211</v>
      </c>
      <c r="F315" s="126" t="s">
        <v>26</v>
      </c>
      <c r="G315" s="300">
        <f>(17.5+22)/2</f>
        <v>19.75</v>
      </c>
      <c r="H315" s="42" t="s">
        <v>12</v>
      </c>
      <c r="I315" s="43" t="s">
        <v>13</v>
      </c>
      <c r="J315" s="3"/>
      <c r="K315" s="52">
        <f>K306</f>
        <v>2</v>
      </c>
      <c r="L315" s="226" t="s">
        <v>13</v>
      </c>
      <c r="M315" s="30"/>
      <c r="N315" s="157">
        <f>G315*K315</f>
        <v>39.5</v>
      </c>
      <c r="O315" s="32"/>
      <c r="P315" s="45"/>
      <c r="Q315" s="30"/>
      <c r="R315" s="81">
        <f t="shared" si="50"/>
        <v>0</v>
      </c>
      <c r="S315" s="81">
        <f t="shared" si="50"/>
        <v>39.5</v>
      </c>
      <c r="T315" s="81">
        <f t="shared" si="50"/>
        <v>0</v>
      </c>
      <c r="U315" s="81">
        <f t="shared" si="50"/>
        <v>0</v>
      </c>
      <c r="V315" s="81">
        <f t="shared" si="50"/>
        <v>0</v>
      </c>
      <c r="W315" s="30"/>
      <c r="X315" s="49"/>
      <c r="Y315" s="50"/>
      <c r="Z315" s="50"/>
      <c r="AA315" s="50"/>
      <c r="AB315" s="51"/>
    </row>
    <row r="316" spans="2:28" ht="12" customHeight="1">
      <c r="D316" s="244">
        <v>4</v>
      </c>
      <c r="E316" s="127" t="s">
        <v>212</v>
      </c>
      <c r="F316" s="127" t="s">
        <v>26</v>
      </c>
      <c r="G316" s="300">
        <f>(3*13.7+11.8)/4</f>
        <v>13.224999999999998</v>
      </c>
      <c r="H316" s="42" t="s">
        <v>12</v>
      </c>
      <c r="I316" s="43" t="s">
        <v>13</v>
      </c>
      <c r="J316" s="3"/>
      <c r="K316" s="52">
        <f>K307</f>
        <v>4</v>
      </c>
      <c r="L316" s="227" t="s">
        <v>13</v>
      </c>
      <c r="M316" s="30"/>
      <c r="N316" s="157">
        <f>G316*K316</f>
        <v>52.899999999999991</v>
      </c>
      <c r="O316" s="32"/>
      <c r="P316" s="45"/>
      <c r="Q316" s="30"/>
      <c r="R316" s="81">
        <f t="shared" si="50"/>
        <v>0</v>
      </c>
      <c r="S316" s="81">
        <f t="shared" si="50"/>
        <v>52.899999999999991</v>
      </c>
      <c r="T316" s="81">
        <f t="shared" si="50"/>
        <v>0</v>
      </c>
      <c r="U316" s="81">
        <f t="shared" si="50"/>
        <v>0</v>
      </c>
      <c r="V316" s="81">
        <f t="shared" si="50"/>
        <v>0</v>
      </c>
      <c r="W316" s="30"/>
      <c r="X316" s="49"/>
      <c r="Y316" s="50"/>
      <c r="Z316" s="50"/>
      <c r="AA316" s="50"/>
      <c r="AB316" s="51"/>
    </row>
    <row r="317" spans="2:28" s="67" customFormat="1" ht="15" customHeight="1">
      <c r="B317" s="54"/>
      <c r="C317" s="55"/>
      <c r="D317" s="133"/>
      <c r="E317" s="56"/>
      <c r="F317" s="57" t="s">
        <v>14</v>
      </c>
      <c r="G317" s="58"/>
      <c r="H317" s="59"/>
      <c r="I317" s="60"/>
      <c r="J317" s="61"/>
      <c r="K317" s="82"/>
      <c r="L317" s="206"/>
      <c r="M317" s="62"/>
      <c r="N317" s="180">
        <f>SUM(N313:N316)</f>
        <v>102.89999999999999</v>
      </c>
      <c r="O317" s="61"/>
      <c r="P317" s="63"/>
      <c r="Q317" s="62"/>
      <c r="R317" s="83">
        <f>SUM(R313:R316)</f>
        <v>0</v>
      </c>
      <c r="S317" s="83">
        <f>SUM(S313:S316)</f>
        <v>102.89999999999999</v>
      </c>
      <c r="T317" s="83">
        <f>SUM(T313:T316)</f>
        <v>0</v>
      </c>
      <c r="U317" s="83">
        <f>SUM(U313:U316)</f>
        <v>0</v>
      </c>
      <c r="V317" s="83">
        <f>SUM(V313:V316)</f>
        <v>0</v>
      </c>
      <c r="W317" s="62"/>
      <c r="X317" s="65"/>
      <c r="Y317" s="59"/>
      <c r="Z317" s="59"/>
      <c r="AA317" s="59"/>
      <c r="AB317" s="66"/>
    </row>
    <row r="318" spans="2:28" ht="5.15" customHeight="1"/>
    <row r="319" spans="2:28" ht="20.149999999999999" customHeight="1">
      <c r="E319" s="26" t="s">
        <v>15</v>
      </c>
      <c r="F319" s="84" t="s">
        <v>16</v>
      </c>
      <c r="G319" s="85"/>
      <c r="H319" s="215" t="s">
        <v>4</v>
      </c>
      <c r="I319" s="232" t="s">
        <v>76</v>
      </c>
      <c r="K319" s="137" t="s">
        <v>67</v>
      </c>
      <c r="L319" s="211" t="s">
        <v>66</v>
      </c>
      <c r="N319" s="212" t="s">
        <v>11</v>
      </c>
      <c r="P319" s="73">
        <v>2011</v>
      </c>
      <c r="Q319" s="74"/>
      <c r="R319" s="75">
        <f>P319+1</f>
        <v>2012</v>
      </c>
      <c r="S319" s="75">
        <f>R319+1</f>
        <v>2013</v>
      </c>
      <c r="T319" s="75">
        <f>S319+1</f>
        <v>2014</v>
      </c>
      <c r="U319" s="75">
        <f>T319+1</f>
        <v>2015</v>
      </c>
      <c r="V319" s="75">
        <f>U319+1</f>
        <v>2016</v>
      </c>
      <c r="W319" s="74"/>
      <c r="X319" s="76">
        <f>V319+1</f>
        <v>2017</v>
      </c>
      <c r="Y319" s="76">
        <f>X319+1</f>
        <v>2018</v>
      </c>
      <c r="Z319" s="76">
        <f>Y319+1</f>
        <v>2019</v>
      </c>
      <c r="AA319" s="76">
        <f>Z319+1</f>
        <v>2020</v>
      </c>
      <c r="AB319" s="76">
        <f>AA319+1</f>
        <v>2021</v>
      </c>
    </row>
    <row r="320" spans="2:28" ht="4" customHeight="1"/>
    <row r="321" spans="3:28" ht="12" customHeight="1">
      <c r="C321" s="28"/>
      <c r="E321" s="77" t="s">
        <v>218</v>
      </c>
      <c r="F321" s="158" t="s">
        <v>219</v>
      </c>
      <c r="G321" s="86"/>
      <c r="H321" s="213" t="s">
        <v>71</v>
      </c>
      <c r="I321" s="216">
        <v>0.5</v>
      </c>
      <c r="J321" s="3"/>
      <c r="K321" s="298">
        <v>13</v>
      </c>
      <c r="L321" s="229" t="s">
        <v>73</v>
      </c>
      <c r="M321" s="30"/>
      <c r="N321" s="176">
        <f>I321*K321</f>
        <v>6.5</v>
      </c>
      <c r="O321" s="32"/>
      <c r="P321" s="88"/>
      <c r="Q321" s="30"/>
      <c r="R321" s="90"/>
      <c r="S321" s="91">
        <f>N321</f>
        <v>6.5</v>
      </c>
      <c r="T321" s="91"/>
      <c r="U321" s="91"/>
      <c r="V321" s="92"/>
      <c r="W321" s="30"/>
      <c r="X321" s="90"/>
      <c r="Y321" s="91"/>
      <c r="Z321" s="91"/>
      <c r="AA321" s="91"/>
      <c r="AB321" s="92"/>
    </row>
    <row r="322" spans="3:28" ht="12" customHeight="1">
      <c r="C322" s="28"/>
      <c r="E322" s="77" t="s">
        <v>215</v>
      </c>
      <c r="F322" s="158" t="s">
        <v>70</v>
      </c>
      <c r="G322" s="86"/>
      <c r="H322" s="213" t="s">
        <v>71</v>
      </c>
      <c r="I322" s="216">
        <v>0.25</v>
      </c>
      <c r="J322" s="3"/>
      <c r="K322" s="228">
        <v>5.7</v>
      </c>
      <c r="L322" s="229" t="s">
        <v>72</v>
      </c>
      <c r="M322" s="30"/>
      <c r="N322" s="176">
        <f>I322*K322</f>
        <v>1.425</v>
      </c>
      <c r="O322" s="32"/>
      <c r="P322" s="88"/>
      <c r="Q322" s="30"/>
      <c r="R322" s="90"/>
      <c r="S322" s="91">
        <f>N322</f>
        <v>1.425</v>
      </c>
      <c r="T322" s="91"/>
      <c r="U322" s="91"/>
      <c r="V322" s="92"/>
      <c r="W322" s="30"/>
      <c r="X322" s="90"/>
      <c r="Y322" s="91"/>
      <c r="Z322" s="91"/>
      <c r="AA322" s="91"/>
      <c r="AB322" s="92"/>
    </row>
    <row r="323" spans="3:28" ht="12" customHeight="1">
      <c r="C323" s="28"/>
      <c r="E323" s="105"/>
      <c r="F323" s="41" t="s">
        <v>17</v>
      </c>
      <c r="G323" s="93"/>
      <c r="H323" s="94"/>
      <c r="I323" s="217">
        <v>0.1</v>
      </c>
      <c r="J323" s="3"/>
      <c r="K323" s="174">
        <v>7</v>
      </c>
      <c r="L323" s="226" t="s">
        <v>73</v>
      </c>
      <c r="M323" s="30"/>
      <c r="N323" s="177">
        <f>I323*K323</f>
        <v>0.70000000000000007</v>
      </c>
      <c r="O323" s="32"/>
      <c r="P323" s="96"/>
      <c r="Q323" s="30"/>
      <c r="R323" s="97"/>
      <c r="S323" s="98">
        <f>N323</f>
        <v>0.70000000000000007</v>
      </c>
      <c r="T323" s="98"/>
      <c r="U323" s="98"/>
      <c r="V323" s="99"/>
      <c r="W323" s="30"/>
      <c r="X323" s="97"/>
      <c r="Y323" s="98"/>
      <c r="Z323" s="98"/>
      <c r="AA323" s="98"/>
      <c r="AB323" s="99"/>
    </row>
    <row r="324" spans="3:28" ht="12" customHeight="1">
      <c r="C324" s="28"/>
      <c r="E324" s="105" t="s">
        <v>216</v>
      </c>
      <c r="F324" s="41" t="s">
        <v>217</v>
      </c>
      <c r="G324" s="100"/>
      <c r="H324" s="94"/>
      <c r="I324" s="217">
        <f>0.25</f>
        <v>0.25</v>
      </c>
      <c r="J324" s="3"/>
      <c r="K324" s="200">
        <f>11*3</f>
        <v>33</v>
      </c>
      <c r="L324" s="230" t="s">
        <v>72</v>
      </c>
      <c r="M324" s="30"/>
      <c r="N324" s="177">
        <f>I324*K324</f>
        <v>8.25</v>
      </c>
      <c r="O324" s="32"/>
      <c r="P324" s="96"/>
      <c r="Q324" s="30"/>
      <c r="R324" s="257"/>
      <c r="S324" s="214">
        <f>N324</f>
        <v>8.25</v>
      </c>
      <c r="T324" s="214"/>
      <c r="U324" s="103"/>
      <c r="V324" s="104"/>
      <c r="W324" s="30"/>
      <c r="X324" s="102"/>
      <c r="Y324" s="103"/>
      <c r="Z324" s="103"/>
      <c r="AA324" s="103"/>
      <c r="AB324" s="104"/>
    </row>
    <row r="325" spans="3:28" ht="12" customHeight="1">
      <c r="C325" s="28"/>
      <c r="E325" s="105"/>
      <c r="F325" s="253" t="s">
        <v>17</v>
      </c>
      <c r="G325" s="100"/>
      <c r="H325" s="94"/>
      <c r="I325" s="217">
        <v>0.1</v>
      </c>
      <c r="J325" s="3"/>
      <c r="K325" s="174">
        <v>11</v>
      </c>
      <c r="L325" s="226" t="s">
        <v>73</v>
      </c>
      <c r="M325" s="30"/>
      <c r="N325" s="177">
        <f>I325*K325</f>
        <v>1.1000000000000001</v>
      </c>
      <c r="O325" s="32"/>
      <c r="P325" s="96"/>
      <c r="Q325" s="30"/>
      <c r="R325" s="257"/>
      <c r="S325" s="214">
        <f>N325</f>
        <v>1.1000000000000001</v>
      </c>
      <c r="T325" s="214"/>
      <c r="U325" s="103"/>
      <c r="V325" s="104"/>
      <c r="W325" s="30"/>
      <c r="X325" s="102"/>
      <c r="Y325" s="103"/>
      <c r="Z325" s="103"/>
      <c r="AA325" s="103"/>
      <c r="AB325" s="104"/>
    </row>
    <row r="326" spans="3:28" ht="12" customHeight="1">
      <c r="C326" s="28"/>
      <c r="E326" s="183" t="s">
        <v>93</v>
      </c>
      <c r="F326" s="186"/>
      <c r="G326" s="184"/>
      <c r="H326" s="94"/>
      <c r="I326" s="95"/>
      <c r="J326" s="3"/>
      <c r="K326" s="174"/>
      <c r="L326" s="226"/>
      <c r="M326" s="30"/>
      <c r="N326" s="177"/>
      <c r="O326" s="32"/>
      <c r="P326" s="96"/>
      <c r="Q326" s="30"/>
      <c r="R326" s="257"/>
      <c r="S326" s="214"/>
      <c r="T326" s="214"/>
      <c r="U326" s="103"/>
      <c r="V326" s="104"/>
      <c r="W326" s="30"/>
      <c r="X326" s="102"/>
      <c r="Y326" s="103"/>
      <c r="Z326" s="103"/>
      <c r="AA326" s="103"/>
      <c r="AB326" s="104"/>
    </row>
    <row r="327" spans="3:28" ht="12" customHeight="1">
      <c r="C327" s="28"/>
      <c r="E327" s="107" t="s">
        <v>87</v>
      </c>
      <c r="F327" s="248" t="s">
        <v>88</v>
      </c>
      <c r="G327" s="185"/>
      <c r="H327" s="94" t="s">
        <v>25</v>
      </c>
      <c r="I327" s="43"/>
      <c r="J327" s="3"/>
      <c r="K327" s="174"/>
      <c r="L327" s="226"/>
      <c r="M327" s="30"/>
      <c r="N327" s="178">
        <v>5</v>
      </c>
      <c r="O327" s="32"/>
      <c r="P327" s="96"/>
      <c r="Q327" s="30"/>
      <c r="R327" s="257">
        <f>0.1*N327</f>
        <v>0.5</v>
      </c>
      <c r="S327" s="214">
        <f t="shared" ref="S327:S329" si="51">0.5*N327</f>
        <v>2.5</v>
      </c>
      <c r="T327" s="214">
        <f>0.4*N327</f>
        <v>2</v>
      </c>
      <c r="U327" s="103"/>
      <c r="V327" s="104"/>
      <c r="W327" s="30"/>
      <c r="X327" s="102"/>
      <c r="Y327" s="103"/>
      <c r="Z327" s="103"/>
      <c r="AA327" s="103"/>
      <c r="AB327" s="104"/>
    </row>
    <row r="328" spans="3:28" ht="12" customHeight="1">
      <c r="C328" s="28"/>
      <c r="E328" s="107" t="s">
        <v>89</v>
      </c>
      <c r="F328" s="248" t="s">
        <v>151</v>
      </c>
      <c r="G328" s="185"/>
      <c r="H328" s="274" t="s">
        <v>225</v>
      </c>
      <c r="I328" s="43"/>
      <c r="J328" s="3"/>
      <c r="K328" s="174"/>
      <c r="L328" s="226"/>
      <c r="M328" s="30"/>
      <c r="N328" s="178">
        <v>15</v>
      </c>
      <c r="O328" s="32"/>
      <c r="P328" s="96"/>
      <c r="Q328" s="30"/>
      <c r="R328" s="257">
        <f>0.1*N328</f>
        <v>1.5</v>
      </c>
      <c r="S328" s="214">
        <f t="shared" si="51"/>
        <v>7.5</v>
      </c>
      <c r="T328" s="214">
        <f>0.4*N328</f>
        <v>6</v>
      </c>
      <c r="U328" s="103"/>
      <c r="V328" s="104"/>
      <c r="W328" s="30"/>
      <c r="X328" s="102"/>
      <c r="Y328" s="103"/>
      <c r="Z328" s="103"/>
      <c r="AA328" s="103"/>
      <c r="AB328" s="104"/>
    </row>
    <row r="329" spans="3:28" ht="12" customHeight="1">
      <c r="C329" s="28"/>
      <c r="E329" s="107" t="s">
        <v>90</v>
      </c>
      <c r="F329" s="248" t="s">
        <v>92</v>
      </c>
      <c r="G329" s="184"/>
      <c r="H329" s="94" t="s">
        <v>18</v>
      </c>
      <c r="I329" s="43">
        <v>1.25</v>
      </c>
      <c r="J329" s="3"/>
      <c r="K329" s="200">
        <v>18</v>
      </c>
      <c r="L329" s="230" t="s">
        <v>91</v>
      </c>
      <c r="M329" s="30"/>
      <c r="N329" s="177">
        <f>I329*K329</f>
        <v>22.5</v>
      </c>
      <c r="O329" s="32"/>
      <c r="P329" s="96"/>
      <c r="Q329" s="30"/>
      <c r="R329" s="257">
        <f t="shared" ref="R329" si="52">0.1*N329</f>
        <v>2.25</v>
      </c>
      <c r="S329" s="214">
        <f t="shared" si="51"/>
        <v>11.25</v>
      </c>
      <c r="T329" s="214">
        <f t="shared" ref="T329" si="53">0.4*N329</f>
        <v>9</v>
      </c>
      <c r="U329" s="103"/>
      <c r="V329" s="104"/>
      <c r="W329" s="30"/>
      <c r="X329" s="102"/>
      <c r="Y329" s="103"/>
      <c r="Z329" s="103"/>
      <c r="AA329" s="103"/>
      <c r="AB329" s="104"/>
    </row>
    <row r="330" spans="3:28" ht="12" customHeight="1">
      <c r="C330" s="28"/>
      <c r="E330" s="245" t="s">
        <v>44</v>
      </c>
      <c r="F330" s="246"/>
      <c r="G330" s="184"/>
      <c r="H330" s="94"/>
      <c r="I330" s="43"/>
      <c r="J330" s="3"/>
      <c r="K330" s="200"/>
      <c r="L330" s="230"/>
      <c r="M330" s="30"/>
      <c r="N330" s="177"/>
      <c r="O330" s="32"/>
      <c r="P330" s="96"/>
      <c r="Q330" s="30"/>
      <c r="R330" s="257"/>
      <c r="S330" s="214"/>
      <c r="T330" s="214"/>
      <c r="U330" s="103"/>
      <c r="V330" s="104"/>
      <c r="W330" s="30"/>
      <c r="X330" s="102"/>
      <c r="Y330" s="103"/>
      <c r="Z330" s="103"/>
      <c r="AA330" s="103"/>
      <c r="AB330" s="104"/>
    </row>
    <row r="331" spans="3:28" ht="12" customHeight="1">
      <c r="C331" s="28"/>
      <c r="E331" s="107" t="s">
        <v>44</v>
      </c>
      <c r="F331" s="247" t="s">
        <v>46</v>
      </c>
      <c r="G331" s="184"/>
      <c r="H331" s="94" t="s">
        <v>18</v>
      </c>
      <c r="I331" s="43">
        <v>65</v>
      </c>
      <c r="J331" s="3"/>
      <c r="K331" s="174">
        <v>1</v>
      </c>
      <c r="L331" s="226"/>
      <c r="M331" s="30"/>
      <c r="N331" s="177">
        <f>I331*K331</f>
        <v>65</v>
      </c>
      <c r="O331" s="32"/>
      <c r="P331" s="96"/>
      <c r="Q331" s="30"/>
      <c r="R331" s="257">
        <f t="shared" ref="R331:R335" si="54">0.1*N331</f>
        <v>6.5</v>
      </c>
      <c r="S331" s="214">
        <f t="shared" ref="S331:S335" si="55">0.5*N331</f>
        <v>32.5</v>
      </c>
      <c r="T331" s="214">
        <f t="shared" ref="T331:T335" si="56">0.4*N331</f>
        <v>26</v>
      </c>
      <c r="U331" s="103"/>
      <c r="V331" s="104"/>
      <c r="W331" s="30"/>
      <c r="X331" s="102"/>
      <c r="Y331" s="103"/>
      <c r="Z331" s="103"/>
      <c r="AA331" s="103"/>
      <c r="AB331" s="104"/>
    </row>
    <row r="332" spans="3:28" ht="12" customHeight="1">
      <c r="C332" s="28"/>
      <c r="E332" s="107"/>
      <c r="F332" s="247" t="s">
        <v>45</v>
      </c>
      <c r="G332" s="184"/>
      <c r="H332" s="94" t="s">
        <v>18</v>
      </c>
      <c r="I332" s="43">
        <v>0.12</v>
      </c>
      <c r="J332" s="3"/>
      <c r="K332" s="200">
        <f>36*8</f>
        <v>288</v>
      </c>
      <c r="L332" s="230" t="s">
        <v>75</v>
      </c>
      <c r="M332" s="30"/>
      <c r="N332" s="177">
        <f>I332*K332</f>
        <v>34.56</v>
      </c>
      <c r="O332" s="32"/>
      <c r="P332" s="96"/>
      <c r="Q332" s="30"/>
      <c r="R332" s="257">
        <f t="shared" si="54"/>
        <v>3.4560000000000004</v>
      </c>
      <c r="S332" s="214">
        <f t="shared" si="55"/>
        <v>17.28</v>
      </c>
      <c r="T332" s="214">
        <f t="shared" si="56"/>
        <v>13.824000000000002</v>
      </c>
      <c r="U332" s="103"/>
      <c r="V332" s="104"/>
      <c r="W332" s="30"/>
      <c r="X332" s="102"/>
      <c r="Y332" s="103"/>
      <c r="Z332" s="103"/>
      <c r="AA332" s="103"/>
      <c r="AB332" s="104"/>
    </row>
    <row r="333" spans="3:28" ht="12" customHeight="1">
      <c r="C333" s="28"/>
      <c r="E333" s="107"/>
      <c r="F333" s="247" t="s">
        <v>56</v>
      </c>
      <c r="G333" s="184"/>
      <c r="H333" s="94"/>
      <c r="I333" s="43"/>
      <c r="J333" s="3"/>
      <c r="K333" s="173"/>
      <c r="L333" s="230"/>
      <c r="M333" s="30"/>
      <c r="N333" s="177">
        <v>5</v>
      </c>
      <c r="O333" s="32"/>
      <c r="P333" s="96"/>
      <c r="Q333" s="30"/>
      <c r="R333" s="257">
        <f t="shared" si="54"/>
        <v>0.5</v>
      </c>
      <c r="S333" s="214">
        <f t="shared" si="55"/>
        <v>2.5</v>
      </c>
      <c r="T333" s="214">
        <f t="shared" si="56"/>
        <v>2</v>
      </c>
      <c r="U333" s="103"/>
      <c r="V333" s="104"/>
      <c r="W333" s="30"/>
      <c r="X333" s="102"/>
      <c r="Y333" s="103"/>
      <c r="Z333" s="103"/>
      <c r="AA333" s="103"/>
      <c r="AB333" s="104"/>
    </row>
    <row r="334" spans="3:28" ht="12" customHeight="1">
      <c r="C334" s="28"/>
      <c r="E334" s="107" t="s">
        <v>90</v>
      </c>
      <c r="F334" s="247" t="s">
        <v>92</v>
      </c>
      <c r="G334" s="184"/>
      <c r="H334" s="94"/>
      <c r="I334" s="43">
        <v>1.25</v>
      </c>
      <c r="J334" s="3"/>
      <c r="K334" s="200">
        <v>30</v>
      </c>
      <c r="L334" s="230" t="s">
        <v>91</v>
      </c>
      <c r="M334" s="30"/>
      <c r="N334" s="177">
        <f>I334*K334</f>
        <v>37.5</v>
      </c>
      <c r="O334" s="32"/>
      <c r="P334" s="96"/>
      <c r="Q334" s="30"/>
      <c r="R334" s="257">
        <f t="shared" si="54"/>
        <v>3.75</v>
      </c>
      <c r="S334" s="214">
        <f t="shared" si="55"/>
        <v>18.75</v>
      </c>
      <c r="T334" s="214">
        <f t="shared" si="56"/>
        <v>15</v>
      </c>
      <c r="U334" s="103"/>
      <c r="V334" s="104"/>
      <c r="W334" s="30"/>
      <c r="X334" s="102"/>
      <c r="Y334" s="103"/>
      <c r="Z334" s="103"/>
      <c r="AA334" s="103"/>
      <c r="AB334" s="104"/>
    </row>
    <row r="335" spans="3:28" ht="12" customHeight="1">
      <c r="C335" s="28"/>
      <c r="E335" s="189" t="s">
        <v>59</v>
      </c>
      <c r="F335" s="256" t="s">
        <v>139</v>
      </c>
      <c r="G335" s="190"/>
      <c r="H335" s="94"/>
      <c r="I335" s="43"/>
      <c r="J335" s="3"/>
      <c r="K335" s="175"/>
      <c r="L335" s="231"/>
      <c r="M335" s="30"/>
      <c r="N335" s="234">
        <f>SUM(N321:N334)*0.1</f>
        <v>20.253500000000003</v>
      </c>
      <c r="O335" s="32"/>
      <c r="P335" s="109"/>
      <c r="Q335" s="30"/>
      <c r="R335" s="258">
        <f t="shared" si="54"/>
        <v>2.0253500000000004</v>
      </c>
      <c r="S335" s="259">
        <f t="shared" si="55"/>
        <v>10.126750000000001</v>
      </c>
      <c r="T335" s="259">
        <f t="shared" si="56"/>
        <v>8.1014000000000017</v>
      </c>
      <c r="U335" s="111"/>
      <c r="V335" s="112"/>
      <c r="W335" s="30"/>
      <c r="X335" s="110"/>
      <c r="Y335" s="111"/>
      <c r="Z335" s="111"/>
      <c r="AA335" s="111"/>
      <c r="AB335" s="112"/>
    </row>
    <row r="336" spans="3:28" ht="4" customHeight="1">
      <c r="E336" s="3"/>
      <c r="J336" s="3"/>
    </row>
    <row r="337" spans="2:28" ht="15" customHeight="1">
      <c r="F337" s="113" t="s">
        <v>19</v>
      </c>
      <c r="G337" s="114"/>
      <c r="H337" s="114"/>
      <c r="I337" s="85"/>
      <c r="K337" s="22"/>
      <c r="L337" s="280"/>
      <c r="M337" s="20"/>
      <c r="N337" s="179">
        <f>SUM(N321:N335)</f>
        <v>222.7885</v>
      </c>
      <c r="O337" s="20"/>
      <c r="P337" s="22"/>
      <c r="Q337" s="20"/>
      <c r="R337" s="180">
        <f>SUM(R322:R335)</f>
        <v>20.481349999999999</v>
      </c>
      <c r="S337" s="181">
        <f>SUM(S322:S335)</f>
        <v>113.88175</v>
      </c>
      <c r="T337" s="181">
        <f>SUM(T322:T335)</f>
        <v>81.925399999999996</v>
      </c>
      <c r="U337" s="182">
        <f>SUM(U322:U335)</f>
        <v>0</v>
      </c>
      <c r="V337" s="180">
        <f>SUM(V322:V335)</f>
        <v>0</v>
      </c>
      <c r="W337" s="115"/>
      <c r="X337" s="160">
        <f>SUM(X322:X335)</f>
        <v>0</v>
      </c>
      <c r="Y337" s="161">
        <f>SUM(Y322:Y335)</f>
        <v>0</v>
      </c>
      <c r="Z337" s="161">
        <f>SUM(Z322:Z335)</f>
        <v>0</v>
      </c>
      <c r="AA337" s="161">
        <f>SUM(AA322:AA335)</f>
        <v>0</v>
      </c>
      <c r="AB337" s="161">
        <f>SUM(AB322:AB335)</f>
        <v>0</v>
      </c>
    </row>
    <row r="338" spans="2:28" ht="10" customHeight="1">
      <c r="F338" s="192"/>
      <c r="G338" s="193"/>
      <c r="H338" s="193"/>
      <c r="I338" s="193"/>
      <c r="K338" s="168"/>
      <c r="L338" s="20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94"/>
      <c r="X338" s="195"/>
      <c r="Y338" s="195"/>
      <c r="Z338" s="195"/>
      <c r="AA338" s="195"/>
      <c r="AB338" s="195"/>
    </row>
    <row r="339" spans="2:28" ht="15" customHeight="1">
      <c r="B339" s="164" t="s">
        <v>85</v>
      </c>
      <c r="C339" s="6"/>
      <c r="E339" s="116" t="s">
        <v>20</v>
      </c>
    </row>
    <row r="340" spans="2:28" ht="15" customHeight="1">
      <c r="B340" s="6"/>
      <c r="C340" s="9"/>
      <c r="E340" s="9" t="s">
        <v>126</v>
      </c>
      <c r="F340" s="237"/>
      <c r="K340" s="333" t="s">
        <v>9</v>
      </c>
      <c r="L340" s="334"/>
      <c r="M340" s="334"/>
      <c r="N340" s="335"/>
      <c r="O340" s="24"/>
      <c r="P340" s="68" t="s">
        <v>10</v>
      </c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70"/>
    </row>
    <row r="341" spans="2:28" ht="15" customHeight="1">
      <c r="E341" s="26" t="s">
        <v>21</v>
      </c>
      <c r="F341" s="84" t="s">
        <v>22</v>
      </c>
      <c r="G341" s="85"/>
      <c r="H341" s="73" t="s">
        <v>4</v>
      </c>
      <c r="I341" s="75" t="s">
        <v>23</v>
      </c>
      <c r="K341" s="71"/>
      <c r="L341" s="211"/>
      <c r="M341" s="24"/>
      <c r="N341" s="72" t="s">
        <v>11</v>
      </c>
      <c r="O341" s="24"/>
      <c r="P341" s="73">
        <v>2011</v>
      </c>
      <c r="Q341" s="74"/>
      <c r="R341" s="75">
        <f>P341+1</f>
        <v>2012</v>
      </c>
      <c r="S341" s="75">
        <f>R341+1</f>
        <v>2013</v>
      </c>
      <c r="T341" s="75">
        <f>S341+1</f>
        <v>2014</v>
      </c>
      <c r="U341" s="75">
        <f>T341+1</f>
        <v>2015</v>
      </c>
      <c r="V341" s="75">
        <f>U341+1</f>
        <v>2016</v>
      </c>
      <c r="W341" s="74"/>
      <c r="X341" s="76">
        <f>V341+1</f>
        <v>2017</v>
      </c>
      <c r="Y341" s="76">
        <f>X341+1</f>
        <v>2018</v>
      </c>
      <c r="Z341" s="76">
        <f>Y341+1</f>
        <v>2019</v>
      </c>
      <c r="AA341" s="76">
        <f>Z341+1</f>
        <v>2020</v>
      </c>
      <c r="AB341" s="76">
        <f>AA341+1</f>
        <v>2021</v>
      </c>
    </row>
    <row r="342" spans="2:28" ht="4" customHeight="1"/>
    <row r="343" spans="2:28" ht="12" customHeight="1">
      <c r="C343" s="28"/>
      <c r="E343" s="77" t="s">
        <v>3</v>
      </c>
      <c r="F343" s="197" t="s">
        <v>224</v>
      </c>
      <c r="G343" s="117"/>
      <c r="H343" s="73"/>
      <c r="I343" s="75"/>
      <c r="J343" s="3"/>
      <c r="K343" s="87"/>
      <c r="L343" s="229"/>
      <c r="M343" s="30"/>
      <c r="N343" s="176">
        <f>N317</f>
        <v>102.89999999999999</v>
      </c>
      <c r="O343" s="32"/>
      <c r="P343" s="88"/>
      <c r="Q343" s="30"/>
      <c r="R343" s="89">
        <f>R317</f>
        <v>0</v>
      </c>
      <c r="S343" s="89">
        <f>S317</f>
        <v>102.89999999999999</v>
      </c>
      <c r="T343" s="89">
        <f>T317</f>
        <v>0</v>
      </c>
      <c r="U343" s="89">
        <f>U317</f>
        <v>0</v>
      </c>
      <c r="V343" s="220">
        <f>V317</f>
        <v>0</v>
      </c>
      <c r="X343" s="199"/>
      <c r="Y343" s="118"/>
      <c r="Z343" s="118"/>
      <c r="AA343" s="118"/>
      <c r="AB343" s="119"/>
    </row>
    <row r="344" spans="2:28" ht="12" customHeight="1">
      <c r="C344" s="28"/>
      <c r="E344" s="105" t="s">
        <v>218</v>
      </c>
      <c r="F344" s="41" t="s">
        <v>221</v>
      </c>
      <c r="G344" s="100"/>
      <c r="H344" s="94"/>
      <c r="I344" s="43"/>
      <c r="J344" s="3"/>
      <c r="K344" s="101"/>
      <c r="L344" s="230"/>
      <c r="M344" s="30"/>
      <c r="N344" s="178">
        <f>N321</f>
        <v>6.5</v>
      </c>
      <c r="O344" s="32"/>
      <c r="P344" s="96"/>
      <c r="Q344" s="30"/>
      <c r="R344" s="157">
        <f>SUM(R317:R320)</f>
        <v>2012</v>
      </c>
      <c r="S344" s="157">
        <f t="shared" ref="S344:V344" si="57">SUM(S317:S320)</f>
        <v>2115.9</v>
      </c>
      <c r="T344" s="157">
        <f t="shared" si="57"/>
        <v>2014</v>
      </c>
      <c r="U344" s="157">
        <f t="shared" si="57"/>
        <v>2015</v>
      </c>
      <c r="V344" s="157">
        <f t="shared" si="57"/>
        <v>2016</v>
      </c>
      <c r="W344" s="30"/>
      <c r="X344" s="102"/>
      <c r="Y344" s="103"/>
      <c r="Z344" s="103"/>
      <c r="AA344" s="103"/>
      <c r="AB344" s="104"/>
    </row>
    <row r="345" spans="2:28" ht="12" customHeight="1">
      <c r="C345" s="28"/>
      <c r="E345" s="105" t="s">
        <v>29</v>
      </c>
      <c r="F345" s="41" t="s">
        <v>220</v>
      </c>
      <c r="G345" s="100"/>
      <c r="H345" s="94"/>
      <c r="I345" s="43"/>
      <c r="J345" s="3"/>
      <c r="K345" s="101"/>
      <c r="L345" s="230"/>
      <c r="M345" s="30"/>
      <c r="N345" s="178">
        <f>SUM(N322:N325)</f>
        <v>11.475</v>
      </c>
      <c r="O345" s="32"/>
      <c r="P345" s="96"/>
      <c r="Q345" s="30"/>
      <c r="R345" s="157">
        <f>SUM(R322:R325)</f>
        <v>0</v>
      </c>
      <c r="S345" s="157">
        <f t="shared" ref="S345:V345" si="58">SUM(S322:S325)</f>
        <v>11.475</v>
      </c>
      <c r="T345" s="157">
        <f t="shared" si="58"/>
        <v>0</v>
      </c>
      <c r="U345" s="157">
        <f t="shared" si="58"/>
        <v>0</v>
      </c>
      <c r="V345" s="157">
        <f t="shared" si="58"/>
        <v>0</v>
      </c>
      <c r="W345" s="30"/>
      <c r="X345" s="102"/>
      <c r="Y345" s="103"/>
      <c r="Z345" s="103"/>
      <c r="AA345" s="103"/>
      <c r="AB345" s="104"/>
    </row>
    <row r="346" spans="2:28" ht="12" customHeight="1">
      <c r="C346" s="28"/>
      <c r="E346" s="105" t="s">
        <v>93</v>
      </c>
      <c r="F346" s="41" t="s">
        <v>94</v>
      </c>
      <c r="G346" s="100"/>
      <c r="H346" s="94"/>
      <c r="I346" s="43"/>
      <c r="J346" s="3"/>
      <c r="K346" s="101"/>
      <c r="L346" s="230"/>
      <c r="M346" s="30"/>
      <c r="N346" s="178">
        <f>SUM(N327:N328)</f>
        <v>20</v>
      </c>
      <c r="O346" s="32"/>
      <c r="P346" s="96"/>
      <c r="Q346" s="30"/>
      <c r="R346" s="178">
        <f>SUM(R327:R328)</f>
        <v>2</v>
      </c>
      <c r="S346" s="178">
        <f t="shared" ref="S346:V346" si="59">SUM(S327:S328)</f>
        <v>10</v>
      </c>
      <c r="T346" s="178">
        <f t="shared" si="59"/>
        <v>8</v>
      </c>
      <c r="U346" s="178">
        <f t="shared" si="59"/>
        <v>0</v>
      </c>
      <c r="V346" s="178">
        <f t="shared" si="59"/>
        <v>0</v>
      </c>
      <c r="W346" s="30"/>
      <c r="X346" s="102"/>
      <c r="Y346" s="103"/>
      <c r="Z346" s="103"/>
      <c r="AA346" s="103"/>
      <c r="AB346" s="104"/>
    </row>
    <row r="347" spans="2:28" ht="12" customHeight="1">
      <c r="C347" s="28"/>
      <c r="E347" s="105" t="s">
        <v>95</v>
      </c>
      <c r="F347" s="41" t="s">
        <v>96</v>
      </c>
      <c r="G347" s="100"/>
      <c r="H347" s="94"/>
      <c r="I347" s="43"/>
      <c r="J347" s="3"/>
      <c r="K347" s="101"/>
      <c r="L347" s="230"/>
      <c r="M347" s="30"/>
      <c r="N347" s="178">
        <f>SUM(N329:N329)</f>
        <v>22.5</v>
      </c>
      <c r="O347" s="32"/>
      <c r="P347" s="96"/>
      <c r="Q347" s="30"/>
      <c r="R347" s="178">
        <f>SUM(R331:R332)</f>
        <v>9.9559999999999995</v>
      </c>
      <c r="S347" s="178">
        <f t="shared" ref="S347:V347" si="60">SUM(S331:S332)</f>
        <v>49.78</v>
      </c>
      <c r="T347" s="178">
        <f t="shared" si="60"/>
        <v>39.823999999999998</v>
      </c>
      <c r="U347" s="178">
        <f t="shared" si="60"/>
        <v>0</v>
      </c>
      <c r="V347" s="178">
        <f t="shared" si="60"/>
        <v>0</v>
      </c>
      <c r="W347" s="30"/>
      <c r="X347" s="102"/>
      <c r="Y347" s="103"/>
      <c r="Z347" s="103"/>
      <c r="AA347" s="103"/>
      <c r="AB347" s="104"/>
    </row>
    <row r="348" spans="2:28" ht="12" customHeight="1">
      <c r="C348" s="28"/>
      <c r="E348" s="105" t="s">
        <v>44</v>
      </c>
      <c r="F348" s="41" t="s">
        <v>97</v>
      </c>
      <c r="G348" s="100"/>
      <c r="H348" s="94"/>
      <c r="I348" s="43"/>
      <c r="J348" s="3"/>
      <c r="K348" s="101"/>
      <c r="L348" s="230"/>
      <c r="M348" s="30"/>
      <c r="N348" s="178">
        <f>SUM(N331:N333)</f>
        <v>104.56</v>
      </c>
      <c r="O348" s="32"/>
      <c r="P348" s="96"/>
      <c r="Q348" s="30"/>
      <c r="R348" s="178">
        <f>SUM(R333:R334)</f>
        <v>4.25</v>
      </c>
      <c r="S348" s="178">
        <f t="shared" ref="S348:V349" si="61">SUM(S333:S334)</f>
        <v>21.25</v>
      </c>
      <c r="T348" s="178">
        <f t="shared" si="61"/>
        <v>17</v>
      </c>
      <c r="U348" s="178">
        <f t="shared" si="61"/>
        <v>0</v>
      </c>
      <c r="V348" s="178">
        <f t="shared" si="61"/>
        <v>0</v>
      </c>
      <c r="W348" s="30"/>
      <c r="X348" s="102"/>
      <c r="Y348" s="103"/>
      <c r="Z348" s="103"/>
      <c r="AA348" s="103"/>
      <c r="AB348" s="104"/>
    </row>
    <row r="349" spans="2:28" ht="12" customHeight="1">
      <c r="C349" s="28"/>
      <c r="E349" s="105" t="s">
        <v>99</v>
      </c>
      <c r="F349" s="41" t="s">
        <v>98</v>
      </c>
      <c r="G349" s="100"/>
      <c r="H349" s="94"/>
      <c r="I349" s="43"/>
      <c r="J349" s="3"/>
      <c r="K349" s="101"/>
      <c r="L349" s="230"/>
      <c r="M349" s="30"/>
      <c r="N349" s="178">
        <f>SUM(N334:N334)</f>
        <v>37.5</v>
      </c>
      <c r="O349" s="32"/>
      <c r="P349" s="96"/>
      <c r="Q349" s="30"/>
      <c r="R349" s="178">
        <f>SUM(R334:R335)</f>
        <v>5.7753500000000004</v>
      </c>
      <c r="S349" s="178">
        <f t="shared" si="61"/>
        <v>28.876750000000001</v>
      </c>
      <c r="T349" s="178">
        <f t="shared" si="61"/>
        <v>23.101400000000002</v>
      </c>
      <c r="U349" s="178">
        <f t="shared" si="61"/>
        <v>0</v>
      </c>
      <c r="V349" s="178">
        <f t="shared" si="61"/>
        <v>0</v>
      </c>
      <c r="W349" s="30"/>
      <c r="X349" s="102"/>
      <c r="Y349" s="103"/>
      <c r="Z349" s="103"/>
      <c r="AA349" s="103"/>
      <c r="AB349" s="104"/>
    </row>
    <row r="350" spans="2:28" ht="12" customHeight="1">
      <c r="C350" s="28"/>
      <c r="E350" s="108" t="s">
        <v>59</v>
      </c>
      <c r="F350" s="233" t="s">
        <v>139</v>
      </c>
      <c r="G350" s="120"/>
      <c r="H350" s="94"/>
      <c r="I350" s="43"/>
      <c r="J350" s="3"/>
      <c r="K350" s="121"/>
      <c r="L350" s="231"/>
      <c r="M350" s="30"/>
      <c r="N350" s="234">
        <f>N335</f>
        <v>20.253500000000003</v>
      </c>
      <c r="O350" s="32"/>
      <c r="P350" s="109"/>
      <c r="Q350" s="30"/>
      <c r="R350" s="163">
        <f t="shared" ref="R350:V350" si="62">R335</f>
        <v>2.0253500000000004</v>
      </c>
      <c r="S350" s="163">
        <f t="shared" si="62"/>
        <v>10.126750000000001</v>
      </c>
      <c r="T350" s="163">
        <f t="shared" si="62"/>
        <v>8.1014000000000017</v>
      </c>
      <c r="U350" s="163">
        <f t="shared" si="62"/>
        <v>0</v>
      </c>
      <c r="V350" s="163">
        <f t="shared" si="62"/>
        <v>0</v>
      </c>
      <c r="W350" s="30"/>
      <c r="X350" s="218"/>
      <c r="Y350" s="111"/>
      <c r="Z350" s="111"/>
      <c r="AA350" s="111"/>
      <c r="AB350" s="112"/>
    </row>
    <row r="351" spans="2:28" ht="4" customHeight="1">
      <c r="E351" s="3"/>
      <c r="J351" s="3"/>
    </row>
    <row r="352" spans="2:28" ht="15" customHeight="1">
      <c r="F352" s="122" t="s">
        <v>24</v>
      </c>
      <c r="G352" s="114"/>
      <c r="H352" s="114"/>
      <c r="I352" s="85"/>
      <c r="K352" s="22"/>
      <c r="L352" s="207"/>
      <c r="M352" s="20"/>
      <c r="N352" s="162">
        <f>SUM(N343:N350)</f>
        <v>325.68849999999998</v>
      </c>
      <c r="O352" s="20"/>
      <c r="P352" s="22"/>
      <c r="Q352" s="20"/>
      <c r="R352" s="198">
        <f>SUM(R343:R350)</f>
        <v>2036.0066999999997</v>
      </c>
      <c r="S352" s="198">
        <f>SUM(S343:S350)</f>
        <v>2350.3085000000001</v>
      </c>
      <c r="T352" s="198">
        <f>SUM(T343:T350)</f>
        <v>2110.0268000000001</v>
      </c>
      <c r="U352" s="198">
        <f>SUM(U343:U350)</f>
        <v>2015</v>
      </c>
      <c r="V352" s="198">
        <f>SUM(V343:V350)</f>
        <v>2016</v>
      </c>
      <c r="W352" s="115"/>
      <c r="X352" s="160">
        <f>SUM(X343:X350)</f>
        <v>0</v>
      </c>
      <c r="Y352" s="160">
        <f>SUM(Y343:Y350)</f>
        <v>0</v>
      </c>
      <c r="Z352" s="160">
        <f>SUM(Z343:Z350)</f>
        <v>0</v>
      </c>
      <c r="AA352" s="160">
        <f>SUM(AA343:AA350)</f>
        <v>0</v>
      </c>
      <c r="AB352" s="160">
        <f>SUM(AB343:AB350)</f>
        <v>0</v>
      </c>
    </row>
    <row r="353" spans="2:28" ht="12" customHeight="1">
      <c r="N353" s="67"/>
    </row>
    <row r="354" spans="2:28" ht="12" customHeight="1">
      <c r="N354" s="67"/>
    </row>
    <row r="355" spans="2:28" ht="12" customHeight="1">
      <c r="N355" s="67"/>
    </row>
    <row r="356" spans="2:28" ht="12" customHeight="1">
      <c r="N356" s="67"/>
    </row>
    <row r="357" spans="2:28" ht="12" customHeight="1">
      <c r="N357" s="67"/>
    </row>
    <row r="358" spans="2:28" ht="12" customHeight="1" thickBot="1">
      <c r="N358" s="67"/>
    </row>
    <row r="359" spans="2:28" ht="18" customHeight="1" thickBot="1">
      <c r="B359" s="315" t="s">
        <v>227</v>
      </c>
      <c r="C359" s="316"/>
      <c r="D359" s="316"/>
      <c r="E359" s="316"/>
      <c r="F359" s="316"/>
      <c r="G359" s="316"/>
      <c r="H359" s="316"/>
      <c r="I359" s="316"/>
      <c r="J359" s="316"/>
      <c r="K359" s="316"/>
      <c r="L359" s="316"/>
      <c r="M359" s="316"/>
      <c r="N359" s="316"/>
      <c r="O359" s="316"/>
      <c r="P359" s="316"/>
      <c r="Q359" s="316"/>
      <c r="R359" s="316"/>
      <c r="S359" s="316"/>
      <c r="T359" s="316"/>
      <c r="U359" s="316"/>
      <c r="V359" s="316"/>
      <c r="W359" s="316"/>
      <c r="X359" s="316"/>
      <c r="Y359" s="316"/>
      <c r="Z359" s="316"/>
      <c r="AA359" s="316"/>
      <c r="AB359" s="317"/>
    </row>
    <row r="360" spans="2:28" ht="10" customHeight="1" thickBot="1"/>
    <row r="361" spans="2:28" ht="15" customHeight="1" thickBot="1">
      <c r="B361" s="164" t="s">
        <v>100</v>
      </c>
      <c r="C361" s="6"/>
      <c r="D361" s="132"/>
      <c r="E361" s="123" t="s">
        <v>127</v>
      </c>
      <c r="F361" s="7"/>
      <c r="G361" s="8"/>
    </row>
    <row r="362" spans="2:28" ht="15" customHeight="1">
      <c r="B362" s="6"/>
      <c r="C362" s="9"/>
      <c r="D362" s="130"/>
      <c r="E362" s="9" t="s">
        <v>126</v>
      </c>
      <c r="F362" s="251" t="s">
        <v>128</v>
      </c>
      <c r="G362" s="11"/>
    </row>
    <row r="363" spans="2:28" ht="12" customHeight="1">
      <c r="B363" s="6"/>
      <c r="C363" s="6"/>
      <c r="D363" s="132"/>
      <c r="E363" s="12"/>
      <c r="F363" s="26" t="s">
        <v>159</v>
      </c>
      <c r="G363" s="11"/>
    </row>
    <row r="364" spans="2:28" ht="12" customHeight="1">
      <c r="B364" s="6"/>
      <c r="C364" s="6"/>
      <c r="D364" s="132"/>
      <c r="E364" s="12"/>
      <c r="F364" s="273" t="s">
        <v>7</v>
      </c>
      <c r="G364" s="14">
        <v>2014</v>
      </c>
      <c r="P364" s="137">
        <v>2011</v>
      </c>
      <c r="Q364" s="138"/>
      <c r="R364" s="137">
        <f>P364+1</f>
        <v>2012</v>
      </c>
      <c r="S364" s="137">
        <f>R364+1</f>
        <v>2013</v>
      </c>
      <c r="T364" s="137">
        <f>S364+1</f>
        <v>2014</v>
      </c>
      <c r="U364" s="137">
        <f>T364+1</f>
        <v>2015</v>
      </c>
      <c r="V364" s="137">
        <f>U364+1</f>
        <v>2016</v>
      </c>
      <c r="W364" s="138"/>
      <c r="X364" s="139">
        <f>V364+1</f>
        <v>2017</v>
      </c>
      <c r="Y364" s="139">
        <f>X364+1</f>
        <v>2018</v>
      </c>
      <c r="Z364" s="139">
        <f>Y364+1</f>
        <v>2019</v>
      </c>
      <c r="AA364" s="139">
        <f>Z364+1</f>
        <v>2020</v>
      </c>
      <c r="AB364" s="139">
        <f>AA364+1</f>
        <v>2021</v>
      </c>
    </row>
    <row r="365" spans="2:28" ht="12" customHeight="1">
      <c r="F365" s="1"/>
      <c r="G365" s="209" t="s">
        <v>68</v>
      </c>
      <c r="H365" s="18"/>
      <c r="I365" s="18"/>
      <c r="K365" s="19"/>
      <c r="L365" s="203"/>
      <c r="M365" s="20"/>
      <c r="N365" s="21" t="s">
        <v>0</v>
      </c>
      <c r="O365" s="20"/>
      <c r="P365" s="22"/>
      <c r="Q365" s="20"/>
      <c r="R365" s="140"/>
      <c r="S365" s="141"/>
      <c r="T365" s="142">
        <v>23.7</v>
      </c>
      <c r="U365" s="140">
        <v>33.799999999999997</v>
      </c>
      <c r="V365" s="143">
        <v>30.5</v>
      </c>
      <c r="W365" s="23"/>
      <c r="X365" s="144">
        <v>28.3</v>
      </c>
      <c r="Y365" s="144">
        <v>25.700000000000003</v>
      </c>
      <c r="Z365" s="144">
        <v>19.100000000000001</v>
      </c>
      <c r="AA365" s="144">
        <v>15.1</v>
      </c>
      <c r="AB365" s="144">
        <v>15.1</v>
      </c>
    </row>
    <row r="366" spans="2:28" ht="12" customHeight="1">
      <c r="F366" s="1"/>
      <c r="G366" s="210" t="s">
        <v>69</v>
      </c>
      <c r="H366" s="18"/>
      <c r="I366" s="18"/>
      <c r="K366" s="19"/>
      <c r="L366" s="203"/>
      <c r="M366" s="20"/>
      <c r="N366" s="21" t="s">
        <v>1</v>
      </c>
      <c r="O366" s="20"/>
      <c r="P366" s="22"/>
      <c r="Q366" s="20"/>
      <c r="R366" s="140"/>
      <c r="S366" s="141"/>
      <c r="T366" s="142">
        <v>11.600000000000001</v>
      </c>
      <c r="U366" s="140">
        <v>16.600000000000001</v>
      </c>
      <c r="V366" s="143">
        <v>15.899999999999999</v>
      </c>
      <c r="W366" s="23"/>
      <c r="X366" s="144">
        <v>15.1</v>
      </c>
      <c r="Y366" s="144">
        <v>14.100000000000001</v>
      </c>
      <c r="Z366" s="144">
        <v>10.600000000000001</v>
      </c>
      <c r="AA366" s="144">
        <v>7.9</v>
      </c>
      <c r="AB366" s="144">
        <v>7.9</v>
      </c>
    </row>
    <row r="367" spans="2:28" ht="10" customHeight="1">
      <c r="F367" s="1"/>
      <c r="G367" s="165"/>
      <c r="H367" s="166"/>
      <c r="I367" s="166"/>
      <c r="K367" s="167"/>
      <c r="L367" s="204"/>
      <c r="M367" s="168"/>
      <c r="N367" s="169"/>
      <c r="O367" s="168"/>
      <c r="P367" s="168"/>
      <c r="Q367" s="168"/>
      <c r="R367" s="170"/>
      <c r="S367" s="170"/>
      <c r="T367" s="170"/>
      <c r="U367" s="170"/>
      <c r="V367" s="170"/>
      <c r="W367" s="171"/>
      <c r="X367" s="172"/>
      <c r="Y367" s="172"/>
      <c r="Z367" s="172"/>
      <c r="AA367" s="172"/>
      <c r="AB367" s="172"/>
    </row>
    <row r="368" spans="2:28" ht="12" customHeight="1">
      <c r="E368" s="26" t="s">
        <v>8</v>
      </c>
      <c r="F368" s="27" t="s">
        <v>27</v>
      </c>
      <c r="O368" s="24"/>
      <c r="P368" s="134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6"/>
    </row>
    <row r="369" spans="2:29" ht="12" customHeight="1">
      <c r="C369" s="25"/>
      <c r="F369" s="1"/>
      <c r="G369" s="5"/>
      <c r="O369" s="24"/>
      <c r="P369" s="15">
        <v>2011</v>
      </c>
      <c r="Q369" s="16"/>
      <c r="R369" s="16">
        <f>P369+1</f>
        <v>2012</v>
      </c>
      <c r="S369" s="16">
        <f>R369+1</f>
        <v>2013</v>
      </c>
      <c r="T369" s="16">
        <f>S369+1</f>
        <v>2014</v>
      </c>
      <c r="U369" s="16">
        <f>T369+1</f>
        <v>2015</v>
      </c>
      <c r="V369" s="16">
        <f>U369+1</f>
        <v>2016</v>
      </c>
      <c r="W369" s="16"/>
      <c r="X369" s="17">
        <f>V369+1</f>
        <v>2017</v>
      </c>
      <c r="Y369" s="17">
        <f>X369+1</f>
        <v>2018</v>
      </c>
      <c r="Z369" s="17">
        <f>Y369+1</f>
        <v>2019</v>
      </c>
      <c r="AA369" s="17">
        <f>Z369+1</f>
        <v>2020</v>
      </c>
      <c r="AB369" s="17">
        <f>AA369+1</f>
        <v>2021</v>
      </c>
      <c r="AC369" s="24"/>
    </row>
    <row r="370" spans="2:29" ht="4" customHeight="1"/>
    <row r="371" spans="2:29" ht="12" customHeight="1">
      <c r="D371" s="242">
        <v>1</v>
      </c>
      <c r="E371" s="125" t="s">
        <v>209</v>
      </c>
      <c r="F371" s="125" t="s">
        <v>210</v>
      </c>
      <c r="G371" s="145"/>
      <c r="H371" s="150"/>
      <c r="I371" s="151"/>
      <c r="J371" s="3"/>
      <c r="K371" s="295">
        <v>4</v>
      </c>
      <c r="L371" s="201"/>
      <c r="M371" s="30"/>
      <c r="N371" s="87"/>
      <c r="O371" s="32"/>
      <c r="P371" s="33"/>
      <c r="Q371" s="30"/>
      <c r="R371" s="34"/>
      <c r="S371" s="35">
        <f>K371</f>
        <v>4</v>
      </c>
      <c r="T371" s="35"/>
      <c r="U371" s="35"/>
      <c r="V371" s="36"/>
      <c r="W371" s="30"/>
      <c r="X371" s="37"/>
      <c r="Y371" s="38"/>
      <c r="Z371" s="38"/>
      <c r="AA371" s="38"/>
      <c r="AB371" s="39"/>
    </row>
    <row r="372" spans="2:29" ht="12" customHeight="1">
      <c r="D372" s="243">
        <v>2</v>
      </c>
      <c r="E372" s="126" t="s">
        <v>222</v>
      </c>
      <c r="F372" s="126" t="s">
        <v>223</v>
      </c>
      <c r="G372" s="146"/>
      <c r="H372" s="152"/>
      <c r="I372" s="153"/>
      <c r="J372" s="3"/>
      <c r="K372" s="296">
        <v>2</v>
      </c>
      <c r="L372" s="201"/>
      <c r="M372" s="30"/>
      <c r="N372" s="101"/>
      <c r="O372" s="32"/>
      <c r="P372" s="45"/>
      <c r="Q372" s="30"/>
      <c r="R372" s="46"/>
      <c r="S372" s="47">
        <f>K372</f>
        <v>2</v>
      </c>
      <c r="T372" s="47"/>
      <c r="U372" s="47"/>
      <c r="V372" s="48"/>
      <c r="W372" s="30"/>
      <c r="X372" s="49"/>
      <c r="Y372" s="50"/>
      <c r="Z372" s="50"/>
      <c r="AA372" s="50"/>
      <c r="AB372" s="51"/>
    </row>
    <row r="373" spans="2:29" ht="12" customHeight="1">
      <c r="D373" s="243">
        <v>3</v>
      </c>
      <c r="E373" s="126" t="s">
        <v>211</v>
      </c>
      <c r="F373" s="126" t="s">
        <v>26</v>
      </c>
      <c r="G373" s="146"/>
      <c r="H373" s="152"/>
      <c r="I373" s="153"/>
      <c r="J373" s="3"/>
      <c r="K373" s="44">
        <v>2</v>
      </c>
      <c r="L373" s="201"/>
      <c r="M373" s="30"/>
      <c r="N373" s="53"/>
      <c r="O373" s="32"/>
      <c r="P373" s="45"/>
      <c r="Q373" s="30"/>
      <c r="R373" s="46"/>
      <c r="S373" s="47">
        <f t="shared" ref="S373" si="63">K373</f>
        <v>2</v>
      </c>
      <c r="T373" s="47"/>
      <c r="U373" s="47"/>
      <c r="V373" s="48"/>
      <c r="W373" s="30"/>
      <c r="X373" s="49"/>
      <c r="Y373" s="50"/>
      <c r="Z373" s="50"/>
      <c r="AA373" s="50"/>
      <c r="AB373" s="51"/>
    </row>
    <row r="374" spans="2:29" ht="12" customHeight="1">
      <c r="D374" s="244">
        <v>4</v>
      </c>
      <c r="E374" s="127" t="s">
        <v>212</v>
      </c>
      <c r="F374" s="127" t="s">
        <v>26</v>
      </c>
      <c r="G374" s="147"/>
      <c r="H374" s="154"/>
      <c r="I374" s="155"/>
      <c r="J374" s="3"/>
      <c r="K374" s="297">
        <v>4</v>
      </c>
      <c r="L374" s="201"/>
      <c r="M374" s="30"/>
      <c r="N374" s="53"/>
      <c r="O374" s="32"/>
      <c r="P374" s="45"/>
      <c r="Q374" s="30"/>
      <c r="R374" s="46"/>
      <c r="S374" s="47">
        <f>K374</f>
        <v>4</v>
      </c>
      <c r="T374" s="47"/>
      <c r="U374" s="47"/>
      <c r="V374" s="48"/>
      <c r="W374" s="30"/>
      <c r="X374" s="49"/>
      <c r="Y374" s="50"/>
      <c r="Z374" s="50"/>
      <c r="AA374" s="50"/>
      <c r="AB374" s="51"/>
    </row>
    <row r="375" spans="2:29" s="67" customFormat="1" ht="15" customHeight="1">
      <c r="B375" s="54"/>
      <c r="C375" s="55"/>
      <c r="D375" s="133"/>
      <c r="E375" s="124"/>
      <c r="F375" s="128" t="s">
        <v>2</v>
      </c>
      <c r="G375" s="129"/>
      <c r="H375" s="148"/>
      <c r="I375" s="149"/>
      <c r="J375" s="61"/>
      <c r="K375" s="29">
        <f>SUM(K371:K374)</f>
        <v>12</v>
      </c>
      <c r="L375" s="205"/>
      <c r="M375" s="62"/>
      <c r="N375" s="31"/>
      <c r="O375" s="61"/>
      <c r="P375" s="63"/>
      <c r="Q375" s="62"/>
      <c r="R375" s="64">
        <f>SUM(R371:R374)</f>
        <v>0</v>
      </c>
      <c r="S375" s="64">
        <f>SUM(S371:S374)</f>
        <v>12</v>
      </c>
      <c r="T375" s="64">
        <f>SUM(T371:T374)</f>
        <v>0</v>
      </c>
      <c r="U375" s="64">
        <f>SUM(U371:U374)</f>
        <v>0</v>
      </c>
      <c r="V375" s="64">
        <f>SUM(V371:V374)</f>
        <v>0</v>
      </c>
      <c r="W375" s="62"/>
      <c r="X375" s="65"/>
      <c r="Y375" s="59"/>
      <c r="Z375" s="59"/>
      <c r="AA375" s="59"/>
      <c r="AB375" s="66"/>
    </row>
    <row r="376" spans="2:29" ht="9" customHeight="1"/>
    <row r="377" spans="2:29" ht="14.15" customHeight="1">
      <c r="L377" s="1"/>
      <c r="O377" s="24"/>
      <c r="P377" s="84" t="s">
        <v>10</v>
      </c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  <c r="AB377" s="222"/>
    </row>
    <row r="378" spans="2:29" ht="15" customHeight="1">
      <c r="E378" s="26" t="s">
        <v>28</v>
      </c>
      <c r="K378" s="137" t="s">
        <v>67</v>
      </c>
      <c r="L378" s="211" t="s">
        <v>66</v>
      </c>
      <c r="M378" s="24"/>
      <c r="N378" s="212" t="s">
        <v>11</v>
      </c>
      <c r="O378" s="24"/>
      <c r="P378" s="137">
        <v>2011</v>
      </c>
      <c r="Q378" s="5"/>
      <c r="R378" s="137">
        <f>P378+1</f>
        <v>2012</v>
      </c>
      <c r="S378" s="137">
        <f>R378+1</f>
        <v>2013</v>
      </c>
      <c r="T378" s="137">
        <f>S378+1</f>
        <v>2014</v>
      </c>
      <c r="U378" s="137">
        <f>T378+1</f>
        <v>2015</v>
      </c>
      <c r="V378" s="137">
        <f>U378+1</f>
        <v>2016</v>
      </c>
      <c r="W378" s="5"/>
      <c r="X378" s="139">
        <f>V378+1</f>
        <v>2017</v>
      </c>
      <c r="Y378" s="139">
        <f>X378+1</f>
        <v>2018</v>
      </c>
      <c r="Z378" s="139">
        <f>Y378+1</f>
        <v>2019</v>
      </c>
      <c r="AA378" s="139">
        <f>Z378+1</f>
        <v>2020</v>
      </c>
      <c r="AB378" s="139">
        <f>AA378+1</f>
        <v>2021</v>
      </c>
    </row>
    <row r="379" spans="2:29" ht="4.5" customHeight="1"/>
    <row r="380" spans="2:29" ht="12" customHeight="1">
      <c r="D380" s="242">
        <v>1</v>
      </c>
      <c r="E380" s="125" t="s">
        <v>209</v>
      </c>
      <c r="F380" s="125" t="s">
        <v>213</v>
      </c>
      <c r="G380" s="299">
        <f>(3*1+2.5)/4</f>
        <v>1.375</v>
      </c>
      <c r="H380" s="78" t="s">
        <v>12</v>
      </c>
      <c r="I380" s="79" t="s">
        <v>13</v>
      </c>
      <c r="J380" s="3"/>
      <c r="K380" s="80">
        <f>K371</f>
        <v>4</v>
      </c>
      <c r="L380" s="225" t="s">
        <v>13</v>
      </c>
      <c r="M380" s="30"/>
      <c r="N380" s="156">
        <f>G380*K380</f>
        <v>5.5</v>
      </c>
      <c r="O380" s="32"/>
      <c r="P380" s="33"/>
      <c r="Q380" s="30"/>
      <c r="R380" s="81">
        <f t="shared" ref="R380:V383" si="64">$G380*R371</f>
        <v>0</v>
      </c>
      <c r="S380" s="81">
        <f t="shared" si="64"/>
        <v>5.5</v>
      </c>
      <c r="T380" s="81">
        <f t="shared" si="64"/>
        <v>0</v>
      </c>
      <c r="U380" s="81">
        <f t="shared" si="64"/>
        <v>0</v>
      </c>
      <c r="V380" s="81">
        <f t="shared" si="64"/>
        <v>0</v>
      </c>
      <c r="W380" s="30"/>
      <c r="X380" s="37"/>
      <c r="Y380" s="38"/>
      <c r="Z380" s="38"/>
      <c r="AA380" s="38"/>
      <c r="AB380" s="39"/>
    </row>
    <row r="381" spans="2:29" ht="12" customHeight="1">
      <c r="D381" s="243">
        <v>2</v>
      </c>
      <c r="E381" s="126" t="s">
        <v>222</v>
      </c>
      <c r="F381" s="126" t="s">
        <v>214</v>
      </c>
      <c r="G381" s="300">
        <f>(2.3+2.7)/2</f>
        <v>2.5</v>
      </c>
      <c r="H381" s="42" t="s">
        <v>12</v>
      </c>
      <c r="I381" s="43" t="s">
        <v>13</v>
      </c>
      <c r="J381" s="3"/>
      <c r="K381" s="52">
        <f>K372</f>
        <v>2</v>
      </c>
      <c r="L381" s="226" t="s">
        <v>13</v>
      </c>
      <c r="M381" s="30"/>
      <c r="N381" s="157">
        <f>G381*K381</f>
        <v>5</v>
      </c>
      <c r="O381" s="32"/>
      <c r="P381" s="45"/>
      <c r="Q381" s="30"/>
      <c r="R381" s="81">
        <f t="shared" si="64"/>
        <v>0</v>
      </c>
      <c r="S381" s="81">
        <f t="shared" si="64"/>
        <v>5</v>
      </c>
      <c r="T381" s="81">
        <f t="shared" si="64"/>
        <v>0</v>
      </c>
      <c r="U381" s="81">
        <f t="shared" si="64"/>
        <v>0</v>
      </c>
      <c r="V381" s="81">
        <f t="shared" si="64"/>
        <v>0</v>
      </c>
      <c r="W381" s="30"/>
      <c r="X381" s="49"/>
      <c r="Y381" s="50"/>
      <c r="Z381" s="50"/>
      <c r="AA381" s="50"/>
      <c r="AB381" s="51"/>
    </row>
    <row r="382" spans="2:29" ht="12" customHeight="1">
      <c r="D382" s="243">
        <v>3</v>
      </c>
      <c r="E382" s="126" t="s">
        <v>211</v>
      </c>
      <c r="F382" s="126" t="s">
        <v>26</v>
      </c>
      <c r="G382" s="300">
        <f>(17.5+22)/2</f>
        <v>19.75</v>
      </c>
      <c r="H382" s="42" t="s">
        <v>12</v>
      </c>
      <c r="I382" s="43" t="s">
        <v>13</v>
      </c>
      <c r="J382" s="3"/>
      <c r="K382" s="52">
        <f>K373</f>
        <v>2</v>
      </c>
      <c r="L382" s="226" t="s">
        <v>13</v>
      </c>
      <c r="M382" s="30"/>
      <c r="N382" s="157">
        <f>G382*K382</f>
        <v>39.5</v>
      </c>
      <c r="O382" s="32"/>
      <c r="P382" s="45"/>
      <c r="Q382" s="30"/>
      <c r="R382" s="81">
        <f t="shared" si="64"/>
        <v>0</v>
      </c>
      <c r="S382" s="81">
        <f t="shared" si="64"/>
        <v>39.5</v>
      </c>
      <c r="T382" s="81">
        <f t="shared" si="64"/>
        <v>0</v>
      </c>
      <c r="U382" s="81">
        <f t="shared" si="64"/>
        <v>0</v>
      </c>
      <c r="V382" s="81">
        <f t="shared" si="64"/>
        <v>0</v>
      </c>
      <c r="W382" s="30"/>
      <c r="X382" s="49"/>
      <c r="Y382" s="50"/>
      <c r="Z382" s="50"/>
      <c r="AA382" s="50"/>
      <c r="AB382" s="51"/>
    </row>
    <row r="383" spans="2:29" ht="12" customHeight="1">
      <c r="D383" s="244">
        <v>4</v>
      </c>
      <c r="E383" s="127" t="s">
        <v>212</v>
      </c>
      <c r="F383" s="127" t="s">
        <v>26</v>
      </c>
      <c r="G383" s="300">
        <f>(3*13.7+11.8)/4</f>
        <v>13.224999999999998</v>
      </c>
      <c r="H383" s="42" t="s">
        <v>12</v>
      </c>
      <c r="I383" s="43" t="s">
        <v>13</v>
      </c>
      <c r="J383" s="3"/>
      <c r="K383" s="52">
        <f>K374</f>
        <v>4</v>
      </c>
      <c r="L383" s="227" t="s">
        <v>13</v>
      </c>
      <c r="M383" s="30"/>
      <c r="N383" s="157">
        <f>G383*K383</f>
        <v>52.899999999999991</v>
      </c>
      <c r="O383" s="32"/>
      <c r="P383" s="45"/>
      <c r="Q383" s="30"/>
      <c r="R383" s="81">
        <f t="shared" si="64"/>
        <v>0</v>
      </c>
      <c r="S383" s="81">
        <f t="shared" si="64"/>
        <v>52.899999999999991</v>
      </c>
      <c r="T383" s="81">
        <f t="shared" si="64"/>
        <v>0</v>
      </c>
      <c r="U383" s="81">
        <f t="shared" si="64"/>
        <v>0</v>
      </c>
      <c r="V383" s="81">
        <f t="shared" si="64"/>
        <v>0</v>
      </c>
      <c r="W383" s="30"/>
      <c r="X383" s="49"/>
      <c r="Y383" s="50"/>
      <c r="Z383" s="50"/>
      <c r="AA383" s="50"/>
      <c r="AB383" s="51"/>
    </row>
    <row r="384" spans="2:29" s="67" customFormat="1" ht="15" customHeight="1">
      <c r="B384" s="54"/>
      <c r="C384" s="55"/>
      <c r="D384" s="133"/>
      <c r="E384" s="56"/>
      <c r="F384" s="57" t="s">
        <v>14</v>
      </c>
      <c r="G384" s="58"/>
      <c r="H384" s="59"/>
      <c r="I384" s="60"/>
      <c r="J384" s="61"/>
      <c r="K384" s="82"/>
      <c r="L384" s="206"/>
      <c r="M384" s="62"/>
      <c r="N384" s="180">
        <f>SUM(N380:N383)</f>
        <v>102.89999999999999</v>
      </c>
      <c r="O384" s="61"/>
      <c r="P384" s="63"/>
      <c r="Q384" s="62"/>
      <c r="R384" s="83">
        <f>SUM(R380:R383)</f>
        <v>0</v>
      </c>
      <c r="S384" s="83">
        <f>SUM(S380:S383)</f>
        <v>102.89999999999999</v>
      </c>
      <c r="T384" s="83">
        <f>SUM(T380:T383)</f>
        <v>0</v>
      </c>
      <c r="U384" s="83">
        <f>SUM(U380:U383)</f>
        <v>0</v>
      </c>
      <c r="V384" s="83">
        <f>SUM(V380:V383)</f>
        <v>0</v>
      </c>
      <c r="W384" s="62"/>
      <c r="X384" s="65"/>
      <c r="Y384" s="59"/>
      <c r="Z384" s="59"/>
      <c r="AA384" s="59"/>
      <c r="AB384" s="66"/>
    </row>
    <row r="385" spans="3:28" ht="5.15" customHeight="1"/>
    <row r="386" spans="3:28" ht="20.149999999999999" customHeight="1">
      <c r="E386" s="26" t="s">
        <v>15</v>
      </c>
      <c r="F386" s="84" t="s">
        <v>16</v>
      </c>
      <c r="G386" s="85"/>
      <c r="H386" s="215" t="s">
        <v>4</v>
      </c>
      <c r="I386" s="232" t="s">
        <v>76</v>
      </c>
      <c r="K386" s="137" t="s">
        <v>67</v>
      </c>
      <c r="L386" s="211" t="s">
        <v>66</v>
      </c>
      <c r="N386" s="212" t="s">
        <v>11</v>
      </c>
      <c r="P386" s="73">
        <v>2011</v>
      </c>
      <c r="Q386" s="74"/>
      <c r="R386" s="75">
        <f>P386+1</f>
        <v>2012</v>
      </c>
      <c r="S386" s="75">
        <f>R386+1</f>
        <v>2013</v>
      </c>
      <c r="T386" s="75">
        <f>S386+1</f>
        <v>2014</v>
      </c>
      <c r="U386" s="75">
        <f>T386+1</f>
        <v>2015</v>
      </c>
      <c r="V386" s="75">
        <f>U386+1</f>
        <v>2016</v>
      </c>
      <c r="W386" s="74"/>
      <c r="X386" s="76">
        <f>V386+1</f>
        <v>2017</v>
      </c>
      <c r="Y386" s="76">
        <f>X386+1</f>
        <v>2018</v>
      </c>
      <c r="Z386" s="76">
        <f>Y386+1</f>
        <v>2019</v>
      </c>
      <c r="AA386" s="76">
        <f>Z386+1</f>
        <v>2020</v>
      </c>
      <c r="AB386" s="76">
        <f>AA386+1</f>
        <v>2021</v>
      </c>
    </row>
    <row r="387" spans="3:28" ht="4" customHeight="1"/>
    <row r="388" spans="3:28" ht="12" customHeight="1">
      <c r="C388" s="28"/>
      <c r="E388" s="77" t="s">
        <v>218</v>
      </c>
      <c r="F388" s="158" t="s">
        <v>219</v>
      </c>
      <c r="G388" s="86"/>
      <c r="H388" s="213" t="s">
        <v>71</v>
      </c>
      <c r="I388" s="216">
        <v>0.5</v>
      </c>
      <c r="J388" s="3"/>
      <c r="K388" s="298">
        <v>13</v>
      </c>
      <c r="L388" s="229" t="s">
        <v>73</v>
      </c>
      <c r="M388" s="30"/>
      <c r="N388" s="176">
        <f>I388*K388</f>
        <v>6.5</v>
      </c>
      <c r="O388" s="32"/>
      <c r="P388" s="88"/>
      <c r="Q388" s="30"/>
      <c r="R388" s="90"/>
      <c r="S388" s="91">
        <f>N388</f>
        <v>6.5</v>
      </c>
      <c r="T388" s="91"/>
      <c r="U388" s="91"/>
      <c r="V388" s="92"/>
      <c r="W388" s="30"/>
      <c r="X388" s="90"/>
      <c r="Y388" s="91"/>
      <c r="Z388" s="91"/>
      <c r="AA388" s="91"/>
      <c r="AB388" s="92"/>
    </row>
    <row r="389" spans="3:28" ht="12" customHeight="1">
      <c r="C389" s="28"/>
      <c r="E389" s="77" t="s">
        <v>215</v>
      </c>
      <c r="F389" s="158" t="s">
        <v>70</v>
      </c>
      <c r="G389" s="86"/>
      <c r="H389" s="213" t="s">
        <v>71</v>
      </c>
      <c r="I389" s="216">
        <v>0.25</v>
      </c>
      <c r="J389" s="3"/>
      <c r="K389" s="228">
        <v>5.7</v>
      </c>
      <c r="L389" s="229" t="s">
        <v>72</v>
      </c>
      <c r="M389" s="30"/>
      <c r="N389" s="176">
        <f>I389*K389</f>
        <v>1.425</v>
      </c>
      <c r="O389" s="32"/>
      <c r="P389" s="88"/>
      <c r="Q389" s="30"/>
      <c r="R389" s="90"/>
      <c r="S389" s="91">
        <f>N389</f>
        <v>1.425</v>
      </c>
      <c r="T389" s="91"/>
      <c r="U389" s="91"/>
      <c r="V389" s="92"/>
      <c r="W389" s="30"/>
      <c r="X389" s="90"/>
      <c r="Y389" s="91"/>
      <c r="Z389" s="91"/>
      <c r="AA389" s="91"/>
      <c r="AB389" s="92"/>
    </row>
    <row r="390" spans="3:28" ht="12" customHeight="1">
      <c r="C390" s="28"/>
      <c r="E390" s="105"/>
      <c r="F390" s="41" t="s">
        <v>17</v>
      </c>
      <c r="G390" s="93"/>
      <c r="H390" s="94"/>
      <c r="I390" s="217">
        <v>0.1</v>
      </c>
      <c r="J390" s="3"/>
      <c r="K390" s="174">
        <v>7</v>
      </c>
      <c r="L390" s="226" t="s">
        <v>73</v>
      </c>
      <c r="M390" s="30"/>
      <c r="N390" s="177">
        <f>I390*K390</f>
        <v>0.70000000000000007</v>
      </c>
      <c r="O390" s="32"/>
      <c r="P390" s="96"/>
      <c r="Q390" s="30"/>
      <c r="R390" s="97"/>
      <c r="S390" s="98">
        <f>N390</f>
        <v>0.70000000000000007</v>
      </c>
      <c r="T390" s="98"/>
      <c r="U390" s="98"/>
      <c r="V390" s="99"/>
      <c r="W390" s="30"/>
      <c r="X390" s="97"/>
      <c r="Y390" s="98"/>
      <c r="Z390" s="98"/>
      <c r="AA390" s="98"/>
      <c r="AB390" s="99"/>
    </row>
    <row r="391" spans="3:28" ht="12" customHeight="1">
      <c r="C391" s="28"/>
      <c r="E391" s="105" t="s">
        <v>216</v>
      </c>
      <c r="F391" s="41" t="s">
        <v>217</v>
      </c>
      <c r="G391" s="100"/>
      <c r="H391" s="94"/>
      <c r="I391" s="217">
        <f>0.25</f>
        <v>0.25</v>
      </c>
      <c r="J391" s="3"/>
      <c r="K391" s="200">
        <f>11*3</f>
        <v>33</v>
      </c>
      <c r="L391" s="230" t="s">
        <v>72</v>
      </c>
      <c r="M391" s="30"/>
      <c r="N391" s="177">
        <f>I391*K391</f>
        <v>8.25</v>
      </c>
      <c r="O391" s="32"/>
      <c r="P391" s="96"/>
      <c r="Q391" s="30"/>
      <c r="R391" s="257"/>
      <c r="S391" s="214">
        <f>N391</f>
        <v>8.25</v>
      </c>
      <c r="T391" s="214"/>
      <c r="U391" s="103"/>
      <c r="V391" s="104"/>
      <c r="W391" s="30"/>
      <c r="X391" s="102"/>
      <c r="Y391" s="103"/>
      <c r="Z391" s="103"/>
      <c r="AA391" s="103"/>
      <c r="AB391" s="104"/>
    </row>
    <row r="392" spans="3:28" ht="12" customHeight="1">
      <c r="C392" s="28"/>
      <c r="E392" s="105"/>
      <c r="F392" s="253" t="s">
        <v>17</v>
      </c>
      <c r="G392" s="100"/>
      <c r="H392" s="94"/>
      <c r="I392" s="217">
        <v>0.1</v>
      </c>
      <c r="J392" s="3"/>
      <c r="K392" s="174">
        <v>11</v>
      </c>
      <c r="L392" s="226" t="s">
        <v>73</v>
      </c>
      <c r="M392" s="30"/>
      <c r="N392" s="177">
        <f>I392*K392</f>
        <v>1.1000000000000001</v>
      </c>
      <c r="O392" s="32"/>
      <c r="P392" s="96"/>
      <c r="Q392" s="30"/>
      <c r="R392" s="257"/>
      <c r="S392" s="214">
        <f>N392</f>
        <v>1.1000000000000001</v>
      </c>
      <c r="T392" s="214"/>
      <c r="U392" s="103"/>
      <c r="V392" s="104"/>
      <c r="W392" s="30"/>
      <c r="X392" s="102"/>
      <c r="Y392" s="103"/>
      <c r="Z392" s="103"/>
      <c r="AA392" s="103"/>
      <c r="AB392" s="104"/>
    </row>
    <row r="393" spans="3:28" ht="12" customHeight="1">
      <c r="C393" s="28"/>
      <c r="E393" s="183" t="s">
        <v>93</v>
      </c>
      <c r="F393" s="186"/>
      <c r="G393" s="184"/>
      <c r="H393" s="94"/>
      <c r="I393" s="95"/>
      <c r="J393" s="3"/>
      <c r="K393" s="174"/>
      <c r="L393" s="226"/>
      <c r="M393" s="30"/>
      <c r="N393" s="177"/>
      <c r="O393" s="32"/>
      <c r="P393" s="96"/>
      <c r="Q393" s="30"/>
      <c r="R393" s="257"/>
      <c r="S393" s="214"/>
      <c r="T393" s="214"/>
      <c r="U393" s="103"/>
      <c r="V393" s="104"/>
      <c r="W393" s="30"/>
      <c r="X393" s="102"/>
      <c r="Y393" s="103"/>
      <c r="Z393" s="103"/>
      <c r="AA393" s="103"/>
      <c r="AB393" s="104"/>
    </row>
    <row r="394" spans="3:28" ht="12" customHeight="1">
      <c r="C394" s="28"/>
      <c r="E394" s="107" t="s">
        <v>87</v>
      </c>
      <c r="F394" s="248" t="s">
        <v>88</v>
      </c>
      <c r="G394" s="185"/>
      <c r="H394" s="94" t="s">
        <v>25</v>
      </c>
      <c r="I394" s="43"/>
      <c r="J394" s="3"/>
      <c r="K394" s="174"/>
      <c r="L394" s="226"/>
      <c r="M394" s="30"/>
      <c r="N394" s="178">
        <v>5</v>
      </c>
      <c r="O394" s="32"/>
      <c r="P394" s="96"/>
      <c r="Q394" s="30"/>
      <c r="R394" s="257">
        <f>0.1*N394</f>
        <v>0.5</v>
      </c>
      <c r="S394" s="214">
        <f t="shared" ref="S394:S396" si="65">0.5*N394</f>
        <v>2.5</v>
      </c>
      <c r="T394" s="214">
        <f>0.4*N394</f>
        <v>2</v>
      </c>
      <c r="U394" s="103"/>
      <c r="V394" s="104"/>
      <c r="W394" s="30"/>
      <c r="X394" s="102"/>
      <c r="Y394" s="103"/>
      <c r="Z394" s="103"/>
      <c r="AA394" s="103"/>
      <c r="AB394" s="104"/>
    </row>
    <row r="395" spans="3:28" ht="12" customHeight="1">
      <c r="C395" s="28"/>
      <c r="E395" s="107" t="s">
        <v>89</v>
      </c>
      <c r="F395" s="248" t="s">
        <v>154</v>
      </c>
      <c r="G395" s="185"/>
      <c r="H395" s="274" t="s">
        <v>225</v>
      </c>
      <c r="I395" s="43"/>
      <c r="J395" s="3"/>
      <c r="K395" s="174"/>
      <c r="L395" s="226"/>
      <c r="M395" s="30"/>
      <c r="N395" s="178">
        <v>15</v>
      </c>
      <c r="O395" s="32"/>
      <c r="P395" s="96"/>
      <c r="Q395" s="30"/>
      <c r="R395" s="257">
        <f>0.1*N395</f>
        <v>1.5</v>
      </c>
      <c r="S395" s="214">
        <f t="shared" si="65"/>
        <v>7.5</v>
      </c>
      <c r="T395" s="214">
        <f>0.4*N395</f>
        <v>6</v>
      </c>
      <c r="U395" s="103"/>
      <c r="V395" s="104"/>
      <c r="W395" s="30"/>
      <c r="X395" s="102"/>
      <c r="Y395" s="103"/>
      <c r="Z395" s="103"/>
      <c r="AA395" s="103"/>
      <c r="AB395" s="104"/>
    </row>
    <row r="396" spans="3:28" ht="12" customHeight="1">
      <c r="C396" s="28"/>
      <c r="E396" s="107" t="s">
        <v>48</v>
      </c>
      <c r="F396" s="248" t="s">
        <v>155</v>
      </c>
      <c r="G396" s="184"/>
      <c r="H396" s="94"/>
      <c r="I396" s="43">
        <v>0.12</v>
      </c>
      <c r="J396" s="3"/>
      <c r="K396" s="200">
        <f>36*12</f>
        <v>432</v>
      </c>
      <c r="L396" s="230" t="s">
        <v>75</v>
      </c>
      <c r="M396" s="30"/>
      <c r="N396" s="177">
        <f>I396*K396</f>
        <v>51.839999999999996</v>
      </c>
      <c r="O396" s="32"/>
      <c r="P396" s="96"/>
      <c r="Q396" s="30"/>
      <c r="R396" s="257">
        <f t="shared" ref="R396" si="66">0.1*N396</f>
        <v>5.1840000000000002</v>
      </c>
      <c r="S396" s="214">
        <f t="shared" si="65"/>
        <v>25.919999999999998</v>
      </c>
      <c r="T396" s="214">
        <f t="shared" ref="T396" si="67">0.4*N396</f>
        <v>20.736000000000001</v>
      </c>
      <c r="U396" s="103"/>
      <c r="V396" s="104"/>
      <c r="W396" s="30"/>
      <c r="X396" s="102"/>
      <c r="Y396" s="103"/>
      <c r="Z396" s="103"/>
      <c r="AA396" s="103"/>
      <c r="AB396" s="104"/>
    </row>
    <row r="397" spans="3:28" ht="12" customHeight="1">
      <c r="C397" s="28"/>
      <c r="E397" s="245" t="s">
        <v>102</v>
      </c>
      <c r="F397" s="246"/>
      <c r="G397" s="184"/>
      <c r="H397" s="94"/>
      <c r="I397" s="43"/>
      <c r="J397" s="3"/>
      <c r="K397" s="200"/>
      <c r="L397" s="230"/>
      <c r="M397" s="30"/>
      <c r="N397" s="177"/>
      <c r="O397" s="32"/>
      <c r="P397" s="96"/>
      <c r="Q397" s="30"/>
      <c r="R397" s="257"/>
      <c r="S397" s="214"/>
      <c r="T397" s="214"/>
      <c r="U397" s="103"/>
      <c r="V397" s="104"/>
      <c r="W397" s="30"/>
      <c r="X397" s="102"/>
      <c r="Y397" s="103"/>
      <c r="Z397" s="103"/>
      <c r="AA397" s="103"/>
      <c r="AB397" s="104"/>
    </row>
    <row r="398" spans="3:28" ht="14.15" customHeight="1">
      <c r="C398" s="28"/>
      <c r="E398" s="107" t="s">
        <v>152</v>
      </c>
      <c r="F398" s="249" t="s">
        <v>153</v>
      </c>
      <c r="G398" s="184"/>
      <c r="H398" s="94" t="s">
        <v>18</v>
      </c>
      <c r="I398" s="43">
        <v>10</v>
      </c>
      <c r="J398" s="3"/>
      <c r="K398" s="174">
        <v>1</v>
      </c>
      <c r="L398" s="226"/>
      <c r="M398" s="30"/>
      <c r="N398" s="178">
        <f>I398*K398</f>
        <v>10</v>
      </c>
      <c r="O398" s="32"/>
      <c r="P398" s="96"/>
      <c r="Q398" s="30"/>
      <c r="R398" s="257">
        <f t="shared" ref="R398:R400" si="68">0.1*N398</f>
        <v>1</v>
      </c>
      <c r="S398" s="214">
        <f t="shared" ref="S398:S400" si="69">0.5*N398</f>
        <v>5</v>
      </c>
      <c r="T398" s="214">
        <f t="shared" ref="T398:T400" si="70">0.4*N398</f>
        <v>4</v>
      </c>
      <c r="U398" s="103"/>
      <c r="V398" s="104"/>
      <c r="W398" s="30"/>
      <c r="X398" s="102"/>
      <c r="Y398" s="103"/>
      <c r="Z398" s="103"/>
      <c r="AA398" s="103"/>
      <c r="AB398" s="104"/>
    </row>
    <row r="399" spans="3:28" ht="14.15" customHeight="1">
      <c r="C399" s="28"/>
      <c r="E399" s="107" t="s">
        <v>103</v>
      </c>
      <c r="F399" s="249" t="s">
        <v>101</v>
      </c>
      <c r="G399" s="184"/>
      <c r="H399" s="94" t="s">
        <v>18</v>
      </c>
      <c r="I399" s="43">
        <v>0.12</v>
      </c>
      <c r="J399" s="3"/>
      <c r="K399" s="200">
        <f>33*12</f>
        <v>396</v>
      </c>
      <c r="L399" s="230"/>
      <c r="M399" s="30"/>
      <c r="N399" s="177">
        <f>I399*K399</f>
        <v>47.519999999999996</v>
      </c>
      <c r="O399" s="32"/>
      <c r="P399" s="96"/>
      <c r="Q399" s="30"/>
      <c r="R399" s="257">
        <f t="shared" si="68"/>
        <v>4.7519999999999998</v>
      </c>
      <c r="S399" s="214">
        <f t="shared" si="69"/>
        <v>23.759999999999998</v>
      </c>
      <c r="T399" s="214">
        <f t="shared" si="70"/>
        <v>19.007999999999999</v>
      </c>
      <c r="U399" s="103"/>
      <c r="V399" s="104"/>
      <c r="W399" s="30"/>
      <c r="X399" s="102"/>
      <c r="Y399" s="103"/>
      <c r="Z399" s="103"/>
      <c r="AA399" s="103"/>
      <c r="AB399" s="104"/>
    </row>
    <row r="400" spans="3:28" ht="12" customHeight="1">
      <c r="C400" s="28"/>
      <c r="E400" s="189" t="s">
        <v>59</v>
      </c>
      <c r="F400" s="256" t="s">
        <v>139</v>
      </c>
      <c r="G400" s="190"/>
      <c r="H400" s="94"/>
      <c r="I400" s="43"/>
      <c r="J400" s="3"/>
      <c r="K400" s="175"/>
      <c r="L400" s="231"/>
      <c r="M400" s="30"/>
      <c r="N400" s="234">
        <f>SUM(N388:N399)*0.1</f>
        <v>14.733499999999999</v>
      </c>
      <c r="O400" s="32"/>
      <c r="P400" s="109"/>
      <c r="Q400" s="30"/>
      <c r="R400" s="258">
        <f t="shared" si="68"/>
        <v>1.4733499999999999</v>
      </c>
      <c r="S400" s="259">
        <f t="shared" si="69"/>
        <v>7.3667499999999997</v>
      </c>
      <c r="T400" s="259">
        <f t="shared" si="70"/>
        <v>5.8933999999999997</v>
      </c>
      <c r="U400" s="111"/>
      <c r="V400" s="112"/>
      <c r="W400" s="30"/>
      <c r="X400" s="110"/>
      <c r="Y400" s="111"/>
      <c r="Z400" s="111"/>
      <c r="AA400" s="111"/>
      <c r="AB400" s="112"/>
    </row>
    <row r="401" spans="2:28" ht="4" customHeight="1">
      <c r="E401" s="3"/>
      <c r="J401" s="3"/>
    </row>
    <row r="402" spans="2:28" ht="15" customHeight="1">
      <c r="F402" s="113" t="s">
        <v>19</v>
      </c>
      <c r="G402" s="114"/>
      <c r="H402" s="114"/>
      <c r="I402" s="85"/>
      <c r="K402" s="22"/>
      <c r="L402" s="207"/>
      <c r="M402" s="20"/>
      <c r="N402" s="179">
        <f>SUM(N388:N400)</f>
        <v>162.06849999999997</v>
      </c>
      <c r="O402" s="20"/>
      <c r="P402" s="22"/>
      <c r="Q402" s="20"/>
      <c r="R402" s="180">
        <f>SUM(R389:R400)</f>
        <v>14.40935</v>
      </c>
      <c r="S402" s="181">
        <f>SUM(S389:S400)</f>
        <v>83.521749999999997</v>
      </c>
      <c r="T402" s="181">
        <f>SUM(T389:T400)</f>
        <v>57.6374</v>
      </c>
      <c r="U402" s="182">
        <f>SUM(U389:U400)</f>
        <v>0</v>
      </c>
      <c r="V402" s="180">
        <f>SUM(V389:V400)</f>
        <v>0</v>
      </c>
      <c r="W402" s="115"/>
      <c r="X402" s="160">
        <f>SUM(X389:X400)</f>
        <v>0</v>
      </c>
      <c r="Y402" s="161">
        <f>SUM(Y389:Y400)</f>
        <v>0</v>
      </c>
      <c r="Z402" s="161">
        <f>SUM(Z389:Z400)</f>
        <v>0</v>
      </c>
      <c r="AA402" s="161">
        <f>SUM(AA389:AA400)</f>
        <v>0</v>
      </c>
      <c r="AB402" s="161">
        <f>SUM(AB389:AB400)</f>
        <v>0</v>
      </c>
    </row>
    <row r="403" spans="2:28" ht="10" customHeight="1">
      <c r="F403" s="192"/>
      <c r="G403" s="193"/>
      <c r="H403" s="193"/>
      <c r="I403" s="193"/>
      <c r="K403" s="168"/>
      <c r="L403" s="20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94"/>
      <c r="X403" s="195"/>
      <c r="Y403" s="195"/>
      <c r="Z403" s="195"/>
      <c r="AA403" s="195"/>
      <c r="AB403" s="195"/>
    </row>
    <row r="404" spans="2:28" ht="15" customHeight="1">
      <c r="B404" s="164" t="s">
        <v>100</v>
      </c>
      <c r="C404" s="6"/>
      <c r="E404" s="116" t="s">
        <v>20</v>
      </c>
    </row>
    <row r="405" spans="2:28" ht="15" customHeight="1">
      <c r="B405" s="6"/>
      <c r="C405" s="9"/>
      <c r="E405" s="9" t="s">
        <v>126</v>
      </c>
      <c r="F405" s="237"/>
      <c r="K405" s="333" t="s">
        <v>9</v>
      </c>
      <c r="L405" s="334"/>
      <c r="M405" s="334"/>
      <c r="N405" s="335"/>
      <c r="O405" s="24"/>
      <c r="P405" s="68" t="s">
        <v>10</v>
      </c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70"/>
    </row>
    <row r="406" spans="2:28" ht="15" customHeight="1">
      <c r="E406" s="26" t="s">
        <v>21</v>
      </c>
      <c r="F406" s="84" t="s">
        <v>22</v>
      </c>
      <c r="G406" s="85"/>
      <c r="H406" s="73" t="s">
        <v>4</v>
      </c>
      <c r="I406" s="75" t="s">
        <v>23</v>
      </c>
      <c r="K406" s="71"/>
      <c r="M406" s="24"/>
      <c r="N406" s="72" t="s">
        <v>11</v>
      </c>
      <c r="O406" s="24"/>
      <c r="P406" s="73">
        <v>2011</v>
      </c>
      <c r="Q406" s="74"/>
      <c r="R406" s="75">
        <f>P406+1</f>
        <v>2012</v>
      </c>
      <c r="S406" s="75">
        <f>R406+1</f>
        <v>2013</v>
      </c>
      <c r="T406" s="75">
        <f>S406+1</f>
        <v>2014</v>
      </c>
      <c r="U406" s="75">
        <f>T406+1</f>
        <v>2015</v>
      </c>
      <c r="V406" s="75">
        <f>U406+1</f>
        <v>2016</v>
      </c>
      <c r="W406" s="74"/>
      <c r="X406" s="76">
        <f>V406+1</f>
        <v>2017</v>
      </c>
      <c r="Y406" s="76">
        <f>X406+1</f>
        <v>2018</v>
      </c>
      <c r="Z406" s="76">
        <f>Y406+1</f>
        <v>2019</v>
      </c>
      <c r="AA406" s="76">
        <f>Z406+1</f>
        <v>2020</v>
      </c>
      <c r="AB406" s="76">
        <f>AA406+1</f>
        <v>2021</v>
      </c>
    </row>
    <row r="407" spans="2:28" ht="4" customHeight="1"/>
    <row r="408" spans="2:28" ht="12" customHeight="1">
      <c r="C408" s="28"/>
      <c r="E408" s="77" t="s">
        <v>3</v>
      </c>
      <c r="F408" s="197" t="s">
        <v>224</v>
      </c>
      <c r="G408" s="117"/>
      <c r="H408" s="73"/>
      <c r="I408" s="75"/>
      <c r="J408" s="3"/>
      <c r="K408" s="87"/>
      <c r="L408" s="204"/>
      <c r="M408" s="30"/>
      <c r="N408" s="176">
        <f>N384</f>
        <v>102.89999999999999</v>
      </c>
      <c r="O408" s="32"/>
      <c r="P408" s="88"/>
      <c r="Q408" s="30"/>
      <c r="R408" s="89">
        <f>R384</f>
        <v>0</v>
      </c>
      <c r="S408" s="89">
        <f>S384</f>
        <v>102.89999999999999</v>
      </c>
      <c r="T408" s="89">
        <f>T384</f>
        <v>0</v>
      </c>
      <c r="U408" s="89">
        <f>U384</f>
        <v>0</v>
      </c>
      <c r="V408" s="220">
        <f>V384</f>
        <v>0</v>
      </c>
      <c r="X408" s="199"/>
      <c r="Y408" s="118"/>
      <c r="Z408" s="118"/>
      <c r="AA408" s="118"/>
      <c r="AB408" s="119"/>
    </row>
    <row r="409" spans="2:28" ht="12" customHeight="1">
      <c r="C409" s="28"/>
      <c r="E409" s="105" t="s">
        <v>218</v>
      </c>
      <c r="F409" s="41" t="s">
        <v>221</v>
      </c>
      <c r="G409" s="100"/>
      <c r="H409" s="94"/>
      <c r="I409" s="43"/>
      <c r="J409" s="3"/>
      <c r="K409" s="101"/>
      <c r="L409" s="204"/>
      <c r="M409" s="30"/>
      <c r="N409" s="178">
        <f>N388</f>
        <v>6.5</v>
      </c>
      <c r="O409" s="32"/>
      <c r="P409" s="96"/>
      <c r="Q409" s="30"/>
      <c r="R409" s="157">
        <f>SUM(R382:R385)</f>
        <v>0</v>
      </c>
      <c r="S409" s="157">
        <f t="shared" ref="S409:V409" si="71">SUM(S382:S385)</f>
        <v>195.29999999999998</v>
      </c>
      <c r="T409" s="157">
        <f t="shared" si="71"/>
        <v>0</v>
      </c>
      <c r="U409" s="157">
        <f t="shared" si="71"/>
        <v>0</v>
      </c>
      <c r="V409" s="157">
        <f t="shared" si="71"/>
        <v>0</v>
      </c>
      <c r="W409" s="30"/>
      <c r="X409" s="102"/>
      <c r="Y409" s="103"/>
      <c r="Z409" s="103"/>
      <c r="AA409" s="103"/>
      <c r="AB409" s="104"/>
    </row>
    <row r="410" spans="2:28" ht="12" customHeight="1">
      <c r="C410" s="28"/>
      <c r="E410" s="105" t="s">
        <v>29</v>
      </c>
      <c r="F410" s="41" t="s">
        <v>220</v>
      </c>
      <c r="G410" s="100"/>
      <c r="H410" s="94"/>
      <c r="I410" s="43"/>
      <c r="J410" s="3"/>
      <c r="K410" s="101"/>
      <c r="L410" s="204"/>
      <c r="M410" s="30"/>
      <c r="N410" s="178">
        <f>SUM(N389:N392)</f>
        <v>11.475</v>
      </c>
      <c r="O410" s="32"/>
      <c r="P410" s="96"/>
      <c r="Q410" s="30"/>
      <c r="R410" s="157">
        <f>SUM(R389:R392)</f>
        <v>0</v>
      </c>
      <c r="S410" s="157">
        <f t="shared" ref="S410:V410" si="72">SUM(S389:S392)</f>
        <v>11.475</v>
      </c>
      <c r="T410" s="157">
        <f t="shared" si="72"/>
        <v>0</v>
      </c>
      <c r="U410" s="157">
        <f t="shared" si="72"/>
        <v>0</v>
      </c>
      <c r="V410" s="157">
        <f t="shared" si="72"/>
        <v>0</v>
      </c>
      <c r="W410" s="30"/>
      <c r="X410" s="102"/>
      <c r="Y410" s="103"/>
      <c r="Z410" s="103"/>
      <c r="AA410" s="103"/>
      <c r="AB410" s="104"/>
    </row>
    <row r="411" spans="2:28" ht="12" customHeight="1">
      <c r="C411" s="28"/>
      <c r="E411" s="105" t="s">
        <v>93</v>
      </c>
      <c r="F411" s="41" t="s">
        <v>94</v>
      </c>
      <c r="G411" s="100"/>
      <c r="H411" s="94"/>
      <c r="I411" s="43"/>
      <c r="J411" s="3"/>
      <c r="K411" s="101"/>
      <c r="L411" s="204"/>
      <c r="M411" s="30"/>
      <c r="N411" s="178">
        <f>SUM(N394:N395)</f>
        <v>20</v>
      </c>
      <c r="O411" s="32"/>
      <c r="P411" s="96"/>
      <c r="Q411" s="30"/>
      <c r="R411" s="178">
        <f>SUM(R394:R395)</f>
        <v>2</v>
      </c>
      <c r="S411" s="178">
        <f t="shared" ref="S411:V411" si="73">SUM(S394:S395)</f>
        <v>10</v>
      </c>
      <c r="T411" s="178">
        <f t="shared" si="73"/>
        <v>8</v>
      </c>
      <c r="U411" s="178">
        <f t="shared" si="73"/>
        <v>0</v>
      </c>
      <c r="V411" s="178">
        <f t="shared" si="73"/>
        <v>0</v>
      </c>
      <c r="W411" s="30"/>
      <c r="X411" s="102"/>
      <c r="Y411" s="103"/>
      <c r="Z411" s="103"/>
      <c r="AA411" s="103"/>
      <c r="AB411" s="104"/>
    </row>
    <row r="412" spans="2:28" ht="12" customHeight="1">
      <c r="C412" s="28"/>
      <c r="E412" s="105" t="s">
        <v>104</v>
      </c>
      <c r="F412" s="41" t="s">
        <v>106</v>
      </c>
      <c r="G412" s="100"/>
      <c r="H412" s="94"/>
      <c r="I412" s="43"/>
      <c r="J412" s="3"/>
      <c r="K412" s="101"/>
      <c r="L412" s="204"/>
      <c r="M412" s="30"/>
      <c r="N412" s="178">
        <f>SUM(N396:N396)</f>
        <v>51.839999999999996</v>
      </c>
      <c r="O412" s="32"/>
      <c r="P412" s="96"/>
      <c r="Q412" s="30"/>
      <c r="R412" s="178">
        <f t="shared" ref="R412:V414" si="74">SUM(R398:R398)</f>
        <v>1</v>
      </c>
      <c r="S412" s="178">
        <f t="shared" si="74"/>
        <v>5</v>
      </c>
      <c r="T412" s="178">
        <f t="shared" si="74"/>
        <v>4</v>
      </c>
      <c r="U412" s="178">
        <f t="shared" si="74"/>
        <v>0</v>
      </c>
      <c r="V412" s="178">
        <f t="shared" si="74"/>
        <v>0</v>
      </c>
      <c r="W412" s="30"/>
      <c r="X412" s="102"/>
      <c r="Y412" s="103"/>
      <c r="Z412" s="103"/>
      <c r="AA412" s="103"/>
      <c r="AB412" s="104"/>
    </row>
    <row r="413" spans="2:28" ht="12" customHeight="1">
      <c r="C413" s="28"/>
      <c r="E413" s="105" t="s">
        <v>105</v>
      </c>
      <c r="F413" s="41" t="s">
        <v>43</v>
      </c>
      <c r="G413" s="100"/>
      <c r="H413" s="94"/>
      <c r="I413" s="43"/>
      <c r="J413" s="3"/>
      <c r="K413" s="101"/>
      <c r="L413" s="204"/>
      <c r="M413" s="30"/>
      <c r="N413" s="178">
        <f>SUM(N398:N398)</f>
        <v>10</v>
      </c>
      <c r="O413" s="32"/>
      <c r="P413" s="96"/>
      <c r="Q413" s="30"/>
      <c r="R413" s="178">
        <f t="shared" si="74"/>
        <v>4.7519999999999998</v>
      </c>
      <c r="S413" s="178">
        <f t="shared" si="74"/>
        <v>23.759999999999998</v>
      </c>
      <c r="T413" s="178">
        <f t="shared" si="74"/>
        <v>19.007999999999999</v>
      </c>
      <c r="U413" s="178">
        <f t="shared" si="74"/>
        <v>0</v>
      </c>
      <c r="V413" s="178">
        <f t="shared" si="74"/>
        <v>0</v>
      </c>
      <c r="W413" s="30"/>
      <c r="X413" s="102"/>
      <c r="Y413" s="103"/>
      <c r="Z413" s="103"/>
      <c r="AA413" s="103"/>
      <c r="AB413" s="104"/>
    </row>
    <row r="414" spans="2:28" ht="12" customHeight="1">
      <c r="C414" s="28"/>
      <c r="E414" s="105" t="s">
        <v>105</v>
      </c>
      <c r="F414" s="41" t="s">
        <v>101</v>
      </c>
      <c r="G414" s="100"/>
      <c r="H414" s="94"/>
      <c r="I414" s="43"/>
      <c r="J414" s="3"/>
      <c r="K414" s="101"/>
      <c r="L414" s="204"/>
      <c r="M414" s="30"/>
      <c r="N414" s="178">
        <f>SUM(N399:N399)</f>
        <v>47.519999999999996</v>
      </c>
      <c r="O414" s="32"/>
      <c r="P414" s="96"/>
      <c r="Q414" s="30"/>
      <c r="R414" s="178">
        <f t="shared" si="74"/>
        <v>1.4733499999999999</v>
      </c>
      <c r="S414" s="178">
        <f t="shared" si="74"/>
        <v>7.3667499999999997</v>
      </c>
      <c r="T414" s="178">
        <f t="shared" si="74"/>
        <v>5.8933999999999997</v>
      </c>
      <c r="U414" s="178">
        <f t="shared" si="74"/>
        <v>0</v>
      </c>
      <c r="V414" s="178">
        <f t="shared" si="74"/>
        <v>0</v>
      </c>
      <c r="W414" s="30"/>
      <c r="X414" s="102"/>
      <c r="Y414" s="103"/>
      <c r="Z414" s="103"/>
      <c r="AA414" s="103"/>
      <c r="AB414" s="104"/>
    </row>
    <row r="415" spans="2:28" ht="12" customHeight="1">
      <c r="C415" s="28"/>
      <c r="E415" s="108" t="s">
        <v>59</v>
      </c>
      <c r="F415" s="256" t="s">
        <v>139</v>
      </c>
      <c r="G415" s="120"/>
      <c r="H415" s="94"/>
      <c r="I415" s="43"/>
      <c r="J415" s="3"/>
      <c r="K415" s="121"/>
      <c r="L415" s="204"/>
      <c r="M415" s="30"/>
      <c r="N415" s="234">
        <f>N400</f>
        <v>14.733499999999999</v>
      </c>
      <c r="O415" s="32"/>
      <c r="P415" s="109"/>
      <c r="Q415" s="30"/>
      <c r="R415" s="163">
        <f t="shared" ref="R415:V415" si="75">R400</f>
        <v>1.4733499999999999</v>
      </c>
      <c r="S415" s="163">
        <f t="shared" si="75"/>
        <v>7.3667499999999997</v>
      </c>
      <c r="T415" s="163">
        <f t="shared" si="75"/>
        <v>5.8933999999999997</v>
      </c>
      <c r="U415" s="163">
        <f t="shared" si="75"/>
        <v>0</v>
      </c>
      <c r="V415" s="163">
        <f t="shared" si="75"/>
        <v>0</v>
      </c>
      <c r="W415" s="30"/>
      <c r="X415" s="218"/>
      <c r="Y415" s="111"/>
      <c r="Z415" s="111"/>
      <c r="AA415" s="111"/>
      <c r="AB415" s="112"/>
    </row>
    <row r="416" spans="2:28" ht="4" customHeight="1">
      <c r="E416" s="3"/>
      <c r="J416" s="3"/>
    </row>
    <row r="417" spans="2:28" ht="15" customHeight="1">
      <c r="F417" s="122" t="s">
        <v>24</v>
      </c>
      <c r="G417" s="114"/>
      <c r="H417" s="114"/>
      <c r="I417" s="85"/>
      <c r="K417" s="22"/>
      <c r="L417" s="207"/>
      <c r="M417" s="20"/>
      <c r="N417" s="162">
        <f>SUM(N408:N415)</f>
        <v>264.96850000000001</v>
      </c>
      <c r="O417" s="20"/>
      <c r="P417" s="22"/>
      <c r="Q417" s="20"/>
      <c r="R417" s="198">
        <f>SUM(R408:R415)</f>
        <v>10.698699999999999</v>
      </c>
      <c r="S417" s="198">
        <f>SUM(S408:S415)</f>
        <v>363.16850000000005</v>
      </c>
      <c r="T417" s="198">
        <f>SUM(T408:T415)</f>
        <v>42.794799999999995</v>
      </c>
      <c r="U417" s="198">
        <f>SUM(U408:U415)</f>
        <v>0</v>
      </c>
      <c r="V417" s="198">
        <f>SUM(V408:V415)</f>
        <v>0</v>
      </c>
      <c r="W417" s="115"/>
      <c r="X417" s="160">
        <f>SUM(X408:X415)</f>
        <v>0</v>
      </c>
      <c r="Y417" s="160">
        <f>SUM(Y408:Y415)</f>
        <v>0</v>
      </c>
      <c r="Z417" s="160">
        <f>SUM(Z408:Z415)</f>
        <v>0</v>
      </c>
      <c r="AA417" s="160">
        <f>SUM(AA408:AA415)</f>
        <v>0</v>
      </c>
      <c r="AB417" s="160">
        <f>SUM(AB408:AB415)</f>
        <v>0</v>
      </c>
    </row>
    <row r="418" spans="2:28" ht="10" customHeight="1"/>
    <row r="419" spans="2:28" ht="12" customHeight="1">
      <c r="N419" s="67"/>
    </row>
    <row r="420" spans="2:28" ht="12" customHeight="1"/>
    <row r="421" spans="2:28" ht="12" customHeight="1"/>
    <row r="422" spans="2:28" ht="12" customHeight="1"/>
    <row r="423" spans="2:28" ht="12" customHeight="1"/>
    <row r="424" spans="2:28" ht="12" customHeight="1"/>
    <row r="425" spans="2:28" ht="10" customHeight="1" thickBot="1"/>
    <row r="426" spans="2:28" ht="18" customHeight="1" thickBot="1">
      <c r="B426" s="315" t="s">
        <v>227</v>
      </c>
      <c r="C426" s="316"/>
      <c r="D426" s="316"/>
      <c r="E426" s="316"/>
      <c r="F426" s="316"/>
      <c r="G426" s="316"/>
      <c r="H426" s="316"/>
      <c r="I426" s="316"/>
      <c r="J426" s="316"/>
      <c r="K426" s="316"/>
      <c r="L426" s="316"/>
      <c r="M426" s="316"/>
      <c r="N426" s="316"/>
      <c r="O426" s="316"/>
      <c r="P426" s="316"/>
      <c r="Q426" s="316"/>
      <c r="R426" s="316"/>
      <c r="S426" s="316"/>
      <c r="T426" s="316"/>
      <c r="U426" s="316"/>
      <c r="V426" s="316"/>
      <c r="W426" s="316"/>
      <c r="X426" s="316"/>
      <c r="Y426" s="316"/>
      <c r="Z426" s="316"/>
      <c r="AA426" s="316"/>
      <c r="AB426" s="317"/>
    </row>
    <row r="427" spans="2:28" ht="10" customHeight="1" thickBot="1"/>
    <row r="428" spans="2:28" ht="15" customHeight="1" thickBot="1">
      <c r="B428" s="164" t="s">
        <v>107</v>
      </c>
      <c r="C428" s="6"/>
      <c r="D428" s="132"/>
      <c r="E428" s="275" t="s">
        <v>129</v>
      </c>
      <c r="F428" s="7"/>
      <c r="G428" s="8"/>
    </row>
    <row r="429" spans="2:28" ht="15" customHeight="1">
      <c r="B429" s="6"/>
      <c r="C429" s="9"/>
      <c r="D429" s="130"/>
      <c r="E429" s="9" t="s">
        <v>58</v>
      </c>
      <c r="F429" s="251" t="s">
        <v>128</v>
      </c>
      <c r="G429" s="11"/>
    </row>
    <row r="430" spans="2:28" ht="12" customHeight="1">
      <c r="B430" s="6"/>
      <c r="C430" s="6"/>
      <c r="D430" s="132"/>
      <c r="E430" s="12"/>
      <c r="F430" s="26" t="s">
        <v>159</v>
      </c>
      <c r="G430" s="11"/>
    </row>
    <row r="431" spans="2:28" ht="12" customHeight="1">
      <c r="B431" s="6"/>
      <c r="C431" s="6"/>
      <c r="D431" s="132"/>
      <c r="E431" s="12"/>
      <c r="F431" s="273" t="s">
        <v>7</v>
      </c>
      <c r="G431" s="14">
        <v>2014</v>
      </c>
      <c r="P431" s="137">
        <v>2011</v>
      </c>
      <c r="Q431" s="138"/>
      <c r="R431" s="137">
        <f>P431+1</f>
        <v>2012</v>
      </c>
      <c r="S431" s="137">
        <f>R431+1</f>
        <v>2013</v>
      </c>
      <c r="T431" s="137">
        <f>S431+1</f>
        <v>2014</v>
      </c>
      <c r="U431" s="137">
        <f>T431+1</f>
        <v>2015</v>
      </c>
      <c r="V431" s="137">
        <f>U431+1</f>
        <v>2016</v>
      </c>
      <c r="W431" s="138"/>
      <c r="X431" s="139">
        <f>V431+1</f>
        <v>2017</v>
      </c>
      <c r="Y431" s="139">
        <f>X431+1</f>
        <v>2018</v>
      </c>
      <c r="Z431" s="139">
        <f>Y431+1</f>
        <v>2019</v>
      </c>
      <c r="AA431" s="139">
        <f>Z431+1</f>
        <v>2020</v>
      </c>
      <c r="AB431" s="139">
        <f>AA431+1</f>
        <v>2021</v>
      </c>
    </row>
    <row r="432" spans="2:28" ht="12" customHeight="1">
      <c r="F432" s="1"/>
      <c r="G432" s="209" t="s">
        <v>68</v>
      </c>
      <c r="H432" s="18"/>
      <c r="I432" s="18"/>
      <c r="K432" s="19"/>
      <c r="L432" s="203"/>
      <c r="M432" s="20"/>
      <c r="N432" s="21" t="s">
        <v>0</v>
      </c>
      <c r="O432" s="20"/>
      <c r="P432" s="22"/>
      <c r="Q432" s="20"/>
      <c r="R432" s="140"/>
      <c r="S432" s="141"/>
      <c r="T432" s="142">
        <v>23.7</v>
      </c>
      <c r="U432" s="140">
        <v>33.799999999999997</v>
      </c>
      <c r="V432" s="143">
        <v>30.5</v>
      </c>
      <c r="W432" s="23"/>
      <c r="X432" s="144">
        <v>28.3</v>
      </c>
      <c r="Y432" s="144">
        <v>25.700000000000003</v>
      </c>
      <c r="Z432" s="144">
        <v>19.100000000000001</v>
      </c>
      <c r="AA432" s="144">
        <v>15.1</v>
      </c>
      <c r="AB432" s="144">
        <v>15.1</v>
      </c>
    </row>
    <row r="433" spans="2:29" ht="12" customHeight="1">
      <c r="F433" s="1"/>
      <c r="G433" s="210" t="s">
        <v>69</v>
      </c>
      <c r="H433" s="18"/>
      <c r="I433" s="18"/>
      <c r="K433" s="19"/>
      <c r="L433" s="203"/>
      <c r="M433" s="20"/>
      <c r="N433" s="21" t="s">
        <v>1</v>
      </c>
      <c r="O433" s="20"/>
      <c r="P433" s="22"/>
      <c r="Q433" s="20"/>
      <c r="R433" s="140"/>
      <c r="S433" s="141"/>
      <c r="T433" s="142">
        <v>11.600000000000001</v>
      </c>
      <c r="U433" s="140">
        <v>16.600000000000001</v>
      </c>
      <c r="V433" s="143">
        <v>15.899999999999999</v>
      </c>
      <c r="W433" s="23"/>
      <c r="X433" s="144">
        <v>15.1</v>
      </c>
      <c r="Y433" s="144">
        <v>14.100000000000001</v>
      </c>
      <c r="Z433" s="144">
        <v>10.600000000000001</v>
      </c>
      <c r="AA433" s="144">
        <v>7.9</v>
      </c>
      <c r="AB433" s="144">
        <v>7.9</v>
      </c>
    </row>
    <row r="434" spans="2:29" ht="10" customHeight="1">
      <c r="F434" s="1"/>
      <c r="G434" s="165"/>
      <c r="H434" s="166"/>
      <c r="I434" s="166"/>
      <c r="K434" s="167"/>
      <c r="L434" s="204"/>
      <c r="M434" s="168"/>
      <c r="N434" s="169"/>
      <c r="O434" s="168"/>
      <c r="P434" s="168"/>
      <c r="Q434" s="168"/>
      <c r="R434" s="170"/>
      <c r="S434" s="170"/>
      <c r="T434" s="170"/>
      <c r="U434" s="170"/>
      <c r="V434" s="170"/>
      <c r="W434" s="171"/>
      <c r="X434" s="172"/>
      <c r="Y434" s="172"/>
      <c r="Z434" s="172"/>
      <c r="AA434" s="172"/>
      <c r="AB434" s="172"/>
    </row>
    <row r="435" spans="2:29" ht="12" customHeight="1">
      <c r="E435" s="26" t="s">
        <v>8</v>
      </c>
      <c r="F435" s="27" t="s">
        <v>27</v>
      </c>
      <c r="O435" s="24"/>
      <c r="P435" s="134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6"/>
    </row>
    <row r="436" spans="2:29" ht="12" customHeight="1">
      <c r="C436" s="25"/>
      <c r="F436" s="1"/>
      <c r="G436" s="5"/>
      <c r="O436" s="24"/>
      <c r="P436" s="15">
        <v>2011</v>
      </c>
      <c r="Q436" s="16"/>
      <c r="R436" s="16">
        <f>P436+1</f>
        <v>2012</v>
      </c>
      <c r="S436" s="16">
        <f>R436+1</f>
        <v>2013</v>
      </c>
      <c r="T436" s="16">
        <f>S436+1</f>
        <v>2014</v>
      </c>
      <c r="U436" s="16">
        <f>T436+1</f>
        <v>2015</v>
      </c>
      <c r="V436" s="16">
        <f>U436+1</f>
        <v>2016</v>
      </c>
      <c r="W436" s="16"/>
      <c r="X436" s="17">
        <f>V436+1</f>
        <v>2017</v>
      </c>
      <c r="Y436" s="17">
        <f>X436+1</f>
        <v>2018</v>
      </c>
      <c r="Z436" s="17">
        <f>Y436+1</f>
        <v>2019</v>
      </c>
      <c r="AA436" s="17">
        <f>Z436+1</f>
        <v>2020</v>
      </c>
      <c r="AB436" s="17">
        <f>AA436+1</f>
        <v>2021</v>
      </c>
      <c r="AC436" s="24"/>
    </row>
    <row r="437" spans="2:29" ht="4" customHeight="1"/>
    <row r="438" spans="2:29" ht="12" customHeight="1">
      <c r="D438" s="242">
        <v>1</v>
      </c>
      <c r="E438" s="125" t="s">
        <v>209</v>
      </c>
      <c r="F438" s="125" t="s">
        <v>210</v>
      </c>
      <c r="G438" s="145"/>
      <c r="H438" s="150"/>
      <c r="I438" s="151"/>
      <c r="J438" s="3"/>
      <c r="K438" s="295">
        <v>4</v>
      </c>
      <c r="L438" s="201"/>
      <c r="M438" s="30"/>
      <c r="N438" s="87"/>
      <c r="O438" s="32"/>
      <c r="P438" s="33"/>
      <c r="Q438" s="30"/>
      <c r="R438" s="34"/>
      <c r="S438" s="35">
        <f>K438</f>
        <v>4</v>
      </c>
      <c r="T438" s="35"/>
      <c r="U438" s="35"/>
      <c r="V438" s="36"/>
      <c r="W438" s="30"/>
      <c r="X438" s="37"/>
      <c r="Y438" s="38"/>
      <c r="Z438" s="38"/>
      <c r="AA438" s="38"/>
      <c r="AB438" s="39"/>
    </row>
    <row r="439" spans="2:29" ht="12" customHeight="1">
      <c r="D439" s="243">
        <v>2</v>
      </c>
      <c r="E439" s="126" t="s">
        <v>222</v>
      </c>
      <c r="F439" s="126" t="s">
        <v>223</v>
      </c>
      <c r="G439" s="146"/>
      <c r="H439" s="152"/>
      <c r="I439" s="153"/>
      <c r="J439" s="3"/>
      <c r="K439" s="296">
        <v>2</v>
      </c>
      <c r="L439" s="201"/>
      <c r="M439" s="30"/>
      <c r="N439" s="101"/>
      <c r="O439" s="32"/>
      <c r="P439" s="45"/>
      <c r="Q439" s="30"/>
      <c r="R439" s="46"/>
      <c r="S439" s="47">
        <f>K439</f>
        <v>2</v>
      </c>
      <c r="T439" s="47"/>
      <c r="U439" s="47"/>
      <c r="V439" s="48"/>
      <c r="W439" s="30"/>
      <c r="X439" s="49"/>
      <c r="Y439" s="50"/>
      <c r="Z439" s="50"/>
      <c r="AA439" s="50"/>
      <c r="AB439" s="51"/>
    </row>
    <row r="440" spans="2:29" ht="12" customHeight="1">
      <c r="D440" s="243">
        <v>3</v>
      </c>
      <c r="E440" s="126" t="s">
        <v>211</v>
      </c>
      <c r="F440" s="126" t="s">
        <v>26</v>
      </c>
      <c r="G440" s="146"/>
      <c r="H440" s="152"/>
      <c r="I440" s="153"/>
      <c r="J440" s="3"/>
      <c r="K440" s="44">
        <v>2</v>
      </c>
      <c r="L440" s="201"/>
      <c r="M440" s="30"/>
      <c r="N440" s="53"/>
      <c r="O440" s="32"/>
      <c r="P440" s="45"/>
      <c r="Q440" s="30"/>
      <c r="R440" s="46"/>
      <c r="S440" s="47">
        <f t="shared" ref="S440" si="76">K440</f>
        <v>2</v>
      </c>
      <c r="T440" s="47"/>
      <c r="U440" s="47"/>
      <c r="V440" s="48"/>
      <c r="W440" s="30"/>
      <c r="X440" s="49"/>
      <c r="Y440" s="50"/>
      <c r="Z440" s="50"/>
      <c r="AA440" s="50"/>
      <c r="AB440" s="51"/>
    </row>
    <row r="441" spans="2:29" ht="12" customHeight="1">
      <c r="D441" s="244">
        <v>4</v>
      </c>
      <c r="E441" s="127" t="s">
        <v>212</v>
      </c>
      <c r="F441" s="127" t="s">
        <v>26</v>
      </c>
      <c r="G441" s="147"/>
      <c r="H441" s="154"/>
      <c r="I441" s="155"/>
      <c r="J441" s="3"/>
      <c r="K441" s="297">
        <v>4</v>
      </c>
      <c r="L441" s="201"/>
      <c r="M441" s="30"/>
      <c r="N441" s="53"/>
      <c r="O441" s="32"/>
      <c r="P441" s="45"/>
      <c r="Q441" s="30"/>
      <c r="R441" s="46"/>
      <c r="S441" s="47">
        <f>K441</f>
        <v>4</v>
      </c>
      <c r="T441" s="47"/>
      <c r="U441" s="47"/>
      <c r="V441" s="48"/>
      <c r="W441" s="30"/>
      <c r="X441" s="49"/>
      <c r="Y441" s="50"/>
      <c r="Z441" s="50"/>
      <c r="AA441" s="50"/>
      <c r="AB441" s="51"/>
    </row>
    <row r="442" spans="2:29" s="67" customFormat="1" ht="15" customHeight="1">
      <c r="B442" s="54"/>
      <c r="C442" s="55"/>
      <c r="D442" s="133"/>
      <c r="E442" s="124"/>
      <c r="F442" s="128" t="s">
        <v>2</v>
      </c>
      <c r="G442" s="129"/>
      <c r="H442" s="148"/>
      <c r="I442" s="149"/>
      <c r="J442" s="61"/>
      <c r="K442" s="29">
        <f>SUM(K438:K441)</f>
        <v>12</v>
      </c>
      <c r="L442" s="205"/>
      <c r="M442" s="62"/>
      <c r="N442" s="31"/>
      <c r="O442" s="61"/>
      <c r="P442" s="63"/>
      <c r="Q442" s="62"/>
      <c r="R442" s="64">
        <f>SUM(R438:R441)</f>
        <v>0</v>
      </c>
      <c r="S442" s="64">
        <f>SUM(S438:S441)</f>
        <v>12</v>
      </c>
      <c r="T442" s="64">
        <f>SUM(T438:T441)</f>
        <v>0</v>
      </c>
      <c r="U442" s="64">
        <f>SUM(U438:U441)</f>
        <v>0</v>
      </c>
      <c r="V442" s="64">
        <f>SUM(V438:V441)</f>
        <v>0</v>
      </c>
      <c r="W442" s="62"/>
      <c r="X442" s="65"/>
      <c r="Y442" s="59"/>
      <c r="Z442" s="59"/>
      <c r="AA442" s="59"/>
      <c r="AB442" s="66"/>
    </row>
    <row r="443" spans="2:29" ht="9" customHeight="1"/>
    <row r="444" spans="2:29" ht="14.15" customHeight="1">
      <c r="L444" s="1"/>
      <c r="O444" s="24"/>
      <c r="P444" s="84" t="s">
        <v>10</v>
      </c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  <c r="AB444" s="222"/>
    </row>
    <row r="445" spans="2:29" ht="15" customHeight="1">
      <c r="E445" s="26" t="s">
        <v>28</v>
      </c>
      <c r="K445" s="137" t="s">
        <v>67</v>
      </c>
      <c r="L445" s="211" t="s">
        <v>66</v>
      </c>
      <c r="M445" s="24"/>
      <c r="N445" s="212" t="s">
        <v>11</v>
      </c>
      <c r="O445" s="24"/>
      <c r="P445" s="137">
        <v>2011</v>
      </c>
      <c r="Q445" s="5"/>
      <c r="R445" s="137">
        <f>P445+1</f>
        <v>2012</v>
      </c>
      <c r="S445" s="137">
        <f>R445+1</f>
        <v>2013</v>
      </c>
      <c r="T445" s="137">
        <f>S445+1</f>
        <v>2014</v>
      </c>
      <c r="U445" s="137">
        <f>T445+1</f>
        <v>2015</v>
      </c>
      <c r="V445" s="137">
        <f>U445+1</f>
        <v>2016</v>
      </c>
      <c r="W445" s="5"/>
      <c r="X445" s="139">
        <f>V445+1</f>
        <v>2017</v>
      </c>
      <c r="Y445" s="139">
        <f>X445+1</f>
        <v>2018</v>
      </c>
      <c r="Z445" s="139">
        <f>Y445+1</f>
        <v>2019</v>
      </c>
      <c r="AA445" s="139">
        <f>Z445+1</f>
        <v>2020</v>
      </c>
      <c r="AB445" s="139">
        <f>AA445+1</f>
        <v>2021</v>
      </c>
    </row>
    <row r="446" spans="2:29" ht="4.5" customHeight="1"/>
    <row r="447" spans="2:29" ht="12" customHeight="1">
      <c r="D447" s="242">
        <v>1</v>
      </c>
      <c r="E447" s="125" t="s">
        <v>209</v>
      </c>
      <c r="F447" s="125" t="s">
        <v>213</v>
      </c>
      <c r="G447" s="299">
        <f>(3*1+2.5)/4</f>
        <v>1.375</v>
      </c>
      <c r="H447" s="78" t="s">
        <v>12</v>
      </c>
      <c r="I447" s="79" t="s">
        <v>13</v>
      </c>
      <c r="J447" s="3"/>
      <c r="K447" s="80">
        <f>K438</f>
        <v>4</v>
      </c>
      <c r="L447" s="225" t="s">
        <v>13</v>
      </c>
      <c r="M447" s="30"/>
      <c r="N447" s="156">
        <f>G447*K447</f>
        <v>5.5</v>
      </c>
      <c r="O447" s="32"/>
      <c r="P447" s="33"/>
      <c r="Q447" s="30"/>
      <c r="R447" s="81">
        <f t="shared" ref="R447:V450" si="77">$G447*R438</f>
        <v>0</v>
      </c>
      <c r="S447" s="81">
        <f t="shared" si="77"/>
        <v>5.5</v>
      </c>
      <c r="T447" s="81">
        <f t="shared" si="77"/>
        <v>0</v>
      </c>
      <c r="U447" s="81">
        <f t="shared" si="77"/>
        <v>0</v>
      </c>
      <c r="V447" s="81">
        <f t="shared" si="77"/>
        <v>0</v>
      </c>
      <c r="W447" s="30"/>
      <c r="X447" s="37"/>
      <c r="Y447" s="38"/>
      <c r="Z447" s="38"/>
      <c r="AA447" s="38"/>
      <c r="AB447" s="39"/>
    </row>
    <row r="448" spans="2:29" ht="12" customHeight="1">
      <c r="D448" s="243">
        <v>2</v>
      </c>
      <c r="E448" s="126" t="s">
        <v>222</v>
      </c>
      <c r="F448" s="126" t="s">
        <v>214</v>
      </c>
      <c r="G448" s="300">
        <f>(2.3+2.7)/2</f>
        <v>2.5</v>
      </c>
      <c r="H448" s="42" t="s">
        <v>12</v>
      </c>
      <c r="I448" s="43" t="s">
        <v>13</v>
      </c>
      <c r="J448" s="3"/>
      <c r="K448" s="52">
        <f>K439</f>
        <v>2</v>
      </c>
      <c r="L448" s="226" t="s">
        <v>13</v>
      </c>
      <c r="M448" s="30"/>
      <c r="N448" s="157">
        <f>G448*K448</f>
        <v>5</v>
      </c>
      <c r="O448" s="32"/>
      <c r="P448" s="45"/>
      <c r="Q448" s="30"/>
      <c r="R448" s="81">
        <f t="shared" si="77"/>
        <v>0</v>
      </c>
      <c r="S448" s="81">
        <f t="shared" si="77"/>
        <v>5</v>
      </c>
      <c r="T448" s="81">
        <f t="shared" si="77"/>
        <v>0</v>
      </c>
      <c r="U448" s="81">
        <f t="shared" si="77"/>
        <v>0</v>
      </c>
      <c r="V448" s="81">
        <f t="shared" si="77"/>
        <v>0</v>
      </c>
      <c r="W448" s="30"/>
      <c r="X448" s="49"/>
      <c r="Y448" s="50"/>
      <c r="Z448" s="50"/>
      <c r="AA448" s="50"/>
      <c r="AB448" s="51"/>
    </row>
    <row r="449" spans="2:28" ht="12" customHeight="1">
      <c r="D449" s="243">
        <v>3</v>
      </c>
      <c r="E449" s="126" t="s">
        <v>211</v>
      </c>
      <c r="F449" s="126" t="s">
        <v>26</v>
      </c>
      <c r="G449" s="300">
        <f>(17.5+22)/2</f>
        <v>19.75</v>
      </c>
      <c r="H449" s="42" t="s">
        <v>12</v>
      </c>
      <c r="I449" s="43" t="s">
        <v>13</v>
      </c>
      <c r="J449" s="3"/>
      <c r="K449" s="52">
        <f>K440</f>
        <v>2</v>
      </c>
      <c r="L449" s="226" t="s">
        <v>13</v>
      </c>
      <c r="M449" s="30"/>
      <c r="N449" s="157">
        <f>G449*K449</f>
        <v>39.5</v>
      </c>
      <c r="O449" s="32"/>
      <c r="P449" s="45"/>
      <c r="Q449" s="30"/>
      <c r="R449" s="81">
        <f t="shared" si="77"/>
        <v>0</v>
      </c>
      <c r="S449" s="81">
        <f t="shared" si="77"/>
        <v>39.5</v>
      </c>
      <c r="T449" s="81">
        <f t="shared" si="77"/>
        <v>0</v>
      </c>
      <c r="U449" s="81">
        <f t="shared" si="77"/>
        <v>0</v>
      </c>
      <c r="V449" s="81">
        <f t="shared" si="77"/>
        <v>0</v>
      </c>
      <c r="W449" s="30"/>
      <c r="X449" s="49"/>
      <c r="Y449" s="50"/>
      <c r="Z449" s="50"/>
      <c r="AA449" s="50"/>
      <c r="AB449" s="51"/>
    </row>
    <row r="450" spans="2:28" ht="12" customHeight="1">
      <c r="D450" s="244">
        <v>4</v>
      </c>
      <c r="E450" s="127" t="s">
        <v>212</v>
      </c>
      <c r="F450" s="127" t="s">
        <v>26</v>
      </c>
      <c r="G450" s="300">
        <f>(3*13.7+11.8)/4</f>
        <v>13.224999999999998</v>
      </c>
      <c r="H450" s="42" t="s">
        <v>12</v>
      </c>
      <c r="I450" s="43" t="s">
        <v>13</v>
      </c>
      <c r="J450" s="3"/>
      <c r="K450" s="52">
        <f>K441</f>
        <v>4</v>
      </c>
      <c r="L450" s="227" t="s">
        <v>13</v>
      </c>
      <c r="M450" s="30"/>
      <c r="N450" s="157">
        <f>G450*K450</f>
        <v>52.899999999999991</v>
      </c>
      <c r="O450" s="32"/>
      <c r="P450" s="45"/>
      <c r="Q450" s="30"/>
      <c r="R450" s="81">
        <f t="shared" si="77"/>
        <v>0</v>
      </c>
      <c r="S450" s="81">
        <f t="shared" si="77"/>
        <v>52.899999999999991</v>
      </c>
      <c r="T450" s="81">
        <f t="shared" si="77"/>
        <v>0</v>
      </c>
      <c r="U450" s="81">
        <f t="shared" si="77"/>
        <v>0</v>
      </c>
      <c r="V450" s="81">
        <f t="shared" si="77"/>
        <v>0</v>
      </c>
      <c r="W450" s="30"/>
      <c r="X450" s="49"/>
      <c r="Y450" s="50"/>
      <c r="Z450" s="50"/>
      <c r="AA450" s="50"/>
      <c r="AB450" s="51"/>
    </row>
    <row r="451" spans="2:28" s="67" customFormat="1" ht="15" customHeight="1">
      <c r="B451" s="54"/>
      <c r="C451" s="55"/>
      <c r="D451" s="133"/>
      <c r="E451" s="56"/>
      <c r="F451" s="57" t="s">
        <v>14</v>
      </c>
      <c r="G451" s="58"/>
      <c r="H451" s="59"/>
      <c r="I451" s="60"/>
      <c r="J451" s="61"/>
      <c r="K451" s="82"/>
      <c r="L451" s="206"/>
      <c r="M451" s="62"/>
      <c r="N451" s="180">
        <f>SUM(N447:N450)</f>
        <v>102.89999999999999</v>
      </c>
      <c r="O451" s="61"/>
      <c r="P451" s="63"/>
      <c r="Q451" s="62"/>
      <c r="R451" s="83">
        <f>SUM(R447:R450)</f>
        <v>0</v>
      </c>
      <c r="S451" s="83">
        <f>SUM(S447:S450)</f>
        <v>102.89999999999999</v>
      </c>
      <c r="T451" s="83">
        <f>SUM(T447:T450)</f>
        <v>0</v>
      </c>
      <c r="U451" s="83">
        <f>SUM(U447:U450)</f>
        <v>0</v>
      </c>
      <c r="V451" s="83">
        <f>SUM(V447:V450)</f>
        <v>0</v>
      </c>
      <c r="W451" s="62"/>
      <c r="X451" s="65"/>
      <c r="Y451" s="59"/>
      <c r="Z451" s="59"/>
      <c r="AA451" s="59"/>
      <c r="AB451" s="66"/>
    </row>
    <row r="452" spans="2:28" ht="5.15" customHeight="1"/>
    <row r="453" spans="2:28" ht="20.149999999999999" customHeight="1">
      <c r="E453" s="26" t="s">
        <v>15</v>
      </c>
      <c r="F453" s="84" t="s">
        <v>16</v>
      </c>
      <c r="G453" s="85"/>
      <c r="H453" s="215" t="s">
        <v>4</v>
      </c>
      <c r="I453" s="232" t="s">
        <v>76</v>
      </c>
      <c r="K453" s="137" t="s">
        <v>67</v>
      </c>
      <c r="L453" s="211" t="s">
        <v>66</v>
      </c>
      <c r="N453" s="212" t="s">
        <v>11</v>
      </c>
      <c r="P453" s="73">
        <v>2011</v>
      </c>
      <c r="Q453" s="74"/>
      <c r="R453" s="75">
        <f>P453+1</f>
        <v>2012</v>
      </c>
      <c r="S453" s="75">
        <f>R453+1</f>
        <v>2013</v>
      </c>
      <c r="T453" s="75">
        <f>S453+1</f>
        <v>2014</v>
      </c>
      <c r="U453" s="75">
        <f>T453+1</f>
        <v>2015</v>
      </c>
      <c r="V453" s="75">
        <f>U453+1</f>
        <v>2016</v>
      </c>
      <c r="W453" s="74"/>
      <c r="X453" s="76">
        <f>V453+1</f>
        <v>2017</v>
      </c>
      <c r="Y453" s="76">
        <f>X453+1</f>
        <v>2018</v>
      </c>
      <c r="Z453" s="76">
        <f>Y453+1</f>
        <v>2019</v>
      </c>
      <c r="AA453" s="76">
        <f>Z453+1</f>
        <v>2020</v>
      </c>
      <c r="AB453" s="76">
        <f>AA453+1</f>
        <v>2021</v>
      </c>
    </row>
    <row r="454" spans="2:28" ht="4" customHeight="1"/>
    <row r="455" spans="2:28" ht="12" customHeight="1">
      <c r="C455" s="28"/>
      <c r="E455" s="77" t="s">
        <v>218</v>
      </c>
      <c r="F455" s="158" t="s">
        <v>219</v>
      </c>
      <c r="G455" s="86"/>
      <c r="H455" s="213" t="s">
        <v>71</v>
      </c>
      <c r="I455" s="216">
        <v>0.5</v>
      </c>
      <c r="J455" s="3"/>
      <c r="K455" s="298">
        <v>13</v>
      </c>
      <c r="L455" s="229" t="s">
        <v>73</v>
      </c>
      <c r="M455" s="30"/>
      <c r="N455" s="176">
        <f>I455*K455</f>
        <v>6.5</v>
      </c>
      <c r="O455" s="32"/>
      <c r="P455" s="88"/>
      <c r="Q455" s="30"/>
      <c r="R455" s="90"/>
      <c r="S455" s="91">
        <f>N455</f>
        <v>6.5</v>
      </c>
      <c r="T455" s="91"/>
      <c r="U455" s="91"/>
      <c r="V455" s="92"/>
      <c r="W455" s="30"/>
      <c r="X455" s="90"/>
      <c r="Y455" s="91"/>
      <c r="Z455" s="91"/>
      <c r="AA455" s="91"/>
      <c r="AB455" s="92"/>
    </row>
    <row r="456" spans="2:28" ht="12" customHeight="1">
      <c r="C456" s="28"/>
      <c r="E456" s="77" t="s">
        <v>215</v>
      </c>
      <c r="F456" s="158" t="s">
        <v>70</v>
      </c>
      <c r="G456" s="86"/>
      <c r="H456" s="213" t="s">
        <v>71</v>
      </c>
      <c r="I456" s="216">
        <v>0.25</v>
      </c>
      <c r="J456" s="3"/>
      <c r="K456" s="228">
        <v>5.7</v>
      </c>
      <c r="L456" s="229" t="s">
        <v>72</v>
      </c>
      <c r="M456" s="30"/>
      <c r="N456" s="176">
        <f>I456*K456</f>
        <v>1.425</v>
      </c>
      <c r="O456" s="32"/>
      <c r="P456" s="88"/>
      <c r="Q456" s="30"/>
      <c r="R456" s="90"/>
      <c r="S456" s="91">
        <f>N456</f>
        <v>1.425</v>
      </c>
      <c r="T456" s="91"/>
      <c r="U456" s="91"/>
      <c r="V456" s="92"/>
      <c r="W456" s="30"/>
      <c r="X456" s="90"/>
      <c r="Y456" s="91"/>
      <c r="Z456" s="91"/>
      <c r="AA456" s="91"/>
      <c r="AB456" s="92"/>
    </row>
    <row r="457" spans="2:28" ht="12" customHeight="1">
      <c r="C457" s="28"/>
      <c r="E457" s="105"/>
      <c r="F457" s="41" t="s">
        <v>17</v>
      </c>
      <c r="G457" s="93"/>
      <c r="H457" s="94"/>
      <c r="I457" s="217">
        <v>0.1</v>
      </c>
      <c r="J457" s="3"/>
      <c r="K457" s="174">
        <v>7</v>
      </c>
      <c r="L457" s="226" t="s">
        <v>73</v>
      </c>
      <c r="M457" s="30"/>
      <c r="N457" s="177">
        <f>I457*K457</f>
        <v>0.70000000000000007</v>
      </c>
      <c r="O457" s="32"/>
      <c r="P457" s="96"/>
      <c r="Q457" s="30"/>
      <c r="R457" s="97"/>
      <c r="S457" s="98">
        <f>N457</f>
        <v>0.70000000000000007</v>
      </c>
      <c r="T457" s="98"/>
      <c r="U457" s="98"/>
      <c r="V457" s="99"/>
      <c r="W457" s="30"/>
      <c r="X457" s="97"/>
      <c r="Y457" s="98"/>
      <c r="Z457" s="98"/>
      <c r="AA457" s="98"/>
      <c r="AB457" s="99"/>
    </row>
    <row r="458" spans="2:28" ht="12" customHeight="1">
      <c r="C458" s="28"/>
      <c r="E458" s="105" t="s">
        <v>216</v>
      </c>
      <c r="F458" s="41" t="s">
        <v>217</v>
      </c>
      <c r="G458" s="100"/>
      <c r="H458" s="94"/>
      <c r="I458" s="217">
        <f>0.25</f>
        <v>0.25</v>
      </c>
      <c r="J458" s="3"/>
      <c r="K458" s="200">
        <f>11*3</f>
        <v>33</v>
      </c>
      <c r="L458" s="230" t="s">
        <v>72</v>
      </c>
      <c r="M458" s="30"/>
      <c r="N458" s="177">
        <f>I458*K458</f>
        <v>8.25</v>
      </c>
      <c r="O458" s="32"/>
      <c r="P458" s="96"/>
      <c r="Q458" s="30"/>
      <c r="R458" s="257"/>
      <c r="S458" s="214">
        <f>N458</f>
        <v>8.25</v>
      </c>
      <c r="T458" s="214"/>
      <c r="U458" s="103"/>
      <c r="V458" s="104"/>
      <c r="W458" s="30"/>
      <c r="X458" s="102"/>
      <c r="Y458" s="103"/>
      <c r="Z458" s="103"/>
      <c r="AA458" s="103"/>
      <c r="AB458" s="104"/>
    </row>
    <row r="459" spans="2:28" ht="12" customHeight="1">
      <c r="C459" s="28"/>
      <c r="E459" s="105"/>
      <c r="F459" s="253" t="s">
        <v>17</v>
      </c>
      <c r="G459" s="100"/>
      <c r="H459" s="94"/>
      <c r="I459" s="217">
        <v>0.1</v>
      </c>
      <c r="J459" s="3"/>
      <c r="K459" s="174">
        <v>11</v>
      </c>
      <c r="L459" s="226" t="s">
        <v>73</v>
      </c>
      <c r="M459" s="30"/>
      <c r="N459" s="177">
        <f>I459*K459</f>
        <v>1.1000000000000001</v>
      </c>
      <c r="O459" s="32"/>
      <c r="P459" s="96"/>
      <c r="Q459" s="30"/>
      <c r="R459" s="257"/>
      <c r="S459" s="214">
        <f>N459</f>
        <v>1.1000000000000001</v>
      </c>
      <c r="T459" s="214"/>
      <c r="U459" s="103"/>
      <c r="V459" s="104"/>
      <c r="W459" s="30"/>
      <c r="X459" s="102"/>
      <c r="Y459" s="103"/>
      <c r="Z459" s="103"/>
      <c r="AA459" s="103"/>
      <c r="AB459" s="104"/>
    </row>
    <row r="460" spans="2:28" ht="12" customHeight="1">
      <c r="C460" s="28"/>
      <c r="E460" s="183" t="s">
        <v>93</v>
      </c>
      <c r="F460" s="186"/>
      <c r="G460" s="184"/>
      <c r="H460" s="94"/>
      <c r="I460" s="95"/>
      <c r="J460" s="3"/>
      <c r="K460" s="174"/>
      <c r="L460" s="226"/>
      <c r="M460" s="30"/>
      <c r="N460" s="177"/>
      <c r="O460" s="32"/>
      <c r="P460" s="96"/>
      <c r="Q460" s="30"/>
      <c r="R460" s="102"/>
      <c r="S460" s="103"/>
      <c r="T460" s="103"/>
      <c r="U460" s="103"/>
      <c r="V460" s="104"/>
      <c r="W460" s="30"/>
      <c r="X460" s="102"/>
      <c r="Y460" s="103"/>
      <c r="Z460" s="103"/>
      <c r="AA460" s="103"/>
      <c r="AB460" s="104"/>
    </row>
    <row r="461" spans="2:28" ht="12" customHeight="1">
      <c r="C461" s="28"/>
      <c r="E461" s="107" t="s">
        <v>87</v>
      </c>
      <c r="F461" s="248" t="s">
        <v>88</v>
      </c>
      <c r="G461" s="185"/>
      <c r="H461" s="94" t="s">
        <v>25</v>
      </c>
      <c r="I461" s="43"/>
      <c r="J461" s="3"/>
      <c r="K461" s="174"/>
      <c r="L461" s="226"/>
      <c r="M461" s="30"/>
      <c r="N461" s="178">
        <v>5</v>
      </c>
      <c r="O461" s="32"/>
      <c r="P461" s="96"/>
      <c r="Q461" s="30"/>
      <c r="R461" s="257">
        <f>0.1*N461</f>
        <v>0.5</v>
      </c>
      <c r="S461" s="214">
        <f t="shared" ref="S461:S463" si="78">0.5*N461</f>
        <v>2.5</v>
      </c>
      <c r="T461" s="214">
        <f>0.4*N461</f>
        <v>2</v>
      </c>
      <c r="U461" s="103"/>
      <c r="V461" s="104"/>
      <c r="W461" s="30"/>
      <c r="X461" s="102"/>
      <c r="Y461" s="103"/>
      <c r="Z461" s="103"/>
      <c r="AA461" s="103"/>
      <c r="AB461" s="104"/>
    </row>
    <row r="462" spans="2:28" ht="12" customHeight="1">
      <c r="C462" s="28"/>
      <c r="E462" s="107" t="s">
        <v>89</v>
      </c>
      <c r="F462" s="248" t="s">
        <v>154</v>
      </c>
      <c r="G462" s="185"/>
      <c r="H462" s="274" t="s">
        <v>150</v>
      </c>
      <c r="I462" s="43"/>
      <c r="J462" s="3"/>
      <c r="K462" s="174"/>
      <c r="L462" s="226"/>
      <c r="M462" s="30"/>
      <c r="N462" s="178">
        <v>30</v>
      </c>
      <c r="O462" s="32"/>
      <c r="P462" s="96"/>
      <c r="Q462" s="30"/>
      <c r="R462" s="257">
        <f>0.1*N462</f>
        <v>3</v>
      </c>
      <c r="S462" s="214">
        <f t="shared" si="78"/>
        <v>15</v>
      </c>
      <c r="T462" s="214">
        <f>0.4*N462</f>
        <v>12</v>
      </c>
      <c r="U462" s="103"/>
      <c r="V462" s="104"/>
      <c r="W462" s="30"/>
      <c r="X462" s="102"/>
      <c r="Y462" s="103"/>
      <c r="Z462" s="103"/>
      <c r="AA462" s="103"/>
      <c r="AB462" s="104"/>
    </row>
    <row r="463" spans="2:28" ht="12" customHeight="1">
      <c r="C463" s="28"/>
      <c r="E463" s="107" t="s">
        <v>90</v>
      </c>
      <c r="F463" s="248" t="s">
        <v>108</v>
      </c>
      <c r="G463" s="184"/>
      <c r="H463" s="94" t="s">
        <v>18</v>
      </c>
      <c r="I463" s="43">
        <v>1.25</v>
      </c>
      <c r="J463" s="3"/>
      <c r="K463" s="200">
        <v>48</v>
      </c>
      <c r="L463" s="230" t="s">
        <v>91</v>
      </c>
      <c r="M463" s="30"/>
      <c r="N463" s="177">
        <f>I463*K463</f>
        <v>60</v>
      </c>
      <c r="O463" s="32"/>
      <c r="P463" s="96"/>
      <c r="Q463" s="30"/>
      <c r="R463" s="257">
        <f t="shared" ref="R463" si="79">0.1*N463</f>
        <v>6</v>
      </c>
      <c r="S463" s="214">
        <f t="shared" si="78"/>
        <v>30</v>
      </c>
      <c r="T463" s="214">
        <f t="shared" ref="T463" si="80">0.4*N463</f>
        <v>24</v>
      </c>
      <c r="U463" s="103"/>
      <c r="V463" s="104"/>
      <c r="W463" s="30"/>
      <c r="X463" s="102"/>
      <c r="Y463" s="103"/>
      <c r="Z463" s="103"/>
      <c r="AA463" s="103"/>
      <c r="AB463" s="104"/>
    </row>
    <row r="464" spans="2:28" ht="12" customHeight="1">
      <c r="C464" s="28"/>
      <c r="E464" s="245" t="s">
        <v>102</v>
      </c>
      <c r="F464" s="246"/>
      <c r="G464" s="184"/>
      <c r="H464" s="94"/>
      <c r="I464" s="43"/>
      <c r="J464" s="3"/>
      <c r="K464" s="200"/>
      <c r="L464" s="230"/>
      <c r="M464" s="30"/>
      <c r="N464" s="177"/>
      <c r="O464" s="32"/>
      <c r="P464" s="96"/>
      <c r="Q464" s="30"/>
      <c r="R464" s="257"/>
      <c r="S464" s="214"/>
      <c r="T464" s="214"/>
      <c r="U464" s="103"/>
      <c r="V464" s="104"/>
      <c r="W464" s="30"/>
      <c r="X464" s="102"/>
      <c r="Y464" s="103"/>
      <c r="Z464" s="103"/>
      <c r="AA464" s="103"/>
      <c r="AB464" s="104"/>
    </row>
    <row r="465" spans="2:28" ht="14.15" customHeight="1">
      <c r="C465" s="28"/>
      <c r="E465" s="107" t="s">
        <v>63</v>
      </c>
      <c r="F465" s="249" t="s">
        <v>153</v>
      </c>
      <c r="G465" s="184"/>
      <c r="H465" s="94" t="s">
        <v>18</v>
      </c>
      <c r="I465" s="43">
        <v>10</v>
      </c>
      <c r="J465" s="3"/>
      <c r="K465" s="174">
        <v>1</v>
      </c>
      <c r="L465" s="226"/>
      <c r="M465" s="30"/>
      <c r="N465" s="178">
        <f>I465*K465</f>
        <v>10</v>
      </c>
      <c r="O465" s="32"/>
      <c r="P465" s="96"/>
      <c r="Q465" s="30"/>
      <c r="R465" s="257">
        <f t="shared" ref="R465:R467" si="81">0.1*N465</f>
        <v>1</v>
      </c>
      <c r="S465" s="214">
        <f t="shared" ref="S465:S467" si="82">0.5*N465</f>
        <v>5</v>
      </c>
      <c r="T465" s="214">
        <f t="shared" ref="T465:T467" si="83">0.4*N465</f>
        <v>4</v>
      </c>
      <c r="U465" s="103"/>
      <c r="V465" s="104"/>
      <c r="W465" s="30"/>
      <c r="X465" s="102"/>
      <c r="Y465" s="103"/>
      <c r="Z465" s="103"/>
      <c r="AA465" s="103"/>
      <c r="AB465" s="104"/>
    </row>
    <row r="466" spans="2:28" ht="14.15" customHeight="1">
      <c r="C466" s="28"/>
      <c r="E466" s="107" t="s">
        <v>103</v>
      </c>
      <c r="F466" s="249" t="s">
        <v>101</v>
      </c>
      <c r="G466" s="184"/>
      <c r="H466" s="94" t="s">
        <v>18</v>
      </c>
      <c r="I466" s="43">
        <v>0.12</v>
      </c>
      <c r="J466" s="3"/>
      <c r="K466" s="200">
        <f>33*12</f>
        <v>396</v>
      </c>
      <c r="L466" s="230"/>
      <c r="M466" s="30"/>
      <c r="N466" s="177">
        <f>I466*K466</f>
        <v>47.519999999999996</v>
      </c>
      <c r="O466" s="32"/>
      <c r="P466" s="96"/>
      <c r="Q466" s="30"/>
      <c r="R466" s="257">
        <f t="shared" si="81"/>
        <v>4.7519999999999998</v>
      </c>
      <c r="S466" s="214">
        <f t="shared" si="82"/>
        <v>23.759999999999998</v>
      </c>
      <c r="T466" s="214">
        <f t="shared" si="83"/>
        <v>19.007999999999999</v>
      </c>
      <c r="U466" s="103"/>
      <c r="V466" s="104"/>
      <c r="W466" s="30"/>
      <c r="X466" s="102"/>
      <c r="Y466" s="103"/>
      <c r="Z466" s="103"/>
      <c r="AA466" s="103"/>
      <c r="AB466" s="104"/>
    </row>
    <row r="467" spans="2:28" ht="12" customHeight="1">
      <c r="C467" s="28"/>
      <c r="E467" s="189" t="s">
        <v>59</v>
      </c>
      <c r="F467" s="256" t="s">
        <v>139</v>
      </c>
      <c r="G467" s="190"/>
      <c r="H467" s="94"/>
      <c r="I467" s="43"/>
      <c r="J467" s="3"/>
      <c r="K467" s="175"/>
      <c r="L467" s="231"/>
      <c r="M467" s="30"/>
      <c r="N467" s="234">
        <f>SUM(N455:N466)*0.1</f>
        <v>17.049500000000002</v>
      </c>
      <c r="O467" s="32"/>
      <c r="P467" s="109"/>
      <c r="Q467" s="30"/>
      <c r="R467" s="258">
        <f t="shared" si="81"/>
        <v>1.7049500000000002</v>
      </c>
      <c r="S467" s="259">
        <f t="shared" si="82"/>
        <v>8.5247500000000009</v>
      </c>
      <c r="T467" s="259">
        <f t="shared" si="83"/>
        <v>6.8198000000000008</v>
      </c>
      <c r="U467" s="111"/>
      <c r="V467" s="112"/>
      <c r="W467" s="30"/>
      <c r="X467" s="110"/>
      <c r="Y467" s="111"/>
      <c r="Z467" s="111"/>
      <c r="AA467" s="111"/>
      <c r="AB467" s="112"/>
    </row>
    <row r="468" spans="2:28" ht="4" customHeight="1">
      <c r="E468" s="3"/>
      <c r="J468" s="3"/>
    </row>
    <row r="469" spans="2:28" ht="15" customHeight="1">
      <c r="F469" s="113" t="s">
        <v>19</v>
      </c>
      <c r="G469" s="114"/>
      <c r="H469" s="114"/>
      <c r="I469" s="85"/>
      <c r="K469" s="22"/>
      <c r="L469" s="207"/>
      <c r="M469" s="20"/>
      <c r="N469" s="179">
        <f>SUM(N455:N467)</f>
        <v>187.5445</v>
      </c>
      <c r="O469" s="20"/>
      <c r="P469" s="22"/>
      <c r="Q469" s="20"/>
      <c r="R469" s="180">
        <f>SUM(R456:R467)</f>
        <v>16.956949999999999</v>
      </c>
      <c r="S469" s="181">
        <f>SUM(S456:S467)</f>
        <v>96.259749999999997</v>
      </c>
      <c r="T469" s="181">
        <f>SUM(T456:T467)</f>
        <v>67.827799999999996</v>
      </c>
      <c r="U469" s="182">
        <f>SUM(U456:U467)</f>
        <v>0</v>
      </c>
      <c r="V469" s="180">
        <f>SUM(V456:V467)</f>
        <v>0</v>
      </c>
      <c r="W469" s="115"/>
      <c r="X469" s="160">
        <f>SUM(X456:X467)</f>
        <v>0</v>
      </c>
      <c r="Y469" s="161">
        <f>SUM(Y456:Y467)</f>
        <v>0</v>
      </c>
      <c r="Z469" s="161">
        <f>SUM(Z456:Z467)</f>
        <v>0</v>
      </c>
      <c r="AA469" s="161">
        <f>SUM(AA456:AA467)</f>
        <v>0</v>
      </c>
      <c r="AB469" s="161">
        <f>SUM(AB456:AB467)</f>
        <v>0</v>
      </c>
    </row>
    <row r="470" spans="2:28" ht="10" customHeight="1">
      <c r="F470" s="192"/>
      <c r="G470" s="193"/>
      <c r="H470" s="193"/>
      <c r="I470" s="193"/>
      <c r="K470" s="168"/>
      <c r="L470" s="20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94"/>
      <c r="X470" s="195"/>
      <c r="Y470" s="195"/>
      <c r="Z470" s="195"/>
      <c r="AA470" s="195"/>
      <c r="AB470" s="195"/>
    </row>
    <row r="471" spans="2:28" ht="15" customHeight="1">
      <c r="B471" s="164" t="s">
        <v>107</v>
      </c>
      <c r="C471" s="6"/>
      <c r="E471" s="116" t="s">
        <v>20</v>
      </c>
    </row>
    <row r="472" spans="2:28" ht="15" customHeight="1">
      <c r="B472" s="6"/>
      <c r="C472" s="9"/>
      <c r="E472" s="9" t="s">
        <v>126</v>
      </c>
      <c r="F472" s="237"/>
      <c r="K472" s="333" t="s">
        <v>9</v>
      </c>
      <c r="L472" s="334"/>
      <c r="M472" s="334"/>
      <c r="N472" s="335"/>
      <c r="O472" s="24"/>
      <c r="P472" s="68" t="s">
        <v>10</v>
      </c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70"/>
    </row>
    <row r="473" spans="2:28" ht="15" customHeight="1">
      <c r="E473" s="26" t="s">
        <v>21</v>
      </c>
      <c r="F473" s="84" t="s">
        <v>22</v>
      </c>
      <c r="G473" s="85"/>
      <c r="H473" s="73" t="s">
        <v>4</v>
      </c>
      <c r="I473" s="75" t="s">
        <v>23</v>
      </c>
      <c r="K473" s="71"/>
      <c r="M473" s="24"/>
      <c r="N473" s="72" t="s">
        <v>11</v>
      </c>
      <c r="O473" s="24"/>
      <c r="P473" s="73">
        <v>2011</v>
      </c>
      <c r="Q473" s="74"/>
      <c r="R473" s="75">
        <f>P473+1</f>
        <v>2012</v>
      </c>
      <c r="S473" s="75">
        <f>R473+1</f>
        <v>2013</v>
      </c>
      <c r="T473" s="75">
        <f>S473+1</f>
        <v>2014</v>
      </c>
      <c r="U473" s="75">
        <f>T473+1</f>
        <v>2015</v>
      </c>
      <c r="V473" s="75">
        <f>U473+1</f>
        <v>2016</v>
      </c>
      <c r="W473" s="74"/>
      <c r="X473" s="76">
        <f>V473+1</f>
        <v>2017</v>
      </c>
      <c r="Y473" s="76">
        <f>X473+1</f>
        <v>2018</v>
      </c>
      <c r="Z473" s="76">
        <f>Y473+1</f>
        <v>2019</v>
      </c>
      <c r="AA473" s="76">
        <f>Z473+1</f>
        <v>2020</v>
      </c>
      <c r="AB473" s="76">
        <f>AA473+1</f>
        <v>2021</v>
      </c>
    </row>
    <row r="474" spans="2:28" ht="4" customHeight="1"/>
    <row r="475" spans="2:28" ht="12" customHeight="1">
      <c r="C475" s="28"/>
      <c r="E475" s="77" t="s">
        <v>3</v>
      </c>
      <c r="F475" s="197" t="s">
        <v>224</v>
      </c>
      <c r="G475" s="117"/>
      <c r="H475" s="73"/>
      <c r="I475" s="75"/>
      <c r="J475" s="3"/>
      <c r="K475" s="87"/>
      <c r="L475" s="204"/>
      <c r="M475" s="30"/>
      <c r="N475" s="176">
        <f>N451</f>
        <v>102.89999999999999</v>
      </c>
      <c r="O475" s="32"/>
      <c r="P475" s="88"/>
      <c r="Q475" s="30"/>
      <c r="R475" s="89">
        <f>R451</f>
        <v>0</v>
      </c>
      <c r="S475" s="89">
        <f>S451</f>
        <v>102.89999999999999</v>
      </c>
      <c r="T475" s="89">
        <f>T451</f>
        <v>0</v>
      </c>
      <c r="U475" s="89">
        <f>U451</f>
        <v>0</v>
      </c>
      <c r="V475" s="220">
        <f>V451</f>
        <v>0</v>
      </c>
      <c r="X475" s="199"/>
      <c r="Y475" s="118"/>
      <c r="Z475" s="118"/>
      <c r="AA475" s="118"/>
      <c r="AB475" s="119"/>
    </row>
    <row r="476" spans="2:28" ht="12" customHeight="1">
      <c r="C476" s="28"/>
      <c r="E476" s="105" t="s">
        <v>218</v>
      </c>
      <c r="F476" s="41" t="s">
        <v>221</v>
      </c>
      <c r="G476" s="100"/>
      <c r="H476" s="94"/>
      <c r="I476" s="43"/>
      <c r="J476" s="3"/>
      <c r="K476" s="101"/>
      <c r="L476" s="204"/>
      <c r="M476" s="30"/>
      <c r="N476" s="178">
        <f>N455</f>
        <v>6.5</v>
      </c>
      <c r="O476" s="32"/>
      <c r="P476" s="96"/>
      <c r="Q476" s="30"/>
      <c r="R476" s="157">
        <f>SUM(R449:R452)</f>
        <v>0</v>
      </c>
      <c r="S476" s="157">
        <f t="shared" ref="S476:V476" si="84">SUM(S449:S452)</f>
        <v>195.29999999999998</v>
      </c>
      <c r="T476" s="157">
        <f t="shared" si="84"/>
        <v>0</v>
      </c>
      <c r="U476" s="157">
        <f t="shared" si="84"/>
        <v>0</v>
      </c>
      <c r="V476" s="157">
        <f t="shared" si="84"/>
        <v>0</v>
      </c>
      <c r="W476" s="30"/>
      <c r="X476" s="102"/>
      <c r="Y476" s="103"/>
      <c r="Z476" s="103"/>
      <c r="AA476" s="103"/>
      <c r="AB476" s="104"/>
    </row>
    <row r="477" spans="2:28" ht="12" customHeight="1">
      <c r="C477" s="28"/>
      <c r="E477" s="105" t="s">
        <v>29</v>
      </c>
      <c r="F477" s="41" t="s">
        <v>220</v>
      </c>
      <c r="G477" s="100"/>
      <c r="H477" s="94"/>
      <c r="I477" s="43"/>
      <c r="J477" s="3"/>
      <c r="K477" s="101"/>
      <c r="L477" s="204"/>
      <c r="M477" s="30"/>
      <c r="N477" s="178">
        <f>SUM(N456:N459)</f>
        <v>11.475</v>
      </c>
      <c r="O477" s="32"/>
      <c r="P477" s="96"/>
      <c r="Q477" s="30"/>
      <c r="R477" s="157">
        <f>SUM(R456:R459)</f>
        <v>0</v>
      </c>
      <c r="S477" s="157">
        <f t="shared" ref="S477:V477" si="85">SUM(S456:S459)</f>
        <v>11.475</v>
      </c>
      <c r="T477" s="157">
        <f t="shared" si="85"/>
        <v>0</v>
      </c>
      <c r="U477" s="157">
        <f t="shared" si="85"/>
        <v>0</v>
      </c>
      <c r="V477" s="157">
        <f t="shared" si="85"/>
        <v>0</v>
      </c>
      <c r="W477" s="30"/>
      <c r="X477" s="102"/>
      <c r="Y477" s="103"/>
      <c r="Z477" s="103"/>
      <c r="AA477" s="103"/>
      <c r="AB477" s="104"/>
    </row>
    <row r="478" spans="2:28" ht="12" customHeight="1">
      <c r="C478" s="28"/>
      <c r="E478" s="105" t="s">
        <v>93</v>
      </c>
      <c r="F478" s="41" t="s">
        <v>94</v>
      </c>
      <c r="G478" s="100"/>
      <c r="H478" s="94"/>
      <c r="I478" s="43"/>
      <c r="J478" s="3"/>
      <c r="K478" s="101"/>
      <c r="L478" s="204"/>
      <c r="M478" s="30"/>
      <c r="N478" s="178">
        <f>SUM(N461:N462)</f>
        <v>35</v>
      </c>
      <c r="O478" s="32"/>
      <c r="P478" s="96"/>
      <c r="Q478" s="30"/>
      <c r="R478" s="178">
        <f>SUM(R461:R462)</f>
        <v>3.5</v>
      </c>
      <c r="S478" s="178">
        <f t="shared" ref="S478:V478" si="86">SUM(S461:S462)</f>
        <v>17.5</v>
      </c>
      <c r="T478" s="178">
        <f t="shared" si="86"/>
        <v>14</v>
      </c>
      <c r="U478" s="178">
        <f t="shared" si="86"/>
        <v>0</v>
      </c>
      <c r="V478" s="178">
        <f t="shared" si="86"/>
        <v>0</v>
      </c>
      <c r="W478" s="30"/>
      <c r="X478" s="102"/>
      <c r="Y478" s="103"/>
      <c r="Z478" s="103"/>
      <c r="AA478" s="103"/>
      <c r="AB478" s="104"/>
    </row>
    <row r="479" spans="2:28" ht="12" customHeight="1">
      <c r="C479" s="28"/>
      <c r="E479" s="105" t="s">
        <v>95</v>
      </c>
      <c r="F479" s="41" t="s">
        <v>108</v>
      </c>
      <c r="G479" s="100"/>
      <c r="H479" s="94"/>
      <c r="I479" s="43"/>
      <c r="J479" s="3"/>
      <c r="K479" s="101"/>
      <c r="L479" s="204"/>
      <c r="M479" s="30"/>
      <c r="N479" s="178">
        <f>SUM(N463:N463)</f>
        <v>60</v>
      </c>
      <c r="O479" s="32"/>
      <c r="P479" s="96"/>
      <c r="Q479" s="30"/>
      <c r="R479" s="178">
        <f t="shared" ref="R479:V481" si="87">SUM(R465:R465)</f>
        <v>1</v>
      </c>
      <c r="S479" s="178">
        <f t="shared" si="87"/>
        <v>5</v>
      </c>
      <c r="T479" s="178">
        <f t="shared" si="87"/>
        <v>4</v>
      </c>
      <c r="U479" s="178">
        <f t="shared" si="87"/>
        <v>0</v>
      </c>
      <c r="V479" s="178">
        <f t="shared" si="87"/>
        <v>0</v>
      </c>
      <c r="W479" s="30"/>
      <c r="X479" s="102"/>
      <c r="Y479" s="103"/>
      <c r="Z479" s="103"/>
      <c r="AA479" s="103"/>
      <c r="AB479" s="104"/>
    </row>
    <row r="480" spans="2:28" ht="12" customHeight="1">
      <c r="C480" s="28"/>
      <c r="E480" s="105" t="s">
        <v>105</v>
      </c>
      <c r="F480" s="41" t="s">
        <v>226</v>
      </c>
      <c r="G480" s="100"/>
      <c r="H480" s="94"/>
      <c r="I480" s="43"/>
      <c r="J480" s="3"/>
      <c r="K480" s="101"/>
      <c r="L480" s="204"/>
      <c r="M480" s="30"/>
      <c r="N480" s="178">
        <f>SUM(N465:N465)</f>
        <v>10</v>
      </c>
      <c r="O480" s="32"/>
      <c r="P480" s="96"/>
      <c r="Q480" s="30"/>
      <c r="R480" s="178">
        <f t="shared" si="87"/>
        <v>4.7519999999999998</v>
      </c>
      <c r="S480" s="178">
        <f t="shared" si="87"/>
        <v>23.759999999999998</v>
      </c>
      <c r="T480" s="178">
        <f t="shared" si="87"/>
        <v>19.007999999999999</v>
      </c>
      <c r="U480" s="178">
        <f t="shared" si="87"/>
        <v>0</v>
      </c>
      <c r="V480" s="178">
        <f t="shared" si="87"/>
        <v>0</v>
      </c>
      <c r="W480" s="30"/>
      <c r="X480" s="102"/>
      <c r="Y480" s="103"/>
      <c r="Z480" s="103"/>
      <c r="AA480" s="103"/>
      <c r="AB480" s="104"/>
    </row>
    <row r="481" spans="2:28" ht="12" customHeight="1">
      <c r="C481" s="28"/>
      <c r="E481" s="105" t="s">
        <v>105</v>
      </c>
      <c r="F481" s="41" t="s">
        <v>101</v>
      </c>
      <c r="G481" s="100"/>
      <c r="H481" s="94"/>
      <c r="I481" s="43"/>
      <c r="J481" s="3"/>
      <c r="K481" s="101"/>
      <c r="L481" s="204"/>
      <c r="M481" s="30"/>
      <c r="N481" s="178">
        <f>SUM(N466:N466)</f>
        <v>47.519999999999996</v>
      </c>
      <c r="O481" s="32"/>
      <c r="P481" s="96"/>
      <c r="Q481" s="30"/>
      <c r="R481" s="178">
        <f t="shared" si="87"/>
        <v>1.7049500000000002</v>
      </c>
      <c r="S481" s="178">
        <f t="shared" si="87"/>
        <v>8.5247500000000009</v>
      </c>
      <c r="T481" s="178">
        <f t="shared" si="87"/>
        <v>6.8198000000000008</v>
      </c>
      <c r="U481" s="178">
        <f t="shared" si="87"/>
        <v>0</v>
      </c>
      <c r="V481" s="178">
        <f t="shared" si="87"/>
        <v>0</v>
      </c>
      <c r="W481" s="30"/>
      <c r="X481" s="102"/>
      <c r="Y481" s="103"/>
      <c r="Z481" s="103"/>
      <c r="AA481" s="103"/>
      <c r="AB481" s="104"/>
    </row>
    <row r="482" spans="2:28" ht="12" customHeight="1">
      <c r="C482" s="28"/>
      <c r="E482" s="108" t="s">
        <v>59</v>
      </c>
      <c r="F482" s="256" t="s">
        <v>139</v>
      </c>
      <c r="G482" s="120"/>
      <c r="H482" s="94"/>
      <c r="I482" s="43"/>
      <c r="J482" s="3"/>
      <c r="K482" s="121"/>
      <c r="L482" s="204"/>
      <c r="M482" s="30"/>
      <c r="N482" s="234">
        <f>N467</f>
        <v>17.049500000000002</v>
      </c>
      <c r="O482" s="32"/>
      <c r="P482" s="109"/>
      <c r="Q482" s="30"/>
      <c r="R482" s="163">
        <f t="shared" ref="R482:V482" si="88">R467</f>
        <v>1.7049500000000002</v>
      </c>
      <c r="S482" s="163">
        <f t="shared" si="88"/>
        <v>8.5247500000000009</v>
      </c>
      <c r="T482" s="163">
        <f t="shared" si="88"/>
        <v>6.8198000000000008</v>
      </c>
      <c r="U482" s="163">
        <f t="shared" si="88"/>
        <v>0</v>
      </c>
      <c r="V482" s="163">
        <f t="shared" si="88"/>
        <v>0</v>
      </c>
      <c r="W482" s="30"/>
      <c r="X482" s="218"/>
      <c r="Y482" s="111"/>
      <c r="Z482" s="111"/>
      <c r="AA482" s="111"/>
      <c r="AB482" s="112"/>
    </row>
    <row r="483" spans="2:28" ht="4" customHeight="1">
      <c r="E483" s="3"/>
      <c r="J483" s="3"/>
    </row>
    <row r="484" spans="2:28" ht="15" customHeight="1">
      <c r="F484" s="122" t="s">
        <v>24</v>
      </c>
      <c r="G484" s="114"/>
      <c r="H484" s="114"/>
      <c r="I484" s="85"/>
      <c r="K484" s="22"/>
      <c r="L484" s="207"/>
      <c r="M484" s="20"/>
      <c r="N484" s="162">
        <f>SUM(N475:N482)</f>
        <v>290.44450000000001</v>
      </c>
      <c r="O484" s="20"/>
      <c r="P484" s="22"/>
      <c r="Q484" s="20"/>
      <c r="R484" s="198">
        <f>SUM(R475:R482)</f>
        <v>12.661899999999999</v>
      </c>
      <c r="S484" s="198">
        <f>SUM(S475:S482)</f>
        <v>372.98449999999997</v>
      </c>
      <c r="T484" s="198">
        <f>SUM(T475:T482)</f>
        <v>50.647599999999997</v>
      </c>
      <c r="U484" s="198">
        <f>SUM(U475:U482)</f>
        <v>0</v>
      </c>
      <c r="V484" s="198">
        <f>SUM(V475:V482)</f>
        <v>0</v>
      </c>
      <c r="W484" s="115"/>
      <c r="X484" s="160">
        <f>SUM(X475:X482)</f>
        <v>0</v>
      </c>
      <c r="Y484" s="160">
        <f>SUM(Y475:Y482)</f>
        <v>0</v>
      </c>
      <c r="Z484" s="160">
        <f>SUM(Z475:Z482)</f>
        <v>0</v>
      </c>
      <c r="AA484" s="160">
        <f>SUM(AA475:AA482)</f>
        <v>0</v>
      </c>
      <c r="AB484" s="160">
        <f>SUM(AB475:AB482)</f>
        <v>0</v>
      </c>
    </row>
    <row r="485" spans="2:28" ht="10" customHeight="1"/>
    <row r="486" spans="2:28" ht="12" customHeight="1">
      <c r="N486" s="67"/>
    </row>
    <row r="487" spans="2:28" ht="12" customHeight="1"/>
    <row r="488" spans="2:28" ht="12" customHeight="1"/>
    <row r="489" spans="2:28" ht="12" customHeight="1"/>
    <row r="490" spans="2:28" ht="12" customHeight="1"/>
    <row r="491" spans="2:28" ht="12" customHeight="1"/>
    <row r="492" spans="2:28" ht="10" customHeight="1" thickBot="1"/>
    <row r="493" spans="2:28" ht="18" customHeight="1" thickBot="1">
      <c r="B493" s="315" t="s">
        <v>227</v>
      </c>
      <c r="C493" s="316"/>
      <c r="D493" s="316"/>
      <c r="E493" s="316"/>
      <c r="F493" s="316"/>
      <c r="G493" s="316"/>
      <c r="H493" s="316"/>
      <c r="I493" s="316"/>
      <c r="J493" s="316"/>
      <c r="K493" s="316"/>
      <c r="L493" s="316"/>
      <c r="M493" s="316"/>
      <c r="N493" s="316"/>
      <c r="O493" s="316"/>
      <c r="P493" s="316"/>
      <c r="Q493" s="316"/>
      <c r="R493" s="316"/>
      <c r="S493" s="316"/>
      <c r="T493" s="316"/>
      <c r="U493" s="316"/>
      <c r="V493" s="316"/>
      <c r="W493" s="316"/>
      <c r="X493" s="316"/>
      <c r="Y493" s="316"/>
      <c r="Z493" s="316"/>
      <c r="AA493" s="316"/>
      <c r="AB493" s="317"/>
    </row>
    <row r="494" spans="2:28" ht="10" customHeight="1" thickBot="1"/>
    <row r="495" spans="2:28" ht="15" customHeight="1" thickBot="1">
      <c r="B495" s="164" t="s">
        <v>109</v>
      </c>
      <c r="C495" s="6"/>
      <c r="D495" s="132"/>
      <c r="E495" s="252" t="s">
        <v>132</v>
      </c>
      <c r="F495" s="7"/>
      <c r="G495" s="8"/>
    </row>
    <row r="496" spans="2:28" ht="15" customHeight="1">
      <c r="B496" s="6"/>
      <c r="C496" s="9"/>
      <c r="D496" s="130"/>
      <c r="E496" s="9" t="s">
        <v>126</v>
      </c>
      <c r="F496" s="10" t="s">
        <v>140</v>
      </c>
      <c r="G496" s="11"/>
    </row>
    <row r="497" spans="2:29" ht="12" customHeight="1">
      <c r="B497" s="6"/>
      <c r="C497" s="6"/>
      <c r="D497" s="132"/>
      <c r="E497" s="12"/>
      <c r="F497" s="26" t="s">
        <v>162</v>
      </c>
      <c r="G497" s="11"/>
    </row>
    <row r="498" spans="2:29" ht="12" customHeight="1">
      <c r="B498" s="6"/>
      <c r="C498" s="6"/>
      <c r="D498" s="132"/>
      <c r="E498" s="12"/>
      <c r="F498" s="13" t="s">
        <v>7</v>
      </c>
      <c r="G498" s="14">
        <v>2014</v>
      </c>
      <c r="P498" s="137">
        <v>2011</v>
      </c>
      <c r="Q498" s="138"/>
      <c r="R498" s="137">
        <f>P498+1</f>
        <v>2012</v>
      </c>
      <c r="S498" s="137">
        <f>R498+1</f>
        <v>2013</v>
      </c>
      <c r="T498" s="137">
        <f>S498+1</f>
        <v>2014</v>
      </c>
      <c r="U498" s="137">
        <f>T498+1</f>
        <v>2015</v>
      </c>
      <c r="V498" s="137">
        <f>U498+1</f>
        <v>2016</v>
      </c>
      <c r="W498" s="138"/>
      <c r="X498" s="139">
        <f>V498+1</f>
        <v>2017</v>
      </c>
      <c r="Y498" s="139">
        <f>X498+1</f>
        <v>2018</v>
      </c>
      <c r="Z498" s="139">
        <f>Y498+1</f>
        <v>2019</v>
      </c>
      <c r="AA498" s="139">
        <f>Z498+1</f>
        <v>2020</v>
      </c>
      <c r="AB498" s="139">
        <f>AA498+1</f>
        <v>2021</v>
      </c>
    </row>
    <row r="499" spans="2:29" ht="12" customHeight="1">
      <c r="F499" s="1"/>
      <c r="G499" s="209" t="s">
        <v>68</v>
      </c>
      <c r="H499" s="18"/>
      <c r="I499" s="18"/>
      <c r="K499" s="19"/>
      <c r="L499" s="203"/>
      <c r="M499" s="20"/>
      <c r="N499" s="21" t="s">
        <v>0</v>
      </c>
      <c r="O499" s="20"/>
      <c r="P499" s="22"/>
      <c r="Q499" s="20"/>
      <c r="R499" s="140"/>
      <c r="S499" s="141"/>
      <c r="T499" s="142">
        <v>23.7</v>
      </c>
      <c r="U499" s="140">
        <v>33.799999999999997</v>
      </c>
      <c r="V499" s="143">
        <v>30.5</v>
      </c>
      <c r="W499" s="23"/>
      <c r="X499" s="144">
        <v>28.3</v>
      </c>
      <c r="Y499" s="144">
        <v>25.700000000000003</v>
      </c>
      <c r="Z499" s="144">
        <v>19.100000000000001</v>
      </c>
      <c r="AA499" s="144">
        <v>15.1</v>
      </c>
      <c r="AB499" s="144">
        <v>15.1</v>
      </c>
    </row>
    <row r="500" spans="2:29" ht="12" customHeight="1">
      <c r="F500" s="1"/>
      <c r="G500" s="210" t="s">
        <v>69</v>
      </c>
      <c r="H500" s="18"/>
      <c r="I500" s="18"/>
      <c r="K500" s="19"/>
      <c r="L500" s="203"/>
      <c r="M500" s="20"/>
      <c r="N500" s="21" t="s">
        <v>1</v>
      </c>
      <c r="O500" s="20"/>
      <c r="P500" s="22"/>
      <c r="Q500" s="20"/>
      <c r="R500" s="140"/>
      <c r="S500" s="141"/>
      <c r="T500" s="142">
        <v>11.600000000000001</v>
      </c>
      <c r="U500" s="140">
        <v>16.600000000000001</v>
      </c>
      <c r="V500" s="143">
        <v>15.899999999999999</v>
      </c>
      <c r="W500" s="23"/>
      <c r="X500" s="144">
        <v>15.1</v>
      </c>
      <c r="Y500" s="144">
        <v>14.100000000000001</v>
      </c>
      <c r="Z500" s="144">
        <v>10.600000000000001</v>
      </c>
      <c r="AA500" s="144">
        <v>7.9</v>
      </c>
      <c r="AB500" s="144">
        <v>7.9</v>
      </c>
    </row>
    <row r="501" spans="2:29" ht="10" customHeight="1">
      <c r="F501" s="1"/>
      <c r="G501" s="165"/>
      <c r="H501" s="166"/>
      <c r="I501" s="166"/>
      <c r="K501" s="167"/>
      <c r="L501" s="204"/>
      <c r="M501" s="168"/>
      <c r="N501" s="169"/>
      <c r="O501" s="168"/>
      <c r="P501" s="168"/>
      <c r="Q501" s="168"/>
      <c r="R501" s="170"/>
      <c r="S501" s="170"/>
      <c r="T501" s="170"/>
      <c r="U501" s="170"/>
      <c r="V501" s="170"/>
      <c r="W501" s="171"/>
      <c r="X501" s="172"/>
      <c r="Y501" s="172"/>
      <c r="Z501" s="172"/>
      <c r="AA501" s="172"/>
      <c r="AB501" s="172"/>
    </row>
    <row r="502" spans="2:29" ht="12" customHeight="1">
      <c r="E502" s="26" t="s">
        <v>8</v>
      </c>
      <c r="F502" s="27" t="s">
        <v>27</v>
      </c>
      <c r="O502" s="24"/>
      <c r="P502" s="134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6"/>
    </row>
    <row r="503" spans="2:29" ht="12" customHeight="1">
      <c r="C503" s="25"/>
      <c r="F503" s="1"/>
      <c r="G503" s="5"/>
      <c r="O503" s="24"/>
      <c r="P503" s="15">
        <v>2011</v>
      </c>
      <c r="Q503" s="16"/>
      <c r="R503" s="16">
        <f>P503+1</f>
        <v>2012</v>
      </c>
      <c r="S503" s="16">
        <f>R503+1</f>
        <v>2013</v>
      </c>
      <c r="T503" s="16">
        <f>S503+1</f>
        <v>2014</v>
      </c>
      <c r="U503" s="16">
        <f>T503+1</f>
        <v>2015</v>
      </c>
      <c r="V503" s="16">
        <f>U503+1</f>
        <v>2016</v>
      </c>
      <c r="W503" s="16"/>
      <c r="X503" s="17">
        <f>V503+1</f>
        <v>2017</v>
      </c>
      <c r="Y503" s="17">
        <f>X503+1</f>
        <v>2018</v>
      </c>
      <c r="Z503" s="17">
        <f>Y503+1</f>
        <v>2019</v>
      </c>
      <c r="AA503" s="17">
        <f>Z503+1</f>
        <v>2020</v>
      </c>
      <c r="AB503" s="17">
        <f>AA503+1</f>
        <v>2021</v>
      </c>
      <c r="AC503" s="24"/>
    </row>
    <row r="504" spans="2:29" ht="4" customHeight="1"/>
    <row r="505" spans="2:29" ht="12" customHeight="1">
      <c r="D505" s="242">
        <v>1</v>
      </c>
      <c r="E505" s="125" t="s">
        <v>209</v>
      </c>
      <c r="F505" s="125" t="s">
        <v>210</v>
      </c>
      <c r="G505" s="145"/>
      <c r="H505" s="150"/>
      <c r="I505" s="151"/>
      <c r="J505" s="3"/>
      <c r="K505" s="295">
        <v>4</v>
      </c>
      <c r="L505" s="201"/>
      <c r="M505" s="30"/>
      <c r="N505" s="87"/>
      <c r="O505" s="32"/>
      <c r="P505" s="33"/>
      <c r="Q505" s="30"/>
      <c r="R505" s="34"/>
      <c r="S505" s="35">
        <f>K505</f>
        <v>4</v>
      </c>
      <c r="T505" s="35"/>
      <c r="U505" s="35"/>
      <c r="V505" s="36"/>
      <c r="W505" s="30"/>
      <c r="X505" s="37"/>
      <c r="Y505" s="38"/>
      <c r="Z505" s="38"/>
      <c r="AA505" s="38"/>
      <c r="AB505" s="39"/>
    </row>
    <row r="506" spans="2:29" ht="12" customHeight="1">
      <c r="D506" s="243">
        <v>2</v>
      </c>
      <c r="E506" s="126" t="s">
        <v>222</v>
      </c>
      <c r="F506" s="126" t="s">
        <v>223</v>
      </c>
      <c r="G506" s="146"/>
      <c r="H506" s="152"/>
      <c r="I506" s="153"/>
      <c r="J506" s="3"/>
      <c r="K506" s="296">
        <v>2</v>
      </c>
      <c r="L506" s="201"/>
      <c r="M506" s="30"/>
      <c r="N506" s="101"/>
      <c r="O506" s="32"/>
      <c r="P506" s="45"/>
      <c r="Q506" s="30"/>
      <c r="R506" s="46"/>
      <c r="S506" s="47">
        <f>K506</f>
        <v>2</v>
      </c>
      <c r="T506" s="47"/>
      <c r="U506" s="47"/>
      <c r="V506" s="48"/>
      <c r="W506" s="30"/>
      <c r="X506" s="49"/>
      <c r="Y506" s="50"/>
      <c r="Z506" s="50"/>
      <c r="AA506" s="50"/>
      <c r="AB506" s="51"/>
    </row>
    <row r="507" spans="2:29" ht="12" customHeight="1">
      <c r="D507" s="243">
        <v>3</v>
      </c>
      <c r="E507" s="126" t="s">
        <v>211</v>
      </c>
      <c r="F507" s="126" t="s">
        <v>26</v>
      </c>
      <c r="G507" s="146"/>
      <c r="H507" s="152"/>
      <c r="I507" s="153"/>
      <c r="J507" s="3"/>
      <c r="K507" s="44">
        <v>2</v>
      </c>
      <c r="L507" s="201"/>
      <c r="M507" s="30"/>
      <c r="N507" s="53"/>
      <c r="O507" s="32"/>
      <c r="P507" s="45"/>
      <c r="Q507" s="30"/>
      <c r="R507" s="46"/>
      <c r="S507" s="47">
        <f t="shared" ref="S507" si="89">K507</f>
        <v>2</v>
      </c>
      <c r="T507" s="47"/>
      <c r="U507" s="47"/>
      <c r="V507" s="48"/>
      <c r="W507" s="30"/>
      <c r="X507" s="49"/>
      <c r="Y507" s="50"/>
      <c r="Z507" s="50"/>
      <c r="AA507" s="50"/>
      <c r="AB507" s="51"/>
    </row>
    <row r="508" spans="2:29" ht="12" customHeight="1">
      <c r="D508" s="244">
        <v>4</v>
      </c>
      <c r="E508" s="127" t="s">
        <v>212</v>
      </c>
      <c r="F508" s="127" t="s">
        <v>26</v>
      </c>
      <c r="G508" s="147"/>
      <c r="H508" s="154"/>
      <c r="I508" s="155"/>
      <c r="J508" s="3"/>
      <c r="K508" s="297">
        <v>4</v>
      </c>
      <c r="L508" s="201"/>
      <c r="M508" s="30"/>
      <c r="N508" s="53"/>
      <c r="O508" s="32"/>
      <c r="P508" s="45"/>
      <c r="Q508" s="30"/>
      <c r="R508" s="46"/>
      <c r="S508" s="47">
        <f>K508</f>
        <v>4</v>
      </c>
      <c r="T508" s="47"/>
      <c r="U508" s="47"/>
      <c r="V508" s="48"/>
      <c r="W508" s="30"/>
      <c r="X508" s="49"/>
      <c r="Y508" s="50"/>
      <c r="Z508" s="50"/>
      <c r="AA508" s="50"/>
      <c r="AB508" s="51"/>
    </row>
    <row r="509" spans="2:29" s="67" customFormat="1" ht="15" customHeight="1">
      <c r="B509" s="54"/>
      <c r="C509" s="55"/>
      <c r="D509" s="133"/>
      <c r="E509" s="124"/>
      <c r="F509" s="128" t="s">
        <v>2</v>
      </c>
      <c r="G509" s="129"/>
      <c r="H509" s="148"/>
      <c r="I509" s="149"/>
      <c r="J509" s="61"/>
      <c r="K509" s="29">
        <f>SUM(K505:K508)</f>
        <v>12</v>
      </c>
      <c r="L509" s="205"/>
      <c r="M509" s="62"/>
      <c r="N509" s="31"/>
      <c r="O509" s="61"/>
      <c r="P509" s="63"/>
      <c r="Q509" s="62"/>
      <c r="R509" s="64">
        <f>SUM(R505:R508)</f>
        <v>0</v>
      </c>
      <c r="S509" s="64">
        <f>SUM(S505:S508)</f>
        <v>12</v>
      </c>
      <c r="T509" s="64">
        <f>SUM(T505:T508)</f>
        <v>0</v>
      </c>
      <c r="U509" s="64">
        <f>SUM(U505:U508)</f>
        <v>0</v>
      </c>
      <c r="V509" s="64">
        <f>SUM(V505:V508)</f>
        <v>0</v>
      </c>
      <c r="W509" s="62"/>
      <c r="X509" s="65"/>
      <c r="Y509" s="59"/>
      <c r="Z509" s="59"/>
      <c r="AA509" s="59"/>
      <c r="AB509" s="66"/>
    </row>
    <row r="510" spans="2:29" ht="9" customHeight="1"/>
    <row r="511" spans="2:29" ht="14.15" customHeight="1">
      <c r="L511" s="1"/>
      <c r="O511" s="24"/>
      <c r="P511" s="84" t="s">
        <v>10</v>
      </c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  <c r="AB511" s="222"/>
    </row>
    <row r="512" spans="2:29" ht="15" customHeight="1">
      <c r="E512" s="26" t="s">
        <v>28</v>
      </c>
      <c r="K512" s="137" t="s">
        <v>67</v>
      </c>
      <c r="L512" s="211" t="s">
        <v>66</v>
      </c>
      <c r="M512" s="24"/>
      <c r="N512" s="212" t="s">
        <v>11</v>
      </c>
      <c r="O512" s="24"/>
      <c r="P512" s="137">
        <v>2011</v>
      </c>
      <c r="Q512" s="5"/>
      <c r="R512" s="137">
        <f>P512+1</f>
        <v>2012</v>
      </c>
      <c r="S512" s="137">
        <f>R512+1</f>
        <v>2013</v>
      </c>
      <c r="T512" s="137">
        <f>S512+1</f>
        <v>2014</v>
      </c>
      <c r="U512" s="137">
        <f>T512+1</f>
        <v>2015</v>
      </c>
      <c r="V512" s="137">
        <f>U512+1</f>
        <v>2016</v>
      </c>
      <c r="W512" s="5"/>
      <c r="X512" s="139">
        <f>V512+1</f>
        <v>2017</v>
      </c>
      <c r="Y512" s="139">
        <f>X512+1</f>
        <v>2018</v>
      </c>
      <c r="Z512" s="139">
        <f>Y512+1</f>
        <v>2019</v>
      </c>
      <c r="AA512" s="139">
        <f>Z512+1</f>
        <v>2020</v>
      </c>
      <c r="AB512" s="139">
        <f>AA512+1</f>
        <v>2021</v>
      </c>
    </row>
    <row r="513" spans="2:28" ht="4.5" customHeight="1"/>
    <row r="514" spans="2:28" ht="12" customHeight="1">
      <c r="D514" s="242">
        <v>1</v>
      </c>
      <c r="E514" s="125" t="s">
        <v>209</v>
      </c>
      <c r="F514" s="125" t="s">
        <v>213</v>
      </c>
      <c r="G514" s="299">
        <f>(3*1+2.5)/4</f>
        <v>1.375</v>
      </c>
      <c r="H514" s="78" t="s">
        <v>12</v>
      </c>
      <c r="I514" s="79" t="s">
        <v>13</v>
      </c>
      <c r="J514" s="3"/>
      <c r="K514" s="80">
        <f>K505</f>
        <v>4</v>
      </c>
      <c r="L514" s="225" t="s">
        <v>13</v>
      </c>
      <c r="M514" s="30"/>
      <c r="N514" s="156">
        <f>G514*K514</f>
        <v>5.5</v>
      </c>
      <c r="O514" s="32"/>
      <c r="P514" s="33"/>
      <c r="Q514" s="30"/>
      <c r="R514" s="81">
        <f t="shared" ref="R514:V517" si="90">$G514*R505</f>
        <v>0</v>
      </c>
      <c r="S514" s="81">
        <f t="shared" si="90"/>
        <v>5.5</v>
      </c>
      <c r="T514" s="81">
        <f t="shared" si="90"/>
        <v>0</v>
      </c>
      <c r="U514" s="81">
        <f t="shared" si="90"/>
        <v>0</v>
      </c>
      <c r="V514" s="81">
        <f t="shared" si="90"/>
        <v>0</v>
      </c>
      <c r="W514" s="30"/>
      <c r="X514" s="37"/>
      <c r="Y514" s="38"/>
      <c r="Z514" s="38"/>
      <c r="AA514" s="38"/>
      <c r="AB514" s="39"/>
    </row>
    <row r="515" spans="2:28" ht="12" customHeight="1">
      <c r="D515" s="243">
        <v>2</v>
      </c>
      <c r="E515" s="126" t="s">
        <v>222</v>
      </c>
      <c r="F515" s="126" t="s">
        <v>214</v>
      </c>
      <c r="G515" s="300">
        <f>(2.3+2.7)/2</f>
        <v>2.5</v>
      </c>
      <c r="H515" s="42" t="s">
        <v>12</v>
      </c>
      <c r="I515" s="43" t="s">
        <v>13</v>
      </c>
      <c r="J515" s="3"/>
      <c r="K515" s="52">
        <f>K506</f>
        <v>2</v>
      </c>
      <c r="L515" s="226" t="s">
        <v>13</v>
      </c>
      <c r="M515" s="30"/>
      <c r="N515" s="157">
        <f>G515*K515</f>
        <v>5</v>
      </c>
      <c r="O515" s="32"/>
      <c r="P515" s="45"/>
      <c r="Q515" s="30"/>
      <c r="R515" s="81">
        <f t="shared" si="90"/>
        <v>0</v>
      </c>
      <c r="S515" s="81">
        <f t="shared" si="90"/>
        <v>5</v>
      </c>
      <c r="T515" s="81">
        <f t="shared" si="90"/>
        <v>0</v>
      </c>
      <c r="U515" s="81">
        <f t="shared" si="90"/>
        <v>0</v>
      </c>
      <c r="V515" s="81">
        <f t="shared" si="90"/>
        <v>0</v>
      </c>
      <c r="W515" s="30"/>
      <c r="X515" s="49"/>
      <c r="Y515" s="50"/>
      <c r="Z515" s="50"/>
      <c r="AA515" s="50"/>
      <c r="AB515" s="51"/>
    </row>
    <row r="516" spans="2:28" ht="12" customHeight="1">
      <c r="D516" s="243">
        <v>3</v>
      </c>
      <c r="E516" s="126" t="s">
        <v>211</v>
      </c>
      <c r="F516" s="126" t="s">
        <v>26</v>
      </c>
      <c r="G516" s="300">
        <f>(17.5+22)/2</f>
        <v>19.75</v>
      </c>
      <c r="H516" s="42" t="s">
        <v>12</v>
      </c>
      <c r="I516" s="43" t="s">
        <v>13</v>
      </c>
      <c r="J516" s="3"/>
      <c r="K516" s="52">
        <f>K507</f>
        <v>2</v>
      </c>
      <c r="L516" s="226" t="s">
        <v>13</v>
      </c>
      <c r="M516" s="30"/>
      <c r="N516" s="157">
        <f>G516*K516</f>
        <v>39.5</v>
      </c>
      <c r="O516" s="32"/>
      <c r="P516" s="45"/>
      <c r="Q516" s="30"/>
      <c r="R516" s="81">
        <f t="shared" si="90"/>
        <v>0</v>
      </c>
      <c r="S516" s="81">
        <f t="shared" si="90"/>
        <v>39.5</v>
      </c>
      <c r="T516" s="81">
        <f t="shared" si="90"/>
        <v>0</v>
      </c>
      <c r="U516" s="81">
        <f t="shared" si="90"/>
        <v>0</v>
      </c>
      <c r="V516" s="81">
        <f t="shared" si="90"/>
        <v>0</v>
      </c>
      <c r="W516" s="30"/>
      <c r="X516" s="49"/>
      <c r="Y516" s="50"/>
      <c r="Z516" s="50"/>
      <c r="AA516" s="50"/>
      <c r="AB516" s="51"/>
    </row>
    <row r="517" spans="2:28" ht="12" customHeight="1">
      <c r="D517" s="244">
        <v>4</v>
      </c>
      <c r="E517" s="127" t="s">
        <v>212</v>
      </c>
      <c r="F517" s="127" t="s">
        <v>26</v>
      </c>
      <c r="G517" s="300">
        <f>(3*13.7+11.8)/4</f>
        <v>13.224999999999998</v>
      </c>
      <c r="H517" s="42" t="s">
        <v>12</v>
      </c>
      <c r="I517" s="43" t="s">
        <v>13</v>
      </c>
      <c r="J517" s="3"/>
      <c r="K517" s="52">
        <f>K508</f>
        <v>4</v>
      </c>
      <c r="L517" s="227" t="s">
        <v>13</v>
      </c>
      <c r="M517" s="30"/>
      <c r="N517" s="157">
        <f>G517*K517</f>
        <v>52.899999999999991</v>
      </c>
      <c r="O517" s="32"/>
      <c r="P517" s="45"/>
      <c r="Q517" s="30"/>
      <c r="R517" s="81">
        <f t="shared" si="90"/>
        <v>0</v>
      </c>
      <c r="S517" s="81">
        <f t="shared" si="90"/>
        <v>52.899999999999991</v>
      </c>
      <c r="T517" s="81">
        <f t="shared" si="90"/>
        <v>0</v>
      </c>
      <c r="U517" s="81">
        <f t="shared" si="90"/>
        <v>0</v>
      </c>
      <c r="V517" s="81">
        <f t="shared" si="90"/>
        <v>0</v>
      </c>
      <c r="W517" s="30"/>
      <c r="X517" s="49"/>
      <c r="Y517" s="50"/>
      <c r="Z517" s="50"/>
      <c r="AA517" s="50"/>
      <c r="AB517" s="51"/>
    </row>
    <row r="518" spans="2:28" s="67" customFormat="1" ht="15" customHeight="1">
      <c r="B518" s="54"/>
      <c r="C518" s="55"/>
      <c r="D518" s="133"/>
      <c r="E518" s="56"/>
      <c r="F518" s="57" t="s">
        <v>14</v>
      </c>
      <c r="G518" s="58"/>
      <c r="H518" s="59"/>
      <c r="I518" s="60"/>
      <c r="J518" s="61"/>
      <c r="K518" s="82"/>
      <c r="L518" s="206"/>
      <c r="M518" s="62"/>
      <c r="N518" s="180">
        <f>SUM(N514:N517)</f>
        <v>102.89999999999999</v>
      </c>
      <c r="O518" s="61"/>
      <c r="P518" s="63"/>
      <c r="Q518" s="62"/>
      <c r="R518" s="83">
        <f>SUM(R514:R517)</f>
        <v>0</v>
      </c>
      <c r="S518" s="83">
        <f>SUM(S514:S517)</f>
        <v>102.89999999999999</v>
      </c>
      <c r="T518" s="83">
        <f>SUM(T514:T517)</f>
        <v>0</v>
      </c>
      <c r="U518" s="83">
        <f>SUM(U514:U517)</f>
        <v>0</v>
      </c>
      <c r="V518" s="83">
        <f>SUM(V514:V517)</f>
        <v>0</v>
      </c>
      <c r="W518" s="62"/>
      <c r="X518" s="65"/>
      <c r="Y518" s="59"/>
      <c r="Z518" s="59"/>
      <c r="AA518" s="59"/>
      <c r="AB518" s="66"/>
    </row>
    <row r="519" spans="2:28" ht="5.15" customHeight="1"/>
    <row r="520" spans="2:28" ht="20.149999999999999" customHeight="1">
      <c r="E520" s="26" t="s">
        <v>15</v>
      </c>
      <c r="F520" s="84" t="s">
        <v>16</v>
      </c>
      <c r="G520" s="85"/>
      <c r="H520" s="215" t="s">
        <v>4</v>
      </c>
      <c r="I520" s="232" t="s">
        <v>76</v>
      </c>
      <c r="K520" s="137" t="s">
        <v>67</v>
      </c>
      <c r="L520" s="211" t="s">
        <v>66</v>
      </c>
      <c r="N520" s="212" t="s">
        <v>11</v>
      </c>
      <c r="P520" s="73">
        <v>2011</v>
      </c>
      <c r="Q520" s="74"/>
      <c r="R520" s="75">
        <f>P520+1</f>
        <v>2012</v>
      </c>
      <c r="S520" s="75">
        <f>R520+1</f>
        <v>2013</v>
      </c>
      <c r="T520" s="75">
        <f>S520+1</f>
        <v>2014</v>
      </c>
      <c r="U520" s="75">
        <f>T520+1</f>
        <v>2015</v>
      </c>
      <c r="V520" s="75">
        <f>U520+1</f>
        <v>2016</v>
      </c>
      <c r="W520" s="74"/>
      <c r="X520" s="76">
        <f>V520+1</f>
        <v>2017</v>
      </c>
      <c r="Y520" s="76">
        <f>X520+1</f>
        <v>2018</v>
      </c>
      <c r="Z520" s="76">
        <f>Y520+1</f>
        <v>2019</v>
      </c>
      <c r="AA520" s="76">
        <f>Z520+1</f>
        <v>2020</v>
      </c>
      <c r="AB520" s="76">
        <f>AA520+1</f>
        <v>2021</v>
      </c>
    </row>
    <row r="521" spans="2:28" ht="4" customHeight="1"/>
    <row r="522" spans="2:28" ht="12" customHeight="1">
      <c r="C522" s="28"/>
      <c r="E522" s="77" t="s">
        <v>218</v>
      </c>
      <c r="F522" s="158" t="s">
        <v>219</v>
      </c>
      <c r="G522" s="86"/>
      <c r="H522" s="213" t="s">
        <v>71</v>
      </c>
      <c r="I522" s="216">
        <v>0.5</v>
      </c>
      <c r="J522" s="3"/>
      <c r="K522" s="298">
        <v>13</v>
      </c>
      <c r="L522" s="229" t="s">
        <v>73</v>
      </c>
      <c r="M522" s="30"/>
      <c r="N522" s="176">
        <f>I522*K522</f>
        <v>6.5</v>
      </c>
      <c r="O522" s="32"/>
      <c r="P522" s="88"/>
      <c r="Q522" s="30"/>
      <c r="R522" s="90"/>
      <c r="S522" s="91">
        <f>N522</f>
        <v>6.5</v>
      </c>
      <c r="T522" s="91"/>
      <c r="U522" s="91"/>
      <c r="V522" s="92"/>
      <c r="W522" s="30"/>
      <c r="X522" s="90"/>
      <c r="Y522" s="91"/>
      <c r="Z522" s="91"/>
      <c r="AA522" s="91"/>
      <c r="AB522" s="92"/>
    </row>
    <row r="523" spans="2:28" ht="12" customHeight="1">
      <c r="C523" s="28"/>
      <c r="E523" s="77" t="s">
        <v>215</v>
      </c>
      <c r="F523" s="158" t="s">
        <v>70</v>
      </c>
      <c r="G523" s="86"/>
      <c r="H523" s="213" t="s">
        <v>71</v>
      </c>
      <c r="I523" s="216">
        <v>0.25</v>
      </c>
      <c r="J523" s="3"/>
      <c r="K523" s="228">
        <v>5.7</v>
      </c>
      <c r="L523" s="229" t="s">
        <v>72</v>
      </c>
      <c r="M523" s="30"/>
      <c r="N523" s="176">
        <f>I523*K523</f>
        <v>1.425</v>
      </c>
      <c r="O523" s="32"/>
      <c r="P523" s="88"/>
      <c r="Q523" s="30"/>
      <c r="R523" s="90"/>
      <c r="S523" s="91">
        <f>N523</f>
        <v>1.425</v>
      </c>
      <c r="T523" s="91"/>
      <c r="U523" s="91"/>
      <c r="V523" s="92"/>
      <c r="W523" s="30"/>
      <c r="X523" s="90"/>
      <c r="Y523" s="91"/>
      <c r="Z523" s="91"/>
      <c r="AA523" s="91"/>
      <c r="AB523" s="92"/>
    </row>
    <row r="524" spans="2:28" ht="12" customHeight="1">
      <c r="C524" s="28"/>
      <c r="E524" s="105"/>
      <c r="F524" s="41" t="s">
        <v>17</v>
      </c>
      <c r="G524" s="93"/>
      <c r="H524" s="94"/>
      <c r="I524" s="217">
        <v>0.1</v>
      </c>
      <c r="J524" s="3"/>
      <c r="K524" s="174">
        <v>7</v>
      </c>
      <c r="L524" s="226" t="s">
        <v>73</v>
      </c>
      <c r="M524" s="30"/>
      <c r="N524" s="177">
        <f>I524*K524</f>
        <v>0.70000000000000007</v>
      </c>
      <c r="O524" s="32"/>
      <c r="P524" s="96"/>
      <c r="Q524" s="30"/>
      <c r="R524" s="97"/>
      <c r="S524" s="98">
        <f>N524</f>
        <v>0.70000000000000007</v>
      </c>
      <c r="T524" s="98"/>
      <c r="U524" s="98"/>
      <c r="V524" s="99"/>
      <c r="W524" s="30"/>
      <c r="X524" s="97"/>
      <c r="Y524" s="98"/>
      <c r="Z524" s="98"/>
      <c r="AA524" s="98"/>
      <c r="AB524" s="99"/>
    </row>
    <row r="525" spans="2:28" ht="12" customHeight="1">
      <c r="C525" s="28"/>
      <c r="E525" s="105" t="s">
        <v>216</v>
      </c>
      <c r="F525" s="41" t="s">
        <v>217</v>
      </c>
      <c r="G525" s="100"/>
      <c r="H525" s="94"/>
      <c r="I525" s="217">
        <f>0.25</f>
        <v>0.25</v>
      </c>
      <c r="J525" s="3"/>
      <c r="K525" s="200">
        <f>11*3</f>
        <v>33</v>
      </c>
      <c r="L525" s="230" t="s">
        <v>72</v>
      </c>
      <c r="M525" s="30"/>
      <c r="N525" s="177">
        <f>I525*K525</f>
        <v>8.25</v>
      </c>
      <c r="O525" s="32"/>
      <c r="P525" s="96"/>
      <c r="Q525" s="30"/>
      <c r="R525" s="257"/>
      <c r="S525" s="214">
        <f>N525</f>
        <v>8.25</v>
      </c>
      <c r="T525" s="214"/>
      <c r="U525" s="103"/>
      <c r="V525" s="104"/>
      <c r="W525" s="30"/>
      <c r="X525" s="102"/>
      <c r="Y525" s="103"/>
      <c r="Z525" s="103"/>
      <c r="AA525" s="103"/>
      <c r="AB525" s="104"/>
    </row>
    <row r="526" spans="2:28" ht="12" customHeight="1">
      <c r="C526" s="28"/>
      <c r="E526" s="105"/>
      <c r="F526" s="253" t="s">
        <v>17</v>
      </c>
      <c r="G526" s="100"/>
      <c r="H526" s="94"/>
      <c r="I526" s="217">
        <v>0.1</v>
      </c>
      <c r="J526" s="3"/>
      <c r="K526" s="174">
        <v>11</v>
      </c>
      <c r="L526" s="226" t="s">
        <v>73</v>
      </c>
      <c r="M526" s="30"/>
      <c r="N526" s="177">
        <f>I526*K526</f>
        <v>1.1000000000000001</v>
      </c>
      <c r="O526" s="32"/>
      <c r="P526" s="96"/>
      <c r="Q526" s="30"/>
      <c r="R526" s="257"/>
      <c r="S526" s="214">
        <f>N526</f>
        <v>1.1000000000000001</v>
      </c>
      <c r="T526" s="214"/>
      <c r="U526" s="103"/>
      <c r="V526" s="104"/>
      <c r="W526" s="30"/>
      <c r="X526" s="102"/>
      <c r="Y526" s="103"/>
      <c r="Z526" s="103"/>
      <c r="AA526" s="103"/>
      <c r="AB526" s="104"/>
    </row>
    <row r="527" spans="2:28" ht="12" customHeight="1">
      <c r="C527" s="28"/>
      <c r="E527" s="183" t="s">
        <v>131</v>
      </c>
      <c r="F527" s="186"/>
      <c r="G527" s="184"/>
      <c r="H527" s="94"/>
      <c r="I527" s="95"/>
      <c r="J527" s="3"/>
      <c r="K527" s="174"/>
      <c r="L527" s="201"/>
      <c r="M527" s="30"/>
      <c r="N527" s="177"/>
      <c r="O527" s="32"/>
      <c r="P527" s="96"/>
      <c r="Q527" s="30"/>
      <c r="R527" s="102"/>
      <c r="S527" s="103"/>
      <c r="T527" s="103"/>
      <c r="U527" s="103"/>
      <c r="V527" s="104"/>
      <c r="W527" s="30"/>
      <c r="X527" s="102"/>
      <c r="Y527" s="103"/>
      <c r="Z527" s="103"/>
      <c r="AA527" s="103"/>
      <c r="AB527" s="104"/>
    </row>
    <row r="528" spans="2:28" ht="15" customHeight="1">
      <c r="C528" s="28"/>
      <c r="E528" s="183" t="s">
        <v>111</v>
      </c>
      <c r="F528" s="186"/>
      <c r="G528" s="184"/>
      <c r="H528" s="94"/>
      <c r="I528" s="95"/>
      <c r="J528" s="3"/>
      <c r="K528" s="174"/>
      <c r="L528" s="201"/>
      <c r="M528" s="30"/>
      <c r="N528" s="177"/>
      <c r="O528" s="32"/>
      <c r="P528" s="96"/>
      <c r="Q528" s="30"/>
      <c r="R528" s="102"/>
      <c r="S528" s="103"/>
      <c r="T528" s="103"/>
      <c r="U528" s="103"/>
      <c r="V528" s="104"/>
      <c r="W528" s="30"/>
      <c r="X528" s="102"/>
      <c r="Y528" s="103"/>
      <c r="Z528" s="103"/>
      <c r="AA528" s="103"/>
      <c r="AB528" s="104"/>
    </row>
    <row r="529" spans="2:28" ht="12" customHeight="1">
      <c r="C529" s="28"/>
      <c r="E529" s="107" t="s">
        <v>42</v>
      </c>
      <c r="F529" s="254" t="s">
        <v>136</v>
      </c>
      <c r="G529" s="185"/>
      <c r="H529" s="94" t="s">
        <v>18</v>
      </c>
      <c r="I529" s="43">
        <v>7</v>
      </c>
      <c r="J529" s="3"/>
      <c r="K529" s="174">
        <v>1</v>
      </c>
      <c r="L529" s="201"/>
      <c r="M529" s="30"/>
      <c r="N529" s="178">
        <f>I529*K529</f>
        <v>7</v>
      </c>
      <c r="O529" s="32"/>
      <c r="P529" s="96"/>
      <c r="Q529" s="30"/>
      <c r="R529" s="257">
        <f>0.1*N529</f>
        <v>0.70000000000000007</v>
      </c>
      <c r="S529" s="214">
        <f t="shared" ref="S529:S530" si="91">0.5*N529</f>
        <v>3.5</v>
      </c>
      <c r="T529" s="214">
        <f>0.4*N529</f>
        <v>2.8000000000000003</v>
      </c>
      <c r="U529" s="103"/>
      <c r="V529" s="104"/>
      <c r="W529" s="30"/>
      <c r="X529" s="102"/>
      <c r="Y529" s="103"/>
      <c r="Z529" s="103"/>
      <c r="AA529" s="103"/>
      <c r="AB529" s="104"/>
    </row>
    <row r="530" spans="2:28" ht="12" customHeight="1">
      <c r="C530" s="28"/>
      <c r="E530" s="107" t="s">
        <v>112</v>
      </c>
      <c r="F530" s="248" t="s">
        <v>130</v>
      </c>
      <c r="G530" s="184"/>
      <c r="H530" s="94" t="s">
        <v>18</v>
      </c>
      <c r="I530" s="43">
        <v>0.12</v>
      </c>
      <c r="J530" s="3"/>
      <c r="K530" s="200">
        <f>33*10</f>
        <v>330</v>
      </c>
      <c r="L530" s="204"/>
      <c r="M530" s="30"/>
      <c r="N530" s="177">
        <f>I530*K530</f>
        <v>39.6</v>
      </c>
      <c r="O530" s="32"/>
      <c r="P530" s="96"/>
      <c r="Q530" s="30"/>
      <c r="R530" s="257">
        <f t="shared" ref="R530" si="92">0.1*N530</f>
        <v>3.9600000000000004</v>
      </c>
      <c r="S530" s="214">
        <f t="shared" si="91"/>
        <v>19.8</v>
      </c>
      <c r="T530" s="214">
        <f t="shared" ref="T530" si="93">0.4*N530</f>
        <v>15.840000000000002</v>
      </c>
      <c r="U530" s="103"/>
      <c r="V530" s="104"/>
      <c r="W530" s="30"/>
      <c r="X530" s="102"/>
      <c r="Y530" s="103"/>
      <c r="Z530" s="103"/>
      <c r="AA530" s="103"/>
      <c r="AB530" s="104"/>
    </row>
    <row r="531" spans="2:28" ht="12" customHeight="1">
      <c r="C531" s="28"/>
      <c r="E531" s="245" t="s">
        <v>44</v>
      </c>
      <c r="F531" s="246"/>
      <c r="G531" s="184"/>
      <c r="H531" s="94"/>
      <c r="I531" s="43"/>
      <c r="J531" s="3"/>
      <c r="K531" s="200"/>
      <c r="L531" s="204"/>
      <c r="M531" s="30"/>
      <c r="N531" s="177"/>
      <c r="O531" s="32"/>
      <c r="P531" s="96"/>
      <c r="Q531" s="30"/>
      <c r="R531" s="257"/>
      <c r="S531" s="214"/>
      <c r="T531" s="214"/>
      <c r="U531" s="103"/>
      <c r="V531" s="104"/>
      <c r="W531" s="30"/>
      <c r="X531" s="102"/>
      <c r="Y531" s="103"/>
      <c r="Z531" s="103"/>
      <c r="AA531" s="103"/>
      <c r="AB531" s="104"/>
    </row>
    <row r="532" spans="2:28" ht="12" customHeight="1">
      <c r="C532" s="28"/>
      <c r="E532" s="107" t="s">
        <v>44</v>
      </c>
      <c r="F532" s="247" t="s">
        <v>46</v>
      </c>
      <c r="G532" s="184"/>
      <c r="H532" s="94" t="s">
        <v>18</v>
      </c>
      <c r="I532" s="43">
        <v>65</v>
      </c>
      <c r="J532" s="3"/>
      <c r="K532" s="174">
        <v>1</v>
      </c>
      <c r="L532" s="226"/>
      <c r="M532" s="30"/>
      <c r="N532" s="178">
        <f>I532*K532</f>
        <v>65</v>
      </c>
      <c r="O532" s="32"/>
      <c r="P532" s="96"/>
      <c r="Q532" s="30"/>
      <c r="R532" s="257">
        <f t="shared" ref="R532:R535" si="94">0.1*N532</f>
        <v>6.5</v>
      </c>
      <c r="S532" s="214">
        <f t="shared" ref="S532:S535" si="95">0.5*N532</f>
        <v>32.5</v>
      </c>
      <c r="T532" s="214">
        <f t="shared" ref="T532:T535" si="96">0.4*N532</f>
        <v>26</v>
      </c>
      <c r="U532" s="103"/>
      <c r="V532" s="104"/>
      <c r="W532" s="30"/>
      <c r="X532" s="102"/>
      <c r="Y532" s="103"/>
      <c r="Z532" s="103"/>
      <c r="AA532" s="103"/>
      <c r="AB532" s="104"/>
    </row>
    <row r="533" spans="2:28" ht="12" customHeight="1">
      <c r="C533" s="28"/>
      <c r="E533" s="107"/>
      <c r="F533" s="247" t="s">
        <v>110</v>
      </c>
      <c r="G533" s="184"/>
      <c r="H533" s="94" t="s">
        <v>18</v>
      </c>
      <c r="I533" s="43">
        <v>0.12</v>
      </c>
      <c r="J533" s="3"/>
      <c r="K533" s="200">
        <f>44*10</f>
        <v>440</v>
      </c>
      <c r="L533" s="230" t="s">
        <v>75</v>
      </c>
      <c r="M533" s="30"/>
      <c r="N533" s="177">
        <f>I533*K533</f>
        <v>52.8</v>
      </c>
      <c r="O533" s="32"/>
      <c r="P533" s="96"/>
      <c r="Q533" s="30"/>
      <c r="R533" s="257">
        <f t="shared" si="94"/>
        <v>5.28</v>
      </c>
      <c r="S533" s="214">
        <f t="shared" si="95"/>
        <v>26.4</v>
      </c>
      <c r="T533" s="214">
        <f t="shared" si="96"/>
        <v>21.12</v>
      </c>
      <c r="U533" s="103"/>
      <c r="V533" s="104"/>
      <c r="W533" s="30"/>
      <c r="X533" s="102"/>
      <c r="Y533" s="103"/>
      <c r="Z533" s="103"/>
      <c r="AA533" s="103"/>
      <c r="AB533" s="104"/>
    </row>
    <row r="534" spans="2:28" ht="12" customHeight="1">
      <c r="C534" s="28"/>
      <c r="E534" s="107" t="s">
        <v>48</v>
      </c>
      <c r="F534" s="247" t="s">
        <v>57</v>
      </c>
      <c r="G534" s="184"/>
      <c r="H534" s="94"/>
      <c r="I534" s="43">
        <v>0.12</v>
      </c>
      <c r="J534" s="3"/>
      <c r="K534" s="200">
        <f>30*12</f>
        <v>360</v>
      </c>
      <c r="L534" s="230" t="s">
        <v>75</v>
      </c>
      <c r="M534" s="30"/>
      <c r="N534" s="177">
        <f>I534*K534</f>
        <v>43.199999999999996</v>
      </c>
      <c r="O534" s="32"/>
      <c r="P534" s="96"/>
      <c r="Q534" s="30"/>
      <c r="R534" s="257">
        <f t="shared" si="94"/>
        <v>4.3199999999999994</v>
      </c>
      <c r="S534" s="214">
        <f t="shared" si="95"/>
        <v>21.599999999999998</v>
      </c>
      <c r="T534" s="214">
        <f t="shared" si="96"/>
        <v>17.279999999999998</v>
      </c>
      <c r="U534" s="103"/>
      <c r="V534" s="104"/>
      <c r="W534" s="30"/>
      <c r="X534" s="102"/>
      <c r="Y534" s="103"/>
      <c r="Z534" s="103"/>
      <c r="AA534" s="103"/>
      <c r="AB534" s="104"/>
    </row>
    <row r="535" spans="2:28" ht="12" customHeight="1">
      <c r="C535" s="28"/>
      <c r="E535" s="189" t="s">
        <v>59</v>
      </c>
      <c r="F535" s="256" t="s">
        <v>139</v>
      </c>
      <c r="G535" s="190"/>
      <c r="H535" s="94"/>
      <c r="I535" s="43"/>
      <c r="J535" s="3"/>
      <c r="K535" s="175"/>
      <c r="L535" s="231"/>
      <c r="M535" s="30"/>
      <c r="N535" s="234">
        <f>SUM(N522:N534)*0.1</f>
        <v>22.557500000000001</v>
      </c>
      <c r="O535" s="32"/>
      <c r="P535" s="109"/>
      <c r="Q535" s="30"/>
      <c r="R535" s="258">
        <f t="shared" si="94"/>
        <v>2.2557500000000004</v>
      </c>
      <c r="S535" s="259">
        <f t="shared" si="95"/>
        <v>11.27875</v>
      </c>
      <c r="T535" s="259">
        <f t="shared" si="96"/>
        <v>9.0230000000000015</v>
      </c>
      <c r="U535" s="111"/>
      <c r="V535" s="112"/>
      <c r="W535" s="30"/>
      <c r="X535" s="110"/>
      <c r="Y535" s="111"/>
      <c r="Z535" s="111"/>
      <c r="AA535" s="111"/>
      <c r="AB535" s="112"/>
    </row>
    <row r="536" spans="2:28" ht="4" customHeight="1">
      <c r="E536" s="3"/>
      <c r="J536" s="3"/>
    </row>
    <row r="537" spans="2:28" ht="15" customHeight="1">
      <c r="F537" s="113" t="s">
        <v>19</v>
      </c>
      <c r="G537" s="114"/>
      <c r="H537" s="114"/>
      <c r="I537" s="85"/>
      <c r="K537" s="22"/>
      <c r="L537" s="207"/>
      <c r="M537" s="20"/>
      <c r="N537" s="179">
        <f>SUM(N522:N535)</f>
        <v>248.13249999999999</v>
      </c>
      <c r="O537" s="20"/>
      <c r="P537" s="22"/>
      <c r="Q537" s="20"/>
      <c r="R537" s="180">
        <f>SUM(R523:R535)</f>
        <v>23.015750000000001</v>
      </c>
      <c r="S537" s="181">
        <f>SUM(S523:S535)</f>
        <v>126.55375000000001</v>
      </c>
      <c r="T537" s="181">
        <f>SUM(T523:T535)</f>
        <v>92.063000000000002</v>
      </c>
      <c r="U537" s="182">
        <f>SUM(U523:U535)</f>
        <v>0</v>
      </c>
      <c r="V537" s="180">
        <f>SUM(V523:V535)</f>
        <v>0</v>
      </c>
      <c r="W537" s="115"/>
      <c r="X537" s="160">
        <f>SUM(X523:X535)</f>
        <v>0</v>
      </c>
      <c r="Y537" s="161">
        <f>SUM(Y523:Y535)</f>
        <v>0</v>
      </c>
      <c r="Z537" s="161">
        <f>SUM(Z523:Z535)</f>
        <v>0</v>
      </c>
      <c r="AA537" s="161">
        <f>SUM(AA523:AA535)</f>
        <v>0</v>
      </c>
      <c r="AB537" s="161">
        <f>SUM(AB523:AB535)</f>
        <v>0</v>
      </c>
    </row>
    <row r="538" spans="2:28" ht="10" customHeight="1">
      <c r="F538" s="192"/>
      <c r="G538" s="193"/>
      <c r="H538" s="193"/>
      <c r="I538" s="193"/>
      <c r="K538" s="168"/>
      <c r="L538" s="20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94"/>
      <c r="X538" s="195"/>
      <c r="Y538" s="195"/>
      <c r="Z538" s="195"/>
      <c r="AA538" s="195"/>
      <c r="AB538" s="195"/>
    </row>
    <row r="539" spans="2:28" ht="15" customHeight="1">
      <c r="B539" s="164" t="s">
        <v>109</v>
      </c>
      <c r="C539" s="6"/>
      <c r="E539" s="116" t="s">
        <v>20</v>
      </c>
    </row>
    <row r="540" spans="2:28" ht="15" customHeight="1">
      <c r="B540" s="6"/>
      <c r="C540" s="9"/>
      <c r="E540" s="9" t="s">
        <v>126</v>
      </c>
      <c r="F540" s="237"/>
      <c r="K540" s="333" t="s">
        <v>9</v>
      </c>
      <c r="L540" s="334"/>
      <c r="M540" s="334"/>
      <c r="N540" s="335"/>
      <c r="O540" s="24"/>
      <c r="P540" s="68" t="s">
        <v>10</v>
      </c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70"/>
    </row>
    <row r="541" spans="2:28" ht="15" customHeight="1">
      <c r="E541" s="26" t="s">
        <v>21</v>
      </c>
      <c r="F541" s="84" t="s">
        <v>22</v>
      </c>
      <c r="G541" s="85"/>
      <c r="H541" s="73" t="s">
        <v>4</v>
      </c>
      <c r="I541" s="75" t="s">
        <v>23</v>
      </c>
      <c r="K541" s="71"/>
      <c r="M541" s="24"/>
      <c r="N541" s="72" t="s">
        <v>11</v>
      </c>
      <c r="O541" s="24"/>
      <c r="P541" s="73">
        <v>2011</v>
      </c>
      <c r="Q541" s="74"/>
      <c r="R541" s="75">
        <f>P541+1</f>
        <v>2012</v>
      </c>
      <c r="S541" s="75">
        <f>R541+1</f>
        <v>2013</v>
      </c>
      <c r="T541" s="75">
        <f>S541+1</f>
        <v>2014</v>
      </c>
      <c r="U541" s="75">
        <f>T541+1</f>
        <v>2015</v>
      </c>
      <c r="V541" s="75">
        <f>U541+1</f>
        <v>2016</v>
      </c>
      <c r="W541" s="74"/>
      <c r="X541" s="76">
        <f>V541+1</f>
        <v>2017</v>
      </c>
      <c r="Y541" s="76">
        <f>X541+1</f>
        <v>2018</v>
      </c>
      <c r="Z541" s="76">
        <f>Y541+1</f>
        <v>2019</v>
      </c>
      <c r="AA541" s="76">
        <f>Z541+1</f>
        <v>2020</v>
      </c>
      <c r="AB541" s="76">
        <f>AA541+1</f>
        <v>2021</v>
      </c>
    </row>
    <row r="542" spans="2:28" ht="4" customHeight="1"/>
    <row r="543" spans="2:28" ht="12" customHeight="1">
      <c r="C543" s="28"/>
      <c r="E543" s="77" t="s">
        <v>3</v>
      </c>
      <c r="F543" s="197" t="s">
        <v>224</v>
      </c>
      <c r="G543" s="117"/>
      <c r="H543" s="73"/>
      <c r="I543" s="75"/>
      <c r="J543" s="3"/>
      <c r="K543" s="87"/>
      <c r="L543" s="204"/>
      <c r="M543" s="30"/>
      <c r="N543" s="176">
        <f>N518</f>
        <v>102.89999999999999</v>
      </c>
      <c r="O543" s="32"/>
      <c r="P543" s="88"/>
      <c r="Q543" s="30"/>
      <c r="R543" s="89">
        <f>R518</f>
        <v>0</v>
      </c>
      <c r="S543" s="89">
        <f>S518</f>
        <v>102.89999999999999</v>
      </c>
      <c r="T543" s="89">
        <f>T518</f>
        <v>0</v>
      </c>
      <c r="U543" s="89">
        <f>U518</f>
        <v>0</v>
      </c>
      <c r="V543" s="220">
        <f>V518</f>
        <v>0</v>
      </c>
      <c r="X543" s="199"/>
      <c r="Y543" s="118"/>
      <c r="Z543" s="118"/>
      <c r="AA543" s="118"/>
      <c r="AB543" s="119"/>
    </row>
    <row r="544" spans="2:28" ht="12" customHeight="1">
      <c r="C544" s="28"/>
      <c r="E544" s="105" t="s">
        <v>218</v>
      </c>
      <c r="F544" s="41" t="s">
        <v>221</v>
      </c>
      <c r="G544" s="100"/>
      <c r="H544" s="94"/>
      <c r="I544" s="43"/>
      <c r="J544" s="3"/>
      <c r="K544" s="101"/>
      <c r="L544" s="204"/>
      <c r="M544" s="30"/>
      <c r="N544" s="178">
        <f>N522</f>
        <v>6.5</v>
      </c>
      <c r="O544" s="32"/>
      <c r="P544" s="96"/>
      <c r="Q544" s="30"/>
      <c r="R544" s="157">
        <f>SUM(R518:R521)</f>
        <v>2012</v>
      </c>
      <c r="S544" s="157">
        <f t="shared" ref="S544:V544" si="97">SUM(S518:S521)</f>
        <v>2115.9</v>
      </c>
      <c r="T544" s="157">
        <f t="shared" si="97"/>
        <v>2014</v>
      </c>
      <c r="U544" s="157">
        <f t="shared" si="97"/>
        <v>2015</v>
      </c>
      <c r="V544" s="157">
        <f t="shared" si="97"/>
        <v>2016</v>
      </c>
      <c r="W544" s="30"/>
      <c r="X544" s="102"/>
      <c r="Y544" s="103"/>
      <c r="Z544" s="103"/>
      <c r="AA544" s="103"/>
      <c r="AB544" s="104"/>
    </row>
    <row r="545" spans="2:28" ht="12" customHeight="1">
      <c r="C545" s="28"/>
      <c r="E545" s="105" t="s">
        <v>29</v>
      </c>
      <c r="F545" s="41" t="s">
        <v>220</v>
      </c>
      <c r="G545" s="100"/>
      <c r="H545" s="94"/>
      <c r="I545" s="43"/>
      <c r="J545" s="3"/>
      <c r="K545" s="101"/>
      <c r="L545" s="204"/>
      <c r="M545" s="30"/>
      <c r="N545" s="178">
        <f>SUM(N523:N526)</f>
        <v>11.475</v>
      </c>
      <c r="O545" s="32"/>
      <c r="P545" s="96"/>
      <c r="Q545" s="30"/>
      <c r="R545" s="157">
        <f>SUM(R523:R526)</f>
        <v>0</v>
      </c>
      <c r="S545" s="157">
        <f t="shared" ref="S545:V545" si="98">SUM(S523:S526)</f>
        <v>11.475</v>
      </c>
      <c r="T545" s="157">
        <f t="shared" si="98"/>
        <v>0</v>
      </c>
      <c r="U545" s="157">
        <f t="shared" si="98"/>
        <v>0</v>
      </c>
      <c r="V545" s="157">
        <f t="shared" si="98"/>
        <v>0</v>
      </c>
      <c r="W545" s="30"/>
      <c r="X545" s="102"/>
      <c r="Y545" s="103"/>
      <c r="Z545" s="103"/>
      <c r="AA545" s="103"/>
      <c r="AB545" s="104"/>
    </row>
    <row r="546" spans="2:28" ht="12" customHeight="1">
      <c r="C546" s="28"/>
      <c r="E546" s="105" t="s">
        <v>52</v>
      </c>
      <c r="F546" s="106" t="s">
        <v>113</v>
      </c>
      <c r="G546" s="100"/>
      <c r="H546" s="94"/>
      <c r="I546" s="43"/>
      <c r="J546" s="3"/>
      <c r="K546" s="101"/>
      <c r="L546" s="204"/>
      <c r="M546" s="30"/>
      <c r="N546" s="178">
        <f>SUM(N529:N529)</f>
        <v>7</v>
      </c>
      <c r="O546" s="32"/>
      <c r="P546" s="96"/>
      <c r="Q546" s="30"/>
      <c r="R546" s="178">
        <f>SUM(R529:R530)</f>
        <v>4.66</v>
      </c>
      <c r="S546" s="178">
        <f t="shared" ref="S546:V546" si="99">SUM(S529:S530)</f>
        <v>23.3</v>
      </c>
      <c r="T546" s="178">
        <f t="shared" si="99"/>
        <v>18.64</v>
      </c>
      <c r="U546" s="178">
        <f t="shared" si="99"/>
        <v>0</v>
      </c>
      <c r="V546" s="178">
        <f t="shared" si="99"/>
        <v>0</v>
      </c>
      <c r="W546" s="30"/>
      <c r="X546" s="102"/>
      <c r="Y546" s="103"/>
      <c r="Z546" s="103"/>
      <c r="AA546" s="103"/>
      <c r="AB546" s="104"/>
    </row>
    <row r="547" spans="2:28" ht="12" customHeight="1">
      <c r="C547" s="28"/>
      <c r="E547" s="107" t="s">
        <v>112</v>
      </c>
      <c r="F547" s="248" t="s">
        <v>130</v>
      </c>
      <c r="G547" s="100"/>
      <c r="H547" s="94"/>
      <c r="I547" s="43"/>
      <c r="J547" s="3"/>
      <c r="K547" s="101"/>
      <c r="L547" s="204"/>
      <c r="M547" s="30"/>
      <c r="N547" s="178">
        <f>SUM(N530:N530)</f>
        <v>39.6</v>
      </c>
      <c r="O547" s="32"/>
      <c r="P547" s="96"/>
      <c r="Q547" s="30"/>
      <c r="R547" s="178">
        <f>SUM(R530:R530)</f>
        <v>3.9600000000000004</v>
      </c>
      <c r="S547" s="178">
        <f t="shared" ref="S547:V547" si="100">SUM(S530:S530)</f>
        <v>19.8</v>
      </c>
      <c r="T547" s="178">
        <f t="shared" si="100"/>
        <v>15.840000000000002</v>
      </c>
      <c r="U547" s="178">
        <f t="shared" si="100"/>
        <v>0</v>
      </c>
      <c r="V547" s="178">
        <f t="shared" si="100"/>
        <v>0</v>
      </c>
      <c r="W547" s="30"/>
      <c r="X547" s="102"/>
      <c r="Y547" s="103"/>
      <c r="Z547" s="103"/>
      <c r="AA547" s="103"/>
      <c r="AB547" s="104"/>
    </row>
    <row r="548" spans="2:28" ht="12" customHeight="1">
      <c r="C548" s="28"/>
      <c r="E548" s="105" t="s">
        <v>114</v>
      </c>
      <c r="F548" s="247" t="s">
        <v>110</v>
      </c>
      <c r="G548" s="100"/>
      <c r="H548" s="94"/>
      <c r="I548" s="43"/>
      <c r="J548" s="3"/>
      <c r="K548" s="101"/>
      <c r="L548" s="204"/>
      <c r="M548" s="30"/>
      <c r="N548" s="178">
        <f>SUM(N532:N533)</f>
        <v>117.8</v>
      </c>
      <c r="O548" s="32"/>
      <c r="P548" s="96"/>
      <c r="Q548" s="30"/>
      <c r="R548" s="178">
        <f>SUM(R532:R533)</f>
        <v>11.780000000000001</v>
      </c>
      <c r="S548" s="178">
        <f t="shared" ref="S548:V548" si="101">SUM(S532:S533)</f>
        <v>58.9</v>
      </c>
      <c r="T548" s="178">
        <f t="shared" si="101"/>
        <v>47.120000000000005</v>
      </c>
      <c r="U548" s="178">
        <f t="shared" si="101"/>
        <v>0</v>
      </c>
      <c r="V548" s="178">
        <f t="shared" si="101"/>
        <v>0</v>
      </c>
      <c r="W548" s="30"/>
      <c r="X548" s="102"/>
      <c r="Y548" s="103"/>
      <c r="Z548" s="103"/>
      <c r="AA548" s="103"/>
      <c r="AB548" s="104"/>
    </row>
    <row r="549" spans="2:28" ht="12" customHeight="1">
      <c r="C549" s="28"/>
      <c r="E549" s="105" t="s">
        <v>115</v>
      </c>
      <c r="F549" s="247" t="s">
        <v>57</v>
      </c>
      <c r="G549" s="100"/>
      <c r="H549" s="94"/>
      <c r="I549" s="43"/>
      <c r="J549" s="3"/>
      <c r="K549" s="101"/>
      <c r="L549" s="204"/>
      <c r="M549" s="30"/>
      <c r="N549" s="178">
        <f>SUM(N534:N534)</f>
        <v>43.199999999999996</v>
      </c>
      <c r="O549" s="32"/>
      <c r="P549" s="96"/>
      <c r="Q549" s="30"/>
      <c r="R549" s="178">
        <f>SUM(R534:R534)</f>
        <v>4.3199999999999994</v>
      </c>
      <c r="S549" s="178">
        <f>SUM(S534:S534)</f>
        <v>21.599999999999998</v>
      </c>
      <c r="T549" s="178">
        <f>SUM(T534:T534)</f>
        <v>17.279999999999998</v>
      </c>
      <c r="U549" s="178">
        <f>SUM(U534:U534)</f>
        <v>0</v>
      </c>
      <c r="V549" s="178">
        <f>SUM(V534:V534)</f>
        <v>0</v>
      </c>
      <c r="W549" s="30"/>
      <c r="X549" s="102"/>
      <c r="Y549" s="103"/>
      <c r="Z549" s="103"/>
      <c r="AA549" s="103"/>
      <c r="AB549" s="104"/>
    </row>
    <row r="550" spans="2:28" ht="12" customHeight="1">
      <c r="C550" s="28"/>
      <c r="E550" s="108" t="s">
        <v>59</v>
      </c>
      <c r="F550" s="256" t="s">
        <v>139</v>
      </c>
      <c r="G550" s="120"/>
      <c r="H550" s="94"/>
      <c r="I550" s="43"/>
      <c r="J550" s="3"/>
      <c r="K550" s="121"/>
      <c r="L550" s="204"/>
      <c r="M550" s="30"/>
      <c r="N550" s="234">
        <f>N535</f>
        <v>22.557500000000001</v>
      </c>
      <c r="O550" s="32"/>
      <c r="P550" s="109"/>
      <c r="Q550" s="30"/>
      <c r="R550" s="163">
        <f t="shared" ref="R550:V550" si="102">R535</f>
        <v>2.2557500000000004</v>
      </c>
      <c r="S550" s="163">
        <f t="shared" si="102"/>
        <v>11.27875</v>
      </c>
      <c r="T550" s="163">
        <f t="shared" si="102"/>
        <v>9.0230000000000015</v>
      </c>
      <c r="U550" s="163">
        <f t="shared" si="102"/>
        <v>0</v>
      </c>
      <c r="V550" s="163">
        <f t="shared" si="102"/>
        <v>0</v>
      </c>
      <c r="W550" s="30"/>
      <c r="X550" s="218"/>
      <c r="Y550" s="111"/>
      <c r="Z550" s="111"/>
      <c r="AA550" s="111"/>
      <c r="AB550" s="112"/>
    </row>
    <row r="551" spans="2:28" ht="4" customHeight="1">
      <c r="E551" s="3"/>
      <c r="J551" s="3"/>
    </row>
    <row r="552" spans="2:28" ht="15" customHeight="1">
      <c r="F552" s="122" t="s">
        <v>24</v>
      </c>
      <c r="G552" s="114"/>
      <c r="H552" s="114"/>
      <c r="I552" s="85"/>
      <c r="K552" s="22"/>
      <c r="L552" s="207"/>
      <c r="M552" s="20"/>
      <c r="N552" s="162">
        <f>SUM(N543:N550)</f>
        <v>351.03249999999997</v>
      </c>
      <c r="O552" s="20"/>
      <c r="P552" s="22"/>
      <c r="Q552" s="20"/>
      <c r="R552" s="198">
        <f>SUM(R543:R550)</f>
        <v>2038.9757500000001</v>
      </c>
      <c r="S552" s="198">
        <f>SUM(S543:S550)</f>
        <v>2365.1537500000004</v>
      </c>
      <c r="T552" s="198">
        <f>SUM(T543:T550)</f>
        <v>2121.9030000000002</v>
      </c>
      <c r="U552" s="198">
        <f>SUM(U543:U550)</f>
        <v>2015</v>
      </c>
      <c r="V552" s="198">
        <f>SUM(V543:V550)</f>
        <v>2016</v>
      </c>
      <c r="W552" s="115"/>
      <c r="X552" s="160">
        <f>SUM(X543:X550)</f>
        <v>0</v>
      </c>
      <c r="Y552" s="160">
        <f>SUM(Y543:Y550)</f>
        <v>0</v>
      </c>
      <c r="Z552" s="160">
        <f>SUM(Z543:Z550)</f>
        <v>0</v>
      </c>
      <c r="AA552" s="160">
        <f>SUM(AA543:AA550)</f>
        <v>0</v>
      </c>
      <c r="AB552" s="160">
        <f>SUM(AB543:AB550)</f>
        <v>0</v>
      </c>
    </row>
    <row r="553" spans="2:28" ht="10" customHeight="1"/>
    <row r="554" spans="2:28" ht="12" customHeight="1">
      <c r="N554" s="67"/>
    </row>
    <row r="555" spans="2:28" ht="12" customHeight="1">
      <c r="N555" s="67"/>
    </row>
    <row r="556" spans="2:28" ht="12" customHeight="1">
      <c r="N556" s="67"/>
    </row>
    <row r="557" spans="2:28" ht="12" customHeight="1">
      <c r="N557" s="67"/>
    </row>
    <row r="558" spans="2:28" ht="12" customHeight="1">
      <c r="N558" s="67"/>
    </row>
    <row r="559" spans="2:28" ht="10" customHeight="1" thickBot="1"/>
    <row r="560" spans="2:28" ht="18" customHeight="1" thickBot="1">
      <c r="B560" s="315" t="s">
        <v>227</v>
      </c>
      <c r="C560" s="316"/>
      <c r="D560" s="316"/>
      <c r="E560" s="316"/>
      <c r="F560" s="316"/>
      <c r="G560" s="316"/>
      <c r="H560" s="316"/>
      <c r="I560" s="316"/>
      <c r="J560" s="316"/>
      <c r="K560" s="316"/>
      <c r="L560" s="316"/>
      <c r="M560" s="316"/>
      <c r="N560" s="316"/>
      <c r="O560" s="316"/>
      <c r="P560" s="316"/>
      <c r="Q560" s="316"/>
      <c r="R560" s="316"/>
      <c r="S560" s="316"/>
      <c r="T560" s="316"/>
      <c r="U560" s="316"/>
      <c r="V560" s="316"/>
      <c r="W560" s="316"/>
      <c r="X560" s="316"/>
      <c r="Y560" s="316"/>
      <c r="Z560" s="316"/>
      <c r="AA560" s="316"/>
      <c r="AB560" s="317"/>
    </row>
    <row r="561" spans="2:29" ht="10" customHeight="1" thickBot="1"/>
    <row r="562" spans="2:29" ht="15" customHeight="1" thickBot="1">
      <c r="B562" s="164" t="s">
        <v>116</v>
      </c>
      <c r="C562" s="6"/>
      <c r="D562" s="132"/>
      <c r="E562" s="260" t="s">
        <v>117</v>
      </c>
      <c r="F562" s="7"/>
      <c r="G562" s="8"/>
    </row>
    <row r="563" spans="2:29" ht="24" customHeight="1">
      <c r="B563" s="6"/>
      <c r="C563" s="9"/>
      <c r="D563" s="130"/>
      <c r="E563" s="9" t="s">
        <v>126</v>
      </c>
      <c r="F563" s="10" t="s">
        <v>163</v>
      </c>
      <c r="G563" s="11"/>
    </row>
    <row r="564" spans="2:29" ht="12" customHeight="1">
      <c r="B564" s="6"/>
      <c r="C564" s="6"/>
      <c r="D564" s="132"/>
      <c r="E564" s="12"/>
      <c r="F564" s="26" t="s">
        <v>162</v>
      </c>
      <c r="G564" s="11"/>
    </row>
    <row r="565" spans="2:29" ht="12" customHeight="1">
      <c r="B565" s="6"/>
      <c r="C565" s="6"/>
      <c r="D565" s="132"/>
      <c r="E565" s="12"/>
      <c r="F565" s="13" t="s">
        <v>7</v>
      </c>
      <c r="G565" s="14">
        <v>2014</v>
      </c>
      <c r="P565" s="137">
        <v>2011</v>
      </c>
      <c r="Q565" s="138"/>
      <c r="R565" s="137">
        <f>P565+1</f>
        <v>2012</v>
      </c>
      <c r="S565" s="137">
        <f>R565+1</f>
        <v>2013</v>
      </c>
      <c r="T565" s="137">
        <f>S565+1</f>
        <v>2014</v>
      </c>
      <c r="U565" s="137">
        <f>T565+1</f>
        <v>2015</v>
      </c>
      <c r="V565" s="137">
        <f>U565+1</f>
        <v>2016</v>
      </c>
      <c r="W565" s="138"/>
      <c r="X565" s="139">
        <f>V565+1</f>
        <v>2017</v>
      </c>
      <c r="Y565" s="139">
        <f>X565+1</f>
        <v>2018</v>
      </c>
      <c r="Z565" s="139">
        <f>Y565+1</f>
        <v>2019</v>
      </c>
      <c r="AA565" s="139">
        <f>Z565+1</f>
        <v>2020</v>
      </c>
      <c r="AB565" s="139">
        <f>AA565+1</f>
        <v>2021</v>
      </c>
    </row>
    <row r="566" spans="2:29" ht="12" customHeight="1">
      <c r="F566" s="1"/>
      <c r="G566" s="209" t="s">
        <v>68</v>
      </c>
      <c r="H566" s="18"/>
      <c r="I566" s="18"/>
      <c r="K566" s="19"/>
      <c r="L566" s="203"/>
      <c r="M566" s="20"/>
      <c r="N566" s="21" t="s">
        <v>0</v>
      </c>
      <c r="O566" s="20"/>
      <c r="P566" s="22"/>
      <c r="Q566" s="20"/>
      <c r="R566" s="140"/>
      <c r="S566" s="141"/>
      <c r="T566" s="142">
        <v>23.7</v>
      </c>
      <c r="U566" s="140">
        <v>33.799999999999997</v>
      </c>
      <c r="V566" s="143">
        <v>30.5</v>
      </c>
      <c r="W566" s="23"/>
      <c r="X566" s="144">
        <v>28.3</v>
      </c>
      <c r="Y566" s="144">
        <v>25.700000000000003</v>
      </c>
      <c r="Z566" s="144">
        <v>19.100000000000001</v>
      </c>
      <c r="AA566" s="144">
        <v>15.1</v>
      </c>
      <c r="AB566" s="144">
        <v>15.1</v>
      </c>
    </row>
    <row r="567" spans="2:29" ht="12" customHeight="1">
      <c r="F567" s="1"/>
      <c r="G567" s="210" t="s">
        <v>69</v>
      </c>
      <c r="H567" s="18"/>
      <c r="I567" s="18"/>
      <c r="K567" s="19"/>
      <c r="L567" s="203"/>
      <c r="M567" s="20"/>
      <c r="N567" s="21" t="s">
        <v>1</v>
      </c>
      <c r="O567" s="20"/>
      <c r="P567" s="22"/>
      <c r="Q567" s="20"/>
      <c r="R567" s="140"/>
      <c r="S567" s="141"/>
      <c r="T567" s="142">
        <v>11.600000000000001</v>
      </c>
      <c r="U567" s="140">
        <v>16.600000000000001</v>
      </c>
      <c r="V567" s="143">
        <v>15.899999999999999</v>
      </c>
      <c r="W567" s="23"/>
      <c r="X567" s="144">
        <v>15.1</v>
      </c>
      <c r="Y567" s="144">
        <v>14.100000000000001</v>
      </c>
      <c r="Z567" s="144">
        <v>10.600000000000001</v>
      </c>
      <c r="AA567" s="144">
        <v>7.9</v>
      </c>
      <c r="AB567" s="144">
        <v>7.9</v>
      </c>
    </row>
    <row r="568" spans="2:29" ht="10" customHeight="1">
      <c r="F568" s="1"/>
      <c r="G568" s="165"/>
      <c r="H568" s="166"/>
      <c r="I568" s="166"/>
      <c r="K568" s="167"/>
      <c r="L568" s="204"/>
      <c r="M568" s="168"/>
      <c r="N568" s="169"/>
      <c r="O568" s="168"/>
      <c r="P568" s="168"/>
      <c r="Q568" s="168"/>
      <c r="R568" s="170"/>
      <c r="S568" s="170"/>
      <c r="T568" s="170"/>
      <c r="U568" s="170"/>
      <c r="V568" s="170"/>
      <c r="W568" s="171"/>
      <c r="X568" s="172"/>
      <c r="Y568" s="172"/>
      <c r="Z568" s="172"/>
      <c r="AA568" s="172"/>
      <c r="AB568" s="172"/>
    </row>
    <row r="569" spans="2:29" ht="12" customHeight="1">
      <c r="E569" s="26" t="s">
        <v>8</v>
      </c>
      <c r="F569" s="27" t="s">
        <v>27</v>
      </c>
      <c r="O569" s="24"/>
      <c r="P569" s="134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6"/>
    </row>
    <row r="570" spans="2:29" ht="12" customHeight="1">
      <c r="C570" s="25"/>
      <c r="F570" s="1"/>
      <c r="G570" s="5"/>
      <c r="O570" s="24"/>
      <c r="P570" s="15">
        <v>2011</v>
      </c>
      <c r="Q570" s="16"/>
      <c r="R570" s="16">
        <f>P570+1</f>
        <v>2012</v>
      </c>
      <c r="S570" s="16">
        <f>R570+1</f>
        <v>2013</v>
      </c>
      <c r="T570" s="16">
        <f>S570+1</f>
        <v>2014</v>
      </c>
      <c r="U570" s="16">
        <f>T570+1</f>
        <v>2015</v>
      </c>
      <c r="V570" s="16">
        <f>U570+1</f>
        <v>2016</v>
      </c>
      <c r="W570" s="16"/>
      <c r="X570" s="17">
        <f>V570+1</f>
        <v>2017</v>
      </c>
      <c r="Y570" s="17">
        <f>X570+1</f>
        <v>2018</v>
      </c>
      <c r="Z570" s="17">
        <f>Y570+1</f>
        <v>2019</v>
      </c>
      <c r="AA570" s="17">
        <f>Z570+1</f>
        <v>2020</v>
      </c>
      <c r="AB570" s="17">
        <f>AA570+1</f>
        <v>2021</v>
      </c>
      <c r="AC570" s="24"/>
    </row>
    <row r="571" spans="2:29" ht="4" customHeight="1"/>
    <row r="572" spans="2:29" ht="12" customHeight="1">
      <c r="D572" s="242">
        <v>1</v>
      </c>
      <c r="E572" s="125" t="s">
        <v>209</v>
      </c>
      <c r="F572" s="125" t="s">
        <v>210</v>
      </c>
      <c r="G572" s="145"/>
      <c r="H572" s="150"/>
      <c r="I572" s="151"/>
      <c r="J572" s="3"/>
      <c r="K572" s="295">
        <v>4</v>
      </c>
      <c r="L572" s="201"/>
      <c r="M572" s="30"/>
      <c r="N572" s="87"/>
      <c r="O572" s="32"/>
      <c r="P572" s="33"/>
      <c r="Q572" s="30"/>
      <c r="R572" s="34"/>
      <c r="S572" s="35">
        <f>K572</f>
        <v>4</v>
      </c>
      <c r="T572" s="35"/>
      <c r="U572" s="35"/>
      <c r="V572" s="36"/>
      <c r="W572" s="30"/>
      <c r="X572" s="37"/>
      <c r="Y572" s="38"/>
      <c r="Z572" s="38"/>
      <c r="AA572" s="38"/>
      <c r="AB572" s="39"/>
    </row>
    <row r="573" spans="2:29" ht="12" customHeight="1">
      <c r="D573" s="243">
        <v>2</v>
      </c>
      <c r="E573" s="126" t="s">
        <v>222</v>
      </c>
      <c r="F573" s="126" t="s">
        <v>223</v>
      </c>
      <c r="G573" s="146"/>
      <c r="H573" s="152"/>
      <c r="I573" s="153"/>
      <c r="J573" s="3"/>
      <c r="K573" s="296">
        <v>2</v>
      </c>
      <c r="L573" s="201"/>
      <c r="M573" s="30"/>
      <c r="N573" s="101"/>
      <c r="O573" s="32"/>
      <c r="P573" s="45"/>
      <c r="Q573" s="30"/>
      <c r="R573" s="46"/>
      <c r="S573" s="47">
        <f>K573</f>
        <v>2</v>
      </c>
      <c r="T573" s="47"/>
      <c r="U573" s="47"/>
      <c r="V573" s="48"/>
      <c r="W573" s="30"/>
      <c r="X573" s="49"/>
      <c r="Y573" s="50"/>
      <c r="Z573" s="50"/>
      <c r="AA573" s="50"/>
      <c r="AB573" s="51"/>
    </row>
    <row r="574" spans="2:29" ht="12" customHeight="1">
      <c r="D574" s="243">
        <v>3</v>
      </c>
      <c r="E574" s="126" t="s">
        <v>211</v>
      </c>
      <c r="F574" s="126" t="s">
        <v>26</v>
      </c>
      <c r="G574" s="146"/>
      <c r="H574" s="152"/>
      <c r="I574" s="153"/>
      <c r="J574" s="3"/>
      <c r="K574" s="44">
        <v>2</v>
      </c>
      <c r="L574" s="201"/>
      <c r="M574" s="30"/>
      <c r="N574" s="53"/>
      <c r="O574" s="32"/>
      <c r="P574" s="45"/>
      <c r="Q574" s="30"/>
      <c r="R574" s="46"/>
      <c r="S574" s="47">
        <f t="shared" ref="S574" si="103">K574</f>
        <v>2</v>
      </c>
      <c r="T574" s="47"/>
      <c r="U574" s="47"/>
      <c r="V574" s="48"/>
      <c r="W574" s="30"/>
      <c r="X574" s="49"/>
      <c r="Y574" s="50"/>
      <c r="Z574" s="50"/>
      <c r="AA574" s="50"/>
      <c r="AB574" s="51"/>
    </row>
    <row r="575" spans="2:29" ht="12" customHeight="1">
      <c r="D575" s="244">
        <v>4</v>
      </c>
      <c r="E575" s="127" t="s">
        <v>212</v>
      </c>
      <c r="F575" s="127" t="s">
        <v>26</v>
      </c>
      <c r="G575" s="147"/>
      <c r="H575" s="154"/>
      <c r="I575" s="155"/>
      <c r="J575" s="3"/>
      <c r="K575" s="297">
        <v>4</v>
      </c>
      <c r="L575" s="201"/>
      <c r="M575" s="30"/>
      <c r="N575" s="53"/>
      <c r="O575" s="32"/>
      <c r="P575" s="45"/>
      <c r="Q575" s="30"/>
      <c r="R575" s="46"/>
      <c r="S575" s="47">
        <f>K575</f>
        <v>4</v>
      </c>
      <c r="T575" s="47"/>
      <c r="U575" s="47"/>
      <c r="V575" s="48"/>
      <c r="W575" s="30"/>
      <c r="X575" s="49"/>
      <c r="Y575" s="50"/>
      <c r="Z575" s="50"/>
      <c r="AA575" s="50"/>
      <c r="AB575" s="51"/>
    </row>
    <row r="576" spans="2:29" s="67" customFormat="1" ht="15" customHeight="1">
      <c r="B576" s="54"/>
      <c r="C576" s="55"/>
      <c r="D576" s="133"/>
      <c r="E576" s="124"/>
      <c r="F576" s="128" t="s">
        <v>2</v>
      </c>
      <c r="G576" s="129"/>
      <c r="H576" s="148"/>
      <c r="I576" s="149"/>
      <c r="J576" s="61"/>
      <c r="K576" s="29">
        <f>SUM(K572:K575)</f>
        <v>12</v>
      </c>
      <c r="L576" s="205"/>
      <c r="M576" s="62"/>
      <c r="N576" s="31"/>
      <c r="O576" s="61"/>
      <c r="P576" s="63"/>
      <c r="Q576" s="62"/>
      <c r="R576" s="64">
        <f>SUM(R572:R575)</f>
        <v>0</v>
      </c>
      <c r="S576" s="64">
        <f>SUM(S572:S575)</f>
        <v>12</v>
      </c>
      <c r="T576" s="64">
        <f>SUM(T572:T575)</f>
        <v>0</v>
      </c>
      <c r="U576" s="64">
        <f>SUM(U572:U575)</f>
        <v>0</v>
      </c>
      <c r="V576" s="64">
        <f>SUM(V572:V575)</f>
        <v>0</v>
      </c>
      <c r="W576" s="62"/>
      <c r="X576" s="65"/>
      <c r="Y576" s="59"/>
      <c r="Z576" s="59"/>
      <c r="AA576" s="59"/>
      <c r="AB576" s="66"/>
    </row>
    <row r="577" spans="2:28" ht="9" customHeight="1"/>
    <row r="578" spans="2:28" ht="14.15" customHeight="1">
      <c r="L578" s="1"/>
      <c r="O578" s="24"/>
      <c r="P578" s="84" t="s">
        <v>10</v>
      </c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  <c r="AB578" s="222"/>
    </row>
    <row r="579" spans="2:28" ht="15" customHeight="1">
      <c r="E579" s="26" t="s">
        <v>28</v>
      </c>
      <c r="K579" s="137" t="s">
        <v>67</v>
      </c>
      <c r="L579" s="211" t="s">
        <v>66</v>
      </c>
      <c r="M579" s="24"/>
      <c r="N579" s="212" t="s">
        <v>11</v>
      </c>
      <c r="O579" s="24"/>
      <c r="P579" s="137">
        <v>2011</v>
      </c>
      <c r="Q579" s="5"/>
      <c r="R579" s="137">
        <f>P579+1</f>
        <v>2012</v>
      </c>
      <c r="S579" s="137">
        <f>R579+1</f>
        <v>2013</v>
      </c>
      <c r="T579" s="137">
        <f>S579+1</f>
        <v>2014</v>
      </c>
      <c r="U579" s="137">
        <f>T579+1</f>
        <v>2015</v>
      </c>
      <c r="V579" s="137">
        <f>U579+1</f>
        <v>2016</v>
      </c>
      <c r="W579" s="5"/>
      <c r="X579" s="139">
        <f>V579+1</f>
        <v>2017</v>
      </c>
      <c r="Y579" s="139">
        <f>X579+1</f>
        <v>2018</v>
      </c>
      <c r="Z579" s="139">
        <f>Y579+1</f>
        <v>2019</v>
      </c>
      <c r="AA579" s="139">
        <f>Z579+1</f>
        <v>2020</v>
      </c>
      <c r="AB579" s="139">
        <f>AA579+1</f>
        <v>2021</v>
      </c>
    </row>
    <row r="580" spans="2:28" ht="4.5" customHeight="1"/>
    <row r="581" spans="2:28" ht="12" customHeight="1">
      <c r="D581" s="242">
        <v>1</v>
      </c>
      <c r="E581" s="125" t="s">
        <v>209</v>
      </c>
      <c r="F581" s="125" t="s">
        <v>213</v>
      </c>
      <c r="G581" s="299">
        <f>(3*1+2.5)/4</f>
        <v>1.375</v>
      </c>
      <c r="H581" s="78" t="s">
        <v>12</v>
      </c>
      <c r="I581" s="79" t="s">
        <v>13</v>
      </c>
      <c r="J581" s="3"/>
      <c r="K581" s="80">
        <f>K572</f>
        <v>4</v>
      </c>
      <c r="L581" s="225" t="s">
        <v>13</v>
      </c>
      <c r="M581" s="30"/>
      <c r="N581" s="156">
        <f>G581*K581</f>
        <v>5.5</v>
      </c>
      <c r="O581" s="32"/>
      <c r="P581" s="33"/>
      <c r="Q581" s="30"/>
      <c r="R581" s="81">
        <f t="shared" ref="R581:V584" si="104">$G581*R572</f>
        <v>0</v>
      </c>
      <c r="S581" s="81">
        <f t="shared" si="104"/>
        <v>5.5</v>
      </c>
      <c r="T581" s="81">
        <f t="shared" si="104"/>
        <v>0</v>
      </c>
      <c r="U581" s="81">
        <f t="shared" si="104"/>
        <v>0</v>
      </c>
      <c r="V581" s="81">
        <f t="shared" si="104"/>
        <v>0</v>
      </c>
      <c r="W581" s="30"/>
      <c r="X581" s="37"/>
      <c r="Y581" s="38"/>
      <c r="Z581" s="38"/>
      <c r="AA581" s="38"/>
      <c r="AB581" s="39"/>
    </row>
    <row r="582" spans="2:28" ht="12" customHeight="1">
      <c r="D582" s="243">
        <v>2</v>
      </c>
      <c r="E582" s="126" t="s">
        <v>222</v>
      </c>
      <c r="F582" s="126" t="s">
        <v>214</v>
      </c>
      <c r="G582" s="300">
        <f>(2.3+2.7)/2</f>
        <v>2.5</v>
      </c>
      <c r="H582" s="42" t="s">
        <v>12</v>
      </c>
      <c r="I582" s="43" t="s">
        <v>13</v>
      </c>
      <c r="J582" s="3"/>
      <c r="K582" s="52">
        <f>K573</f>
        <v>2</v>
      </c>
      <c r="L582" s="226" t="s">
        <v>13</v>
      </c>
      <c r="M582" s="30"/>
      <c r="N582" s="157">
        <f>G582*K582</f>
        <v>5</v>
      </c>
      <c r="O582" s="32"/>
      <c r="P582" s="45"/>
      <c r="Q582" s="30"/>
      <c r="R582" s="81">
        <f t="shared" si="104"/>
        <v>0</v>
      </c>
      <c r="S582" s="81">
        <f t="shared" si="104"/>
        <v>5</v>
      </c>
      <c r="T582" s="81">
        <f t="shared" si="104"/>
        <v>0</v>
      </c>
      <c r="U582" s="81">
        <f t="shared" si="104"/>
        <v>0</v>
      </c>
      <c r="V582" s="81">
        <f t="shared" si="104"/>
        <v>0</v>
      </c>
      <c r="W582" s="30"/>
      <c r="X582" s="49"/>
      <c r="Y582" s="50"/>
      <c r="Z582" s="50"/>
      <c r="AA582" s="50"/>
      <c r="AB582" s="51"/>
    </row>
    <row r="583" spans="2:28" ht="12" customHeight="1">
      <c r="D583" s="243">
        <v>3</v>
      </c>
      <c r="E583" s="126" t="s">
        <v>211</v>
      </c>
      <c r="F583" s="126" t="s">
        <v>26</v>
      </c>
      <c r="G583" s="300">
        <f>(17.5+22)/2</f>
        <v>19.75</v>
      </c>
      <c r="H583" s="42" t="s">
        <v>12</v>
      </c>
      <c r="I583" s="43" t="s">
        <v>13</v>
      </c>
      <c r="J583" s="3"/>
      <c r="K583" s="52">
        <f>K574</f>
        <v>2</v>
      </c>
      <c r="L583" s="226" t="s">
        <v>13</v>
      </c>
      <c r="M583" s="30"/>
      <c r="N583" s="157">
        <f>G583*K583</f>
        <v>39.5</v>
      </c>
      <c r="O583" s="32"/>
      <c r="P583" s="45"/>
      <c r="Q583" s="30"/>
      <c r="R583" s="81">
        <f t="shared" si="104"/>
        <v>0</v>
      </c>
      <c r="S583" s="81">
        <f t="shared" si="104"/>
        <v>39.5</v>
      </c>
      <c r="T583" s="81">
        <f t="shared" si="104"/>
        <v>0</v>
      </c>
      <c r="U583" s="81">
        <f t="shared" si="104"/>
        <v>0</v>
      </c>
      <c r="V583" s="81">
        <f t="shared" si="104"/>
        <v>0</v>
      </c>
      <c r="W583" s="30"/>
      <c r="X583" s="49"/>
      <c r="Y583" s="50"/>
      <c r="Z583" s="50"/>
      <c r="AA583" s="50"/>
      <c r="AB583" s="51"/>
    </row>
    <row r="584" spans="2:28" ht="12" customHeight="1">
      <c r="D584" s="244">
        <v>4</v>
      </c>
      <c r="E584" s="127" t="s">
        <v>212</v>
      </c>
      <c r="F584" s="127" t="s">
        <v>26</v>
      </c>
      <c r="G584" s="300">
        <f>(3*13.7+11.8)/4</f>
        <v>13.224999999999998</v>
      </c>
      <c r="H584" s="42" t="s">
        <v>12</v>
      </c>
      <c r="I584" s="43" t="s">
        <v>13</v>
      </c>
      <c r="J584" s="3"/>
      <c r="K584" s="52">
        <f>K575</f>
        <v>4</v>
      </c>
      <c r="L584" s="227" t="s">
        <v>13</v>
      </c>
      <c r="M584" s="30"/>
      <c r="N584" s="157">
        <f>G584*K584</f>
        <v>52.899999999999991</v>
      </c>
      <c r="O584" s="32"/>
      <c r="P584" s="45"/>
      <c r="Q584" s="30"/>
      <c r="R584" s="81">
        <f t="shared" si="104"/>
        <v>0</v>
      </c>
      <c r="S584" s="81">
        <f t="shared" si="104"/>
        <v>52.899999999999991</v>
      </c>
      <c r="T584" s="81">
        <f t="shared" si="104"/>
        <v>0</v>
      </c>
      <c r="U584" s="81">
        <f t="shared" si="104"/>
        <v>0</v>
      </c>
      <c r="V584" s="81">
        <f t="shared" si="104"/>
        <v>0</v>
      </c>
      <c r="W584" s="30"/>
      <c r="X584" s="49"/>
      <c r="Y584" s="50"/>
      <c r="Z584" s="50"/>
      <c r="AA584" s="50"/>
      <c r="AB584" s="51"/>
    </row>
    <row r="585" spans="2:28" s="67" customFormat="1" ht="15" customHeight="1">
      <c r="B585" s="54"/>
      <c r="C585" s="55"/>
      <c r="D585" s="133"/>
      <c r="E585" s="56"/>
      <c r="F585" s="57" t="s">
        <v>14</v>
      </c>
      <c r="G585" s="58"/>
      <c r="H585" s="59"/>
      <c r="I585" s="60"/>
      <c r="J585" s="61"/>
      <c r="K585" s="82"/>
      <c r="L585" s="206"/>
      <c r="M585" s="62"/>
      <c r="N585" s="180">
        <f>SUM(N581:N584)</f>
        <v>102.89999999999999</v>
      </c>
      <c r="O585" s="61"/>
      <c r="P585" s="63"/>
      <c r="Q585" s="62"/>
      <c r="R585" s="83">
        <f>SUM(R581:R584)</f>
        <v>0</v>
      </c>
      <c r="S585" s="83">
        <f>SUM(S581:S584)</f>
        <v>102.89999999999999</v>
      </c>
      <c r="T585" s="83">
        <f>SUM(T581:T584)</f>
        <v>0</v>
      </c>
      <c r="U585" s="83">
        <f>SUM(U581:U584)</f>
        <v>0</v>
      </c>
      <c r="V585" s="83">
        <f>SUM(V581:V584)</f>
        <v>0</v>
      </c>
      <c r="W585" s="62"/>
      <c r="X585" s="65"/>
      <c r="Y585" s="59"/>
      <c r="Z585" s="59"/>
      <c r="AA585" s="59"/>
      <c r="AB585" s="66"/>
    </row>
    <row r="586" spans="2:28" ht="5.15" customHeight="1"/>
    <row r="587" spans="2:28" ht="20.149999999999999" customHeight="1">
      <c r="E587" s="26" t="s">
        <v>15</v>
      </c>
      <c r="F587" s="84" t="s">
        <v>16</v>
      </c>
      <c r="G587" s="85"/>
      <c r="H587" s="215" t="s">
        <v>4</v>
      </c>
      <c r="I587" s="232" t="s">
        <v>76</v>
      </c>
      <c r="K587" s="137" t="s">
        <v>67</v>
      </c>
      <c r="L587" s="211" t="s">
        <v>66</v>
      </c>
      <c r="N587" s="212" t="s">
        <v>11</v>
      </c>
      <c r="P587" s="73">
        <v>2011</v>
      </c>
      <c r="Q587" s="74"/>
      <c r="R587" s="75">
        <f>P587+1</f>
        <v>2012</v>
      </c>
      <c r="S587" s="75">
        <f>R587+1</f>
        <v>2013</v>
      </c>
      <c r="T587" s="75">
        <f>S587+1</f>
        <v>2014</v>
      </c>
      <c r="U587" s="75">
        <f>T587+1</f>
        <v>2015</v>
      </c>
      <c r="V587" s="75">
        <f>U587+1</f>
        <v>2016</v>
      </c>
      <c r="W587" s="74"/>
      <c r="X587" s="76">
        <f>V587+1</f>
        <v>2017</v>
      </c>
      <c r="Y587" s="76">
        <f>X587+1</f>
        <v>2018</v>
      </c>
      <c r="Z587" s="76">
        <f>Y587+1</f>
        <v>2019</v>
      </c>
      <c r="AA587" s="76">
        <f>Z587+1</f>
        <v>2020</v>
      </c>
      <c r="AB587" s="76">
        <f>AA587+1</f>
        <v>2021</v>
      </c>
    </row>
    <row r="588" spans="2:28" ht="4" customHeight="1"/>
    <row r="589" spans="2:28" ht="12" customHeight="1">
      <c r="C589" s="28"/>
      <c r="E589" s="77" t="s">
        <v>218</v>
      </c>
      <c r="F589" s="158" t="s">
        <v>219</v>
      </c>
      <c r="G589" s="86"/>
      <c r="H589" s="213" t="s">
        <v>71</v>
      </c>
      <c r="I589" s="216">
        <v>0.5</v>
      </c>
      <c r="J589" s="3"/>
      <c r="K589" s="298">
        <v>13</v>
      </c>
      <c r="L589" s="229" t="s">
        <v>73</v>
      </c>
      <c r="M589" s="30"/>
      <c r="N589" s="176">
        <f>I589*K589</f>
        <v>6.5</v>
      </c>
      <c r="O589" s="32"/>
      <c r="P589" s="88"/>
      <c r="Q589" s="30"/>
      <c r="R589" s="90"/>
      <c r="S589" s="91">
        <f>N589</f>
        <v>6.5</v>
      </c>
      <c r="T589" s="91"/>
      <c r="U589" s="91"/>
      <c r="V589" s="92"/>
      <c r="W589" s="30"/>
      <c r="X589" s="90"/>
      <c r="Y589" s="91"/>
      <c r="Z589" s="91"/>
      <c r="AA589" s="91"/>
      <c r="AB589" s="92"/>
    </row>
    <row r="590" spans="2:28" ht="12" customHeight="1">
      <c r="C590" s="28"/>
      <c r="E590" s="77" t="s">
        <v>215</v>
      </c>
      <c r="F590" s="158" t="s">
        <v>70</v>
      </c>
      <c r="G590" s="86"/>
      <c r="H590" s="213" t="s">
        <v>71</v>
      </c>
      <c r="I590" s="216">
        <v>0.25</v>
      </c>
      <c r="J590" s="3"/>
      <c r="K590" s="228">
        <v>5.7</v>
      </c>
      <c r="L590" s="229" t="s">
        <v>72</v>
      </c>
      <c r="M590" s="30"/>
      <c r="N590" s="176">
        <f>I590*K590</f>
        <v>1.425</v>
      </c>
      <c r="O590" s="32"/>
      <c r="P590" s="88"/>
      <c r="Q590" s="30"/>
      <c r="R590" s="90"/>
      <c r="S590" s="91">
        <f>N590</f>
        <v>1.425</v>
      </c>
      <c r="T590" s="91"/>
      <c r="U590" s="91"/>
      <c r="V590" s="92"/>
      <c r="W590" s="30"/>
      <c r="X590" s="90"/>
      <c r="Y590" s="91"/>
      <c r="Z590" s="91"/>
      <c r="AA590" s="91"/>
      <c r="AB590" s="92"/>
    </row>
    <row r="591" spans="2:28" ht="12" customHeight="1">
      <c r="C591" s="28"/>
      <c r="E591" s="105"/>
      <c r="F591" s="41" t="s">
        <v>17</v>
      </c>
      <c r="G591" s="93"/>
      <c r="H591" s="94"/>
      <c r="I591" s="217">
        <v>0.1</v>
      </c>
      <c r="J591" s="3"/>
      <c r="K591" s="174">
        <v>7</v>
      </c>
      <c r="L591" s="226" t="s">
        <v>73</v>
      </c>
      <c r="M591" s="30"/>
      <c r="N591" s="177">
        <f>I591*K591</f>
        <v>0.70000000000000007</v>
      </c>
      <c r="O591" s="32"/>
      <c r="P591" s="96"/>
      <c r="Q591" s="30"/>
      <c r="R591" s="97"/>
      <c r="S591" s="98">
        <f>N591</f>
        <v>0.70000000000000007</v>
      </c>
      <c r="T591" s="98"/>
      <c r="U591" s="98"/>
      <c r="V591" s="99"/>
      <c r="W591" s="30"/>
      <c r="X591" s="97"/>
      <c r="Y591" s="98"/>
      <c r="Z591" s="98"/>
      <c r="AA591" s="98"/>
      <c r="AB591" s="99"/>
    </row>
    <row r="592" spans="2:28" ht="12" customHeight="1">
      <c r="C592" s="28"/>
      <c r="E592" s="105" t="s">
        <v>216</v>
      </c>
      <c r="F592" s="41" t="s">
        <v>217</v>
      </c>
      <c r="G592" s="100"/>
      <c r="H592" s="94"/>
      <c r="I592" s="217">
        <f>0.25</f>
        <v>0.25</v>
      </c>
      <c r="J592" s="3"/>
      <c r="K592" s="200">
        <f>11*3</f>
        <v>33</v>
      </c>
      <c r="L592" s="230" t="s">
        <v>72</v>
      </c>
      <c r="M592" s="30"/>
      <c r="N592" s="177">
        <f>I592*K592</f>
        <v>8.25</v>
      </c>
      <c r="O592" s="32"/>
      <c r="P592" s="96"/>
      <c r="Q592" s="30"/>
      <c r="R592" s="257"/>
      <c r="S592" s="214">
        <f>N592</f>
        <v>8.25</v>
      </c>
      <c r="T592" s="214"/>
      <c r="U592" s="103"/>
      <c r="V592" s="104"/>
      <c r="W592" s="30"/>
      <c r="X592" s="102"/>
      <c r="Y592" s="103"/>
      <c r="Z592" s="103"/>
      <c r="AA592" s="103"/>
      <c r="AB592" s="104"/>
    </row>
    <row r="593" spans="2:28" ht="12" customHeight="1">
      <c r="C593" s="28"/>
      <c r="E593" s="105"/>
      <c r="F593" s="253" t="s">
        <v>17</v>
      </c>
      <c r="G593" s="100"/>
      <c r="H593" s="94"/>
      <c r="I593" s="217">
        <v>0.1</v>
      </c>
      <c r="J593" s="3"/>
      <c r="K593" s="174">
        <v>11</v>
      </c>
      <c r="L593" s="226" t="s">
        <v>73</v>
      </c>
      <c r="M593" s="30"/>
      <c r="N593" s="177">
        <f>I593*K593</f>
        <v>1.1000000000000001</v>
      </c>
      <c r="O593" s="32"/>
      <c r="P593" s="96"/>
      <c r="Q593" s="30"/>
      <c r="R593" s="257"/>
      <c r="S593" s="214">
        <f>N593</f>
        <v>1.1000000000000001</v>
      </c>
      <c r="T593" s="214"/>
      <c r="U593" s="103"/>
      <c r="V593" s="104"/>
      <c r="W593" s="30"/>
      <c r="X593" s="102"/>
      <c r="Y593" s="103"/>
      <c r="Z593" s="103"/>
      <c r="AA593" s="103"/>
      <c r="AB593" s="104"/>
    </row>
    <row r="594" spans="2:28" ht="15" customHeight="1">
      <c r="C594" s="28"/>
      <c r="E594" s="183" t="s">
        <v>111</v>
      </c>
      <c r="F594" s="186"/>
      <c r="G594" s="184"/>
      <c r="H594" s="94"/>
      <c r="I594" s="95"/>
      <c r="J594" s="3"/>
      <c r="K594" s="174"/>
      <c r="L594" s="226"/>
      <c r="M594" s="30"/>
      <c r="N594" s="177"/>
      <c r="O594" s="32"/>
      <c r="P594" s="96"/>
      <c r="Q594" s="30"/>
      <c r="R594" s="102"/>
      <c r="S594" s="103"/>
      <c r="T594" s="103"/>
      <c r="U594" s="103"/>
      <c r="V594" s="104"/>
      <c r="W594" s="30"/>
      <c r="X594" s="102"/>
      <c r="Y594" s="103"/>
      <c r="Z594" s="103"/>
      <c r="AA594" s="103"/>
      <c r="AB594" s="104"/>
    </row>
    <row r="595" spans="2:28" ht="12" customHeight="1">
      <c r="C595" s="28"/>
      <c r="E595" s="107" t="s">
        <v>118</v>
      </c>
      <c r="F595" s="254" t="s">
        <v>136</v>
      </c>
      <c r="G595" s="185"/>
      <c r="H595" s="94" t="s">
        <v>18</v>
      </c>
      <c r="I595" s="43">
        <v>7</v>
      </c>
      <c r="J595" s="3"/>
      <c r="K595" s="174">
        <v>1</v>
      </c>
      <c r="L595" s="226"/>
      <c r="M595" s="30"/>
      <c r="N595" s="178">
        <f>I595*K595</f>
        <v>7</v>
      </c>
      <c r="O595" s="32"/>
      <c r="P595" s="96"/>
      <c r="Q595" s="30"/>
      <c r="R595" s="257">
        <f>0.1*N595</f>
        <v>0.70000000000000007</v>
      </c>
      <c r="S595" s="214">
        <f t="shared" ref="S595:S596" si="105">0.5*N595</f>
        <v>3.5</v>
      </c>
      <c r="T595" s="214">
        <f>0.4*N595</f>
        <v>2.8000000000000003</v>
      </c>
      <c r="U595" s="103"/>
      <c r="V595" s="104"/>
      <c r="W595" s="30"/>
      <c r="X595" s="102"/>
      <c r="Y595" s="103"/>
      <c r="Z595" s="103"/>
      <c r="AA595" s="103"/>
      <c r="AB595" s="104"/>
    </row>
    <row r="596" spans="2:28" ht="12" customHeight="1">
      <c r="C596" s="28"/>
      <c r="E596" s="261" t="s">
        <v>112</v>
      </c>
      <c r="F596" s="248" t="s">
        <v>133</v>
      </c>
      <c r="G596" s="184"/>
      <c r="H596" s="94" t="s">
        <v>18</v>
      </c>
      <c r="I596" s="43">
        <v>0.12</v>
      </c>
      <c r="J596" s="3"/>
      <c r="K596" s="200">
        <f>33*10</f>
        <v>330</v>
      </c>
      <c r="L596" s="230"/>
      <c r="M596" s="30"/>
      <c r="N596" s="177">
        <f>I596*K596</f>
        <v>39.6</v>
      </c>
      <c r="O596" s="32"/>
      <c r="P596" s="96"/>
      <c r="Q596" s="30"/>
      <c r="R596" s="257">
        <f t="shared" ref="R596" si="106">0.1*N596</f>
        <v>3.9600000000000004</v>
      </c>
      <c r="S596" s="214">
        <f t="shared" si="105"/>
        <v>19.8</v>
      </c>
      <c r="T596" s="214">
        <f t="shared" ref="T596" si="107">0.4*N596</f>
        <v>15.840000000000002</v>
      </c>
      <c r="U596" s="103"/>
      <c r="V596" s="104"/>
      <c r="W596" s="30"/>
      <c r="X596" s="102"/>
      <c r="Y596" s="103"/>
      <c r="Z596" s="103"/>
      <c r="AA596" s="103"/>
      <c r="AB596" s="104"/>
    </row>
    <row r="597" spans="2:28" ht="12" customHeight="1">
      <c r="C597" s="28"/>
      <c r="E597" s="245" t="s">
        <v>44</v>
      </c>
      <c r="F597" s="246"/>
      <c r="G597" s="184"/>
      <c r="H597" s="94"/>
      <c r="I597" s="43"/>
      <c r="J597" s="3"/>
      <c r="K597" s="200"/>
      <c r="L597" s="230"/>
      <c r="M597" s="30"/>
      <c r="N597" s="177"/>
      <c r="O597" s="32"/>
      <c r="P597" s="96"/>
      <c r="Q597" s="30"/>
      <c r="R597" s="257"/>
      <c r="S597" s="214"/>
      <c r="T597" s="214"/>
      <c r="U597" s="103"/>
      <c r="V597" s="104"/>
      <c r="W597" s="30"/>
      <c r="X597" s="102"/>
      <c r="Y597" s="103"/>
      <c r="Z597" s="103"/>
      <c r="AA597" s="103"/>
      <c r="AB597" s="104"/>
    </row>
    <row r="598" spans="2:28" ht="12" customHeight="1">
      <c r="C598" s="28"/>
      <c r="E598" s="107" t="s">
        <v>44</v>
      </c>
      <c r="F598" s="247" t="s">
        <v>46</v>
      </c>
      <c r="G598" s="184"/>
      <c r="H598" s="94" t="s">
        <v>18</v>
      </c>
      <c r="I598" s="43">
        <v>65</v>
      </c>
      <c r="J598" s="3"/>
      <c r="K598" s="174">
        <v>1</v>
      </c>
      <c r="L598" s="226"/>
      <c r="M598" s="30"/>
      <c r="N598" s="178">
        <f>I598*K598</f>
        <v>65</v>
      </c>
      <c r="O598" s="32"/>
      <c r="P598" s="96"/>
      <c r="Q598" s="30"/>
      <c r="R598" s="257">
        <f t="shared" ref="R598:R602" si="108">0.1*N598</f>
        <v>6.5</v>
      </c>
      <c r="S598" s="214">
        <f t="shared" ref="S598:S602" si="109">0.5*N598</f>
        <v>32.5</v>
      </c>
      <c r="T598" s="214">
        <f t="shared" ref="T598:T602" si="110">0.4*N598</f>
        <v>26</v>
      </c>
      <c r="U598" s="103"/>
      <c r="V598" s="104"/>
      <c r="W598" s="30"/>
      <c r="X598" s="102"/>
      <c r="Y598" s="103"/>
      <c r="Z598" s="103"/>
      <c r="AA598" s="103"/>
      <c r="AB598" s="104"/>
    </row>
    <row r="599" spans="2:28" ht="12" customHeight="1">
      <c r="C599" s="28"/>
      <c r="E599" s="107"/>
      <c r="F599" s="247" t="s">
        <v>110</v>
      </c>
      <c r="G599" s="184"/>
      <c r="H599" s="94" t="s">
        <v>18</v>
      </c>
      <c r="I599" s="43">
        <v>0.12</v>
      </c>
      <c r="J599" s="3"/>
      <c r="K599" s="200">
        <f>44*10</f>
        <v>440</v>
      </c>
      <c r="L599" s="230" t="s">
        <v>75</v>
      </c>
      <c r="M599" s="30"/>
      <c r="N599" s="177">
        <f>I599*K599</f>
        <v>52.8</v>
      </c>
      <c r="O599" s="32"/>
      <c r="P599" s="96"/>
      <c r="Q599" s="30"/>
      <c r="R599" s="257">
        <f t="shared" si="108"/>
        <v>5.28</v>
      </c>
      <c r="S599" s="214">
        <f t="shared" si="109"/>
        <v>26.4</v>
      </c>
      <c r="T599" s="214">
        <f t="shared" si="110"/>
        <v>21.12</v>
      </c>
      <c r="U599" s="103"/>
      <c r="V599" s="104"/>
      <c r="W599" s="30"/>
      <c r="X599" s="102"/>
      <c r="Y599" s="103"/>
      <c r="Z599" s="103"/>
      <c r="AA599" s="103"/>
      <c r="AB599" s="104"/>
    </row>
    <row r="600" spans="2:28" ht="12" customHeight="1">
      <c r="C600" s="28"/>
      <c r="E600" s="107"/>
      <c r="F600" s="247" t="s">
        <v>56</v>
      </c>
      <c r="G600" s="184"/>
      <c r="H600" s="94"/>
      <c r="I600" s="43"/>
      <c r="J600" s="3"/>
      <c r="K600" s="173"/>
      <c r="L600" s="230"/>
      <c r="M600" s="30"/>
      <c r="N600" s="177">
        <v>5</v>
      </c>
      <c r="O600" s="32"/>
      <c r="P600" s="96"/>
      <c r="Q600" s="30"/>
      <c r="R600" s="257">
        <f t="shared" si="108"/>
        <v>0.5</v>
      </c>
      <c r="S600" s="214">
        <f t="shared" si="109"/>
        <v>2.5</v>
      </c>
      <c r="T600" s="214">
        <f t="shared" si="110"/>
        <v>2</v>
      </c>
      <c r="U600" s="103"/>
      <c r="V600" s="104"/>
      <c r="W600" s="30"/>
      <c r="X600" s="102"/>
      <c r="Y600" s="103"/>
      <c r="Z600" s="103"/>
      <c r="AA600" s="103"/>
      <c r="AB600" s="104"/>
    </row>
    <row r="601" spans="2:28" ht="12" customHeight="1">
      <c r="C601" s="28"/>
      <c r="E601" s="107" t="s">
        <v>90</v>
      </c>
      <c r="F601" s="247" t="s">
        <v>108</v>
      </c>
      <c r="G601" s="184"/>
      <c r="H601" s="94" t="s">
        <v>18</v>
      </c>
      <c r="I601" s="43">
        <v>1.25</v>
      </c>
      <c r="J601" s="3"/>
      <c r="K601" s="200">
        <v>48</v>
      </c>
      <c r="L601" s="204" t="s">
        <v>91</v>
      </c>
      <c r="M601" s="30"/>
      <c r="N601" s="177">
        <f>I601*K601</f>
        <v>60</v>
      </c>
      <c r="O601" s="32"/>
      <c r="P601" s="96"/>
      <c r="Q601" s="30"/>
      <c r="R601" s="257">
        <f t="shared" si="108"/>
        <v>6</v>
      </c>
      <c r="S601" s="214">
        <f t="shared" si="109"/>
        <v>30</v>
      </c>
      <c r="T601" s="214">
        <f t="shared" si="110"/>
        <v>24</v>
      </c>
      <c r="U601" s="103"/>
      <c r="V601" s="104"/>
      <c r="W601" s="30"/>
      <c r="X601" s="102"/>
      <c r="Y601" s="103"/>
      <c r="Z601" s="103"/>
      <c r="AA601" s="103"/>
      <c r="AB601" s="104"/>
    </row>
    <row r="602" spans="2:28" ht="12" customHeight="1">
      <c r="C602" s="28"/>
      <c r="E602" s="189" t="s">
        <v>59</v>
      </c>
      <c r="F602" s="256" t="s">
        <v>139</v>
      </c>
      <c r="G602" s="190"/>
      <c r="H602" s="94"/>
      <c r="I602" s="43"/>
      <c r="J602" s="3"/>
      <c r="K602" s="175"/>
      <c r="L602" s="231"/>
      <c r="M602" s="30"/>
      <c r="N602" s="234">
        <f>SUM(N589:N600)*0.1</f>
        <v>18.737500000000001</v>
      </c>
      <c r="O602" s="32"/>
      <c r="P602" s="109"/>
      <c r="Q602" s="30"/>
      <c r="R602" s="218">
        <f t="shared" si="108"/>
        <v>1.8737500000000002</v>
      </c>
      <c r="S602" s="219">
        <f t="shared" si="109"/>
        <v>9.3687500000000004</v>
      </c>
      <c r="T602" s="219">
        <f t="shared" si="110"/>
        <v>7.495000000000001</v>
      </c>
      <c r="U602" s="111"/>
      <c r="V602" s="112"/>
      <c r="W602" s="30"/>
      <c r="X602" s="110"/>
      <c r="Y602" s="111"/>
      <c r="Z602" s="111"/>
      <c r="AA602" s="111"/>
      <c r="AB602" s="112"/>
    </row>
    <row r="603" spans="2:28" ht="4" customHeight="1">
      <c r="E603" s="3"/>
      <c r="J603" s="3"/>
    </row>
    <row r="604" spans="2:28" ht="15" customHeight="1">
      <c r="F604" s="113" t="s">
        <v>19</v>
      </c>
      <c r="G604" s="114"/>
      <c r="H604" s="114"/>
      <c r="I604" s="85"/>
      <c r="K604" s="22"/>
      <c r="L604" s="207"/>
      <c r="M604" s="20"/>
      <c r="N604" s="179">
        <f>SUM(N589:N602)</f>
        <v>266.11250000000001</v>
      </c>
      <c r="O604" s="20"/>
      <c r="P604" s="22"/>
      <c r="Q604" s="20"/>
      <c r="R604" s="180">
        <f>SUM(R590:R602)</f>
        <v>24.813750000000002</v>
      </c>
      <c r="S604" s="181">
        <f>SUM(S590:S602)</f>
        <v>135.54375000000002</v>
      </c>
      <c r="T604" s="181">
        <f>SUM(T590:T602)</f>
        <v>99.25500000000001</v>
      </c>
      <c r="U604" s="182">
        <f>SUM(U590:U602)</f>
        <v>0</v>
      </c>
      <c r="V604" s="180">
        <f>SUM(V590:V602)</f>
        <v>0</v>
      </c>
      <c r="W604" s="115"/>
      <c r="X604" s="160">
        <f>SUM(X590:X602)</f>
        <v>0</v>
      </c>
      <c r="Y604" s="161">
        <f>SUM(Y590:Y602)</f>
        <v>0</v>
      </c>
      <c r="Z604" s="161">
        <f>SUM(Z590:Z602)</f>
        <v>0</v>
      </c>
      <c r="AA604" s="161">
        <f>SUM(AA590:AA602)</f>
        <v>0</v>
      </c>
      <c r="AB604" s="161">
        <f>SUM(AB590:AB602)</f>
        <v>0</v>
      </c>
    </row>
    <row r="605" spans="2:28" ht="10" customHeight="1">
      <c r="F605" s="192"/>
      <c r="G605" s="193"/>
      <c r="H605" s="193"/>
      <c r="I605" s="193"/>
      <c r="K605" s="168"/>
      <c r="L605" s="20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94"/>
      <c r="X605" s="195"/>
      <c r="Y605" s="195"/>
      <c r="Z605" s="195"/>
      <c r="AA605" s="195"/>
      <c r="AB605" s="195"/>
    </row>
    <row r="606" spans="2:28" ht="15" customHeight="1">
      <c r="B606" s="164" t="s">
        <v>116</v>
      </c>
      <c r="C606" s="6"/>
      <c r="E606" s="116" t="s">
        <v>20</v>
      </c>
    </row>
    <row r="607" spans="2:28" ht="15" customHeight="1">
      <c r="B607" s="6"/>
      <c r="C607" s="9"/>
      <c r="E607" s="9" t="s">
        <v>126</v>
      </c>
      <c r="F607" s="237"/>
      <c r="K607" s="333" t="s">
        <v>9</v>
      </c>
      <c r="L607" s="334"/>
      <c r="M607" s="334"/>
      <c r="N607" s="335"/>
      <c r="O607" s="24"/>
      <c r="P607" s="68" t="s">
        <v>10</v>
      </c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70"/>
    </row>
    <row r="608" spans="2:28" ht="15" customHeight="1">
      <c r="E608" s="26" t="s">
        <v>21</v>
      </c>
      <c r="F608" s="84" t="s">
        <v>22</v>
      </c>
      <c r="G608" s="85"/>
      <c r="H608" s="73" t="s">
        <v>4</v>
      </c>
      <c r="I608" s="75" t="s">
        <v>23</v>
      </c>
      <c r="K608" s="71"/>
      <c r="M608" s="24"/>
      <c r="N608" s="72" t="s">
        <v>11</v>
      </c>
      <c r="O608" s="24"/>
      <c r="P608" s="73">
        <v>2011</v>
      </c>
      <c r="Q608" s="74"/>
      <c r="R608" s="75">
        <f>P608+1</f>
        <v>2012</v>
      </c>
      <c r="S608" s="75">
        <f>R608+1</f>
        <v>2013</v>
      </c>
      <c r="T608" s="75">
        <f>S608+1</f>
        <v>2014</v>
      </c>
      <c r="U608" s="75">
        <f>T608+1</f>
        <v>2015</v>
      </c>
      <c r="V608" s="75">
        <f>U608+1</f>
        <v>2016</v>
      </c>
      <c r="W608" s="74"/>
      <c r="X608" s="76">
        <f>V608+1</f>
        <v>2017</v>
      </c>
      <c r="Y608" s="76">
        <f>X608+1</f>
        <v>2018</v>
      </c>
      <c r="Z608" s="76">
        <f>Y608+1</f>
        <v>2019</v>
      </c>
      <c r="AA608" s="76">
        <f>Z608+1</f>
        <v>2020</v>
      </c>
      <c r="AB608" s="76">
        <f>AA608+1</f>
        <v>2021</v>
      </c>
    </row>
    <row r="609" spans="3:28" ht="4" customHeight="1"/>
    <row r="610" spans="3:28" ht="12" customHeight="1">
      <c r="C610" s="28"/>
      <c r="E610" s="77" t="s">
        <v>3</v>
      </c>
      <c r="F610" s="197" t="s">
        <v>224</v>
      </c>
      <c r="G610" s="117"/>
      <c r="H610" s="73"/>
      <c r="I610" s="75"/>
      <c r="J610" s="3"/>
      <c r="K610" s="87"/>
      <c r="L610" s="204"/>
      <c r="M610" s="30"/>
      <c r="N610" s="176">
        <f>N585</f>
        <v>102.89999999999999</v>
      </c>
      <c r="O610" s="32"/>
      <c r="P610" s="88"/>
      <c r="Q610" s="30"/>
      <c r="R610" s="89">
        <f>R585</f>
        <v>0</v>
      </c>
      <c r="S610" s="89">
        <f>S585</f>
        <v>102.89999999999999</v>
      </c>
      <c r="T610" s="89">
        <f>T585</f>
        <v>0</v>
      </c>
      <c r="U610" s="89">
        <f>U585</f>
        <v>0</v>
      </c>
      <c r="V610" s="220">
        <f>V585</f>
        <v>0</v>
      </c>
      <c r="X610" s="199"/>
      <c r="Y610" s="118"/>
      <c r="Z610" s="118"/>
      <c r="AA610" s="118"/>
      <c r="AB610" s="119"/>
    </row>
    <row r="611" spans="3:28" ht="12" customHeight="1">
      <c r="C611" s="28"/>
      <c r="E611" s="105" t="s">
        <v>218</v>
      </c>
      <c r="F611" s="41" t="s">
        <v>221</v>
      </c>
      <c r="G611" s="100"/>
      <c r="H611" s="94"/>
      <c r="I611" s="43"/>
      <c r="J611" s="3"/>
      <c r="K611" s="101"/>
      <c r="L611" s="204"/>
      <c r="M611" s="30"/>
      <c r="N611" s="178">
        <f>N589</f>
        <v>6.5</v>
      </c>
      <c r="O611" s="32"/>
      <c r="P611" s="96"/>
      <c r="Q611" s="30"/>
      <c r="R611" s="157">
        <f>SUM(R584:R587)</f>
        <v>2012</v>
      </c>
      <c r="S611" s="157">
        <f t="shared" ref="S611:V611" si="111">SUM(S584:S587)</f>
        <v>2168.8000000000002</v>
      </c>
      <c r="T611" s="157">
        <f t="shared" si="111"/>
        <v>2014</v>
      </c>
      <c r="U611" s="157">
        <f t="shared" si="111"/>
        <v>2015</v>
      </c>
      <c r="V611" s="157">
        <f t="shared" si="111"/>
        <v>2016</v>
      </c>
      <c r="W611" s="30"/>
      <c r="X611" s="102"/>
      <c r="Y611" s="103"/>
      <c r="Z611" s="103"/>
      <c r="AA611" s="103"/>
      <c r="AB611" s="104"/>
    </row>
    <row r="612" spans="3:28" ht="12" customHeight="1">
      <c r="C612" s="28"/>
      <c r="E612" s="105" t="s">
        <v>29</v>
      </c>
      <c r="F612" s="41" t="s">
        <v>220</v>
      </c>
      <c r="G612" s="100"/>
      <c r="H612" s="94"/>
      <c r="I612" s="43"/>
      <c r="J612" s="3"/>
      <c r="K612" s="101"/>
      <c r="L612" s="204"/>
      <c r="M612" s="30"/>
      <c r="N612" s="178">
        <f>SUM(N590:N593)</f>
        <v>11.475</v>
      </c>
      <c r="O612" s="32"/>
      <c r="P612" s="96"/>
      <c r="Q612" s="30"/>
      <c r="R612" s="157">
        <f>SUM(R590:R593)</f>
        <v>0</v>
      </c>
      <c r="S612" s="157">
        <f t="shared" ref="S612:V612" si="112">SUM(S590:S593)</f>
        <v>11.475</v>
      </c>
      <c r="T612" s="157">
        <f t="shared" si="112"/>
        <v>0</v>
      </c>
      <c r="U612" s="157">
        <f t="shared" si="112"/>
        <v>0</v>
      </c>
      <c r="V612" s="157">
        <f t="shared" si="112"/>
        <v>0</v>
      </c>
      <c r="W612" s="30"/>
      <c r="X612" s="102"/>
      <c r="Y612" s="103"/>
      <c r="Z612" s="103"/>
      <c r="AA612" s="103"/>
      <c r="AB612" s="104"/>
    </row>
    <row r="613" spans="3:28" ht="12" customHeight="1">
      <c r="C613" s="28"/>
      <c r="E613" s="105" t="s">
        <v>118</v>
      </c>
      <c r="F613" s="41"/>
      <c r="G613" s="100"/>
      <c r="H613" s="94"/>
      <c r="I613" s="43"/>
      <c r="J613" s="3"/>
      <c r="K613" s="101"/>
      <c r="L613" s="204"/>
      <c r="M613" s="30"/>
      <c r="N613" s="178">
        <f>SUM(N595)</f>
        <v>7</v>
      </c>
      <c r="O613" s="32"/>
      <c r="P613" s="96"/>
      <c r="Q613" s="30"/>
      <c r="R613" s="178">
        <f>SUM(R595)</f>
        <v>0.70000000000000007</v>
      </c>
      <c r="S613" s="178">
        <f t="shared" ref="S613:V614" si="113">SUM(S595)</f>
        <v>3.5</v>
      </c>
      <c r="T613" s="178">
        <f t="shared" si="113"/>
        <v>2.8000000000000003</v>
      </c>
      <c r="U613" s="178">
        <f t="shared" si="113"/>
        <v>0</v>
      </c>
      <c r="V613" s="178">
        <f t="shared" si="113"/>
        <v>0</v>
      </c>
      <c r="W613" s="30"/>
      <c r="X613" s="102"/>
      <c r="Y613" s="103"/>
      <c r="Z613" s="103"/>
      <c r="AA613" s="103"/>
      <c r="AB613" s="104"/>
    </row>
    <row r="614" spans="3:28" ht="12" customHeight="1">
      <c r="C614" s="28"/>
      <c r="E614" s="107" t="s">
        <v>112</v>
      </c>
      <c r="F614" s="187" t="s">
        <v>130</v>
      </c>
      <c r="G614" s="100"/>
      <c r="H614" s="94"/>
      <c r="I614" s="43"/>
      <c r="J614" s="3"/>
      <c r="K614" s="101"/>
      <c r="L614" s="204"/>
      <c r="M614" s="30"/>
      <c r="N614" s="178">
        <f>SUM(N596)</f>
        <v>39.6</v>
      </c>
      <c r="O614" s="32"/>
      <c r="P614" s="96"/>
      <c r="Q614" s="30"/>
      <c r="R614" s="178">
        <f>SUM(R596)</f>
        <v>3.9600000000000004</v>
      </c>
      <c r="S614" s="178">
        <f t="shared" si="113"/>
        <v>19.8</v>
      </c>
      <c r="T614" s="178">
        <f t="shared" si="113"/>
        <v>15.840000000000002</v>
      </c>
      <c r="U614" s="178">
        <f t="shared" si="113"/>
        <v>0</v>
      </c>
      <c r="V614" s="178">
        <f t="shared" si="113"/>
        <v>0</v>
      </c>
      <c r="W614" s="30"/>
      <c r="X614" s="102"/>
      <c r="Y614" s="103"/>
      <c r="Z614" s="103"/>
      <c r="AA614" s="103"/>
      <c r="AB614" s="104"/>
    </row>
    <row r="615" spans="3:28" ht="12" customHeight="1">
      <c r="C615" s="28"/>
      <c r="E615" s="105" t="s">
        <v>119</v>
      </c>
      <c r="F615" s="41"/>
      <c r="G615" s="100"/>
      <c r="H615" s="94"/>
      <c r="I615" s="43"/>
      <c r="J615" s="3"/>
      <c r="K615" s="101"/>
      <c r="L615" s="204"/>
      <c r="M615" s="30"/>
      <c r="N615" s="178">
        <f>SUM(N598)</f>
        <v>65</v>
      </c>
      <c r="O615" s="32"/>
      <c r="P615" s="96"/>
      <c r="Q615" s="30"/>
      <c r="R615" s="178">
        <f>SUM(R598)</f>
        <v>6.5</v>
      </c>
      <c r="S615" s="178">
        <f t="shared" ref="S615:W617" si="114">SUM(S598)</f>
        <v>32.5</v>
      </c>
      <c r="T615" s="178">
        <f t="shared" si="114"/>
        <v>26</v>
      </c>
      <c r="U615" s="178">
        <f t="shared" si="114"/>
        <v>0</v>
      </c>
      <c r="V615" s="178">
        <f t="shared" si="114"/>
        <v>0</v>
      </c>
      <c r="W615" s="178">
        <f t="shared" si="114"/>
        <v>0</v>
      </c>
      <c r="X615" s="102"/>
      <c r="Y615" s="103"/>
      <c r="Z615" s="103"/>
      <c r="AA615" s="103"/>
      <c r="AB615" s="104"/>
    </row>
    <row r="616" spans="3:28" ht="12" customHeight="1">
      <c r="C616" s="28"/>
      <c r="E616" s="105" t="s">
        <v>120</v>
      </c>
      <c r="F616" s="247" t="s">
        <v>110</v>
      </c>
      <c r="G616" s="100"/>
      <c r="H616" s="94"/>
      <c r="I616" s="43"/>
      <c r="J616" s="3"/>
      <c r="K616" s="101"/>
      <c r="L616" s="204"/>
      <c r="M616" s="30"/>
      <c r="N616" s="178">
        <f>SUM(N599)</f>
        <v>52.8</v>
      </c>
      <c r="O616" s="32"/>
      <c r="P616" s="96"/>
      <c r="Q616" s="30"/>
      <c r="R616" s="178">
        <f>SUM(R599)</f>
        <v>5.28</v>
      </c>
      <c r="S616" s="178">
        <f t="shared" si="114"/>
        <v>26.4</v>
      </c>
      <c r="T616" s="178">
        <f t="shared" si="114"/>
        <v>21.12</v>
      </c>
      <c r="U616" s="178">
        <f t="shared" si="114"/>
        <v>0</v>
      </c>
      <c r="V616" s="178">
        <f t="shared" si="114"/>
        <v>0</v>
      </c>
      <c r="W616" s="30"/>
      <c r="X616" s="102"/>
      <c r="Y616" s="103"/>
      <c r="Z616" s="103"/>
      <c r="AA616" s="103"/>
      <c r="AB616" s="104"/>
    </row>
    <row r="617" spans="3:28" ht="12" customHeight="1">
      <c r="C617" s="28"/>
      <c r="E617" s="105" t="s">
        <v>121</v>
      </c>
      <c r="F617" s="41"/>
      <c r="G617" s="100"/>
      <c r="H617" s="94"/>
      <c r="I617" s="43"/>
      <c r="J617" s="3"/>
      <c r="K617" s="101"/>
      <c r="L617" s="204"/>
      <c r="M617" s="30"/>
      <c r="N617" s="178">
        <f>SUM(N600)</f>
        <v>5</v>
      </c>
      <c r="O617" s="32"/>
      <c r="P617" s="96"/>
      <c r="Q617" s="30"/>
      <c r="R617" s="178">
        <f>SUM(R600)</f>
        <v>0.5</v>
      </c>
      <c r="S617" s="178">
        <f t="shared" si="114"/>
        <v>2.5</v>
      </c>
      <c r="T617" s="178">
        <f t="shared" si="114"/>
        <v>2</v>
      </c>
      <c r="U617" s="178">
        <f t="shared" si="114"/>
        <v>0</v>
      </c>
      <c r="V617" s="178">
        <f t="shared" si="114"/>
        <v>0</v>
      </c>
      <c r="W617" s="30"/>
      <c r="X617" s="102"/>
      <c r="Y617" s="103"/>
      <c r="Z617" s="103"/>
      <c r="AA617" s="103"/>
      <c r="AB617" s="104"/>
    </row>
    <row r="618" spans="3:28" ht="12" customHeight="1">
      <c r="C618" s="28"/>
      <c r="E618" s="107" t="s">
        <v>90</v>
      </c>
      <c r="F618" s="247" t="s">
        <v>108</v>
      </c>
      <c r="G618" s="100"/>
      <c r="H618" s="94"/>
      <c r="I618" s="43"/>
      <c r="J618" s="3"/>
      <c r="K618" s="101"/>
      <c r="L618" s="204"/>
      <c r="M618" s="30"/>
      <c r="N618" s="178">
        <f>SUM(N601)</f>
        <v>60</v>
      </c>
      <c r="O618" s="32"/>
      <c r="P618" s="96"/>
      <c r="Q618" s="30"/>
      <c r="R618" s="178">
        <f>SUM(R602:R602)</f>
        <v>1.8737500000000002</v>
      </c>
      <c r="S618" s="178">
        <f>SUM(S602:S602)</f>
        <v>9.3687500000000004</v>
      </c>
      <c r="T618" s="178">
        <f>SUM(T602:T602)</f>
        <v>7.495000000000001</v>
      </c>
      <c r="U618" s="178">
        <f>SUM(U602:U602)</f>
        <v>0</v>
      </c>
      <c r="V618" s="178">
        <f>SUM(V602:V602)</f>
        <v>0</v>
      </c>
      <c r="W618" s="30"/>
      <c r="X618" s="102"/>
      <c r="Y618" s="103"/>
      <c r="Z618" s="103"/>
      <c r="AA618" s="103"/>
      <c r="AB618" s="104"/>
    </row>
    <row r="619" spans="3:28" ht="12" customHeight="1">
      <c r="C619" s="28"/>
      <c r="E619" s="108" t="s">
        <v>59</v>
      </c>
      <c r="F619" s="256" t="s">
        <v>139</v>
      </c>
      <c r="G619" s="120"/>
      <c r="H619" s="94"/>
      <c r="I619" s="43"/>
      <c r="J619" s="3"/>
      <c r="K619" s="121"/>
      <c r="L619" s="204"/>
      <c r="M619" s="30"/>
      <c r="N619" s="234">
        <f>N602</f>
        <v>18.737500000000001</v>
      </c>
      <c r="O619" s="32"/>
      <c r="P619" s="109"/>
      <c r="Q619" s="30"/>
      <c r="R619" s="163">
        <f t="shared" ref="R619:V619" si="115">R602</f>
        <v>1.8737500000000002</v>
      </c>
      <c r="S619" s="163">
        <f t="shared" si="115"/>
        <v>9.3687500000000004</v>
      </c>
      <c r="T619" s="163">
        <f t="shared" si="115"/>
        <v>7.495000000000001</v>
      </c>
      <c r="U619" s="163">
        <f t="shared" si="115"/>
        <v>0</v>
      </c>
      <c r="V619" s="163">
        <f t="shared" si="115"/>
        <v>0</v>
      </c>
      <c r="W619" s="30"/>
      <c r="X619" s="218"/>
      <c r="Y619" s="111"/>
      <c r="Z619" s="111"/>
      <c r="AA619" s="111"/>
      <c r="AB619" s="112"/>
    </row>
    <row r="620" spans="3:28" ht="4" customHeight="1">
      <c r="E620" s="3"/>
      <c r="J620" s="3"/>
    </row>
    <row r="621" spans="3:28" ht="15" customHeight="1">
      <c r="F621" s="122" t="s">
        <v>24</v>
      </c>
      <c r="G621" s="114"/>
      <c r="H621" s="114"/>
      <c r="I621" s="85"/>
      <c r="K621" s="22"/>
      <c r="L621" s="207"/>
      <c r="M621" s="20"/>
      <c r="N621" s="162">
        <f>SUM(N610:N619)</f>
        <v>369.01249999999999</v>
      </c>
      <c r="O621" s="20"/>
      <c r="P621" s="22"/>
      <c r="Q621" s="20"/>
      <c r="R621" s="198">
        <f>SUM(R610:R619)</f>
        <v>2032.6875</v>
      </c>
      <c r="S621" s="198">
        <f>SUM(S610:S619)</f>
        <v>2386.6125000000006</v>
      </c>
      <c r="T621" s="198">
        <f>SUM(T610:T619)</f>
        <v>2096.7499999999995</v>
      </c>
      <c r="U621" s="198">
        <f>SUM(U610:U619)</f>
        <v>2015</v>
      </c>
      <c r="V621" s="198">
        <f>SUM(V610:V619)</f>
        <v>2016</v>
      </c>
      <c r="W621" s="115"/>
      <c r="X621" s="160">
        <f>SUM(X610:X619)</f>
        <v>0</v>
      </c>
      <c r="Y621" s="160">
        <f>SUM(Y610:Y619)</f>
        <v>0</v>
      </c>
      <c r="Z621" s="160">
        <f>SUM(Z610:Z619)</f>
        <v>0</v>
      </c>
      <c r="AA621" s="160">
        <f>SUM(AA610:AA619)</f>
        <v>0</v>
      </c>
      <c r="AB621" s="160">
        <f>SUM(AB610:AB619)</f>
        <v>0</v>
      </c>
    </row>
    <row r="622" spans="3:28" ht="10" customHeight="1"/>
    <row r="623" spans="3:28" ht="12" customHeight="1">
      <c r="N623" s="67"/>
    </row>
    <row r="624" spans="3:28" ht="12" customHeight="1">
      <c r="N624" s="67"/>
    </row>
    <row r="625" spans="2:29" ht="10" customHeight="1">
      <c r="N625" s="67"/>
    </row>
    <row r="626" spans="2:29" ht="10" customHeight="1" thickBot="1">
      <c r="N626" s="67"/>
    </row>
    <row r="627" spans="2:29" ht="16" thickBot="1">
      <c r="B627" s="315" t="s">
        <v>227</v>
      </c>
      <c r="C627" s="316"/>
      <c r="D627" s="316"/>
      <c r="E627" s="316"/>
      <c r="F627" s="316"/>
      <c r="G627" s="316"/>
      <c r="H627" s="316"/>
      <c r="I627" s="316"/>
      <c r="J627" s="316"/>
      <c r="K627" s="316"/>
      <c r="L627" s="316"/>
      <c r="M627" s="316"/>
      <c r="N627" s="316"/>
      <c r="O627" s="316"/>
      <c r="P627" s="316"/>
      <c r="Q627" s="316"/>
      <c r="R627" s="316"/>
      <c r="S627" s="316"/>
      <c r="T627" s="316"/>
      <c r="U627" s="316"/>
      <c r="V627" s="316"/>
      <c r="W627" s="316"/>
      <c r="X627" s="316"/>
      <c r="Y627" s="316"/>
      <c r="Z627" s="316"/>
      <c r="AA627" s="316"/>
      <c r="AB627" s="317"/>
    </row>
    <row r="628" spans="2:29" ht="10" customHeight="1" thickBot="1"/>
    <row r="629" spans="2:29" ht="13" thickBot="1">
      <c r="B629" s="164" t="s">
        <v>60</v>
      </c>
      <c r="C629" s="6"/>
      <c r="D629" s="132"/>
      <c r="E629" s="123" t="s">
        <v>61</v>
      </c>
      <c r="F629" s="7"/>
      <c r="G629" s="8"/>
    </row>
    <row r="630" spans="2:29" ht="45" customHeight="1">
      <c r="B630" s="6"/>
      <c r="C630" s="9" t="s">
        <v>123</v>
      </c>
      <c r="D630" s="130"/>
      <c r="E630" s="269" t="s">
        <v>125</v>
      </c>
      <c r="F630" s="251" t="s">
        <v>156</v>
      </c>
      <c r="G630" s="11"/>
    </row>
    <row r="631" spans="2:29" ht="12" customHeight="1">
      <c r="B631" s="6"/>
      <c r="C631" s="6"/>
      <c r="D631" s="132"/>
      <c r="E631" s="12"/>
      <c r="F631" s="26" t="s">
        <v>159</v>
      </c>
      <c r="G631" s="11"/>
    </row>
    <row r="632" spans="2:29" ht="12" customHeight="1">
      <c r="B632" s="6"/>
      <c r="C632" s="6"/>
      <c r="D632" s="132"/>
      <c r="E632" s="12"/>
      <c r="F632" s="273" t="s">
        <v>7</v>
      </c>
      <c r="G632" s="14">
        <v>2014</v>
      </c>
      <c r="P632" s="137">
        <v>2011</v>
      </c>
      <c r="Q632" s="138"/>
      <c r="R632" s="137">
        <f>P632+1</f>
        <v>2012</v>
      </c>
      <c r="S632" s="137">
        <f>R632+1</f>
        <v>2013</v>
      </c>
      <c r="T632" s="137">
        <f>S632+1</f>
        <v>2014</v>
      </c>
      <c r="U632" s="137">
        <f>T632+1</f>
        <v>2015</v>
      </c>
      <c r="V632" s="137">
        <f>U632+1</f>
        <v>2016</v>
      </c>
      <c r="W632" s="138"/>
      <c r="X632" s="139">
        <f>V632+1</f>
        <v>2017</v>
      </c>
      <c r="Y632" s="139">
        <f>X632+1</f>
        <v>2018</v>
      </c>
      <c r="Z632" s="139">
        <f>Y632+1</f>
        <v>2019</v>
      </c>
      <c r="AA632" s="139">
        <f>Z632+1</f>
        <v>2020</v>
      </c>
      <c r="AB632" s="139">
        <f>AA632+1</f>
        <v>2021</v>
      </c>
    </row>
    <row r="633" spans="2:29" ht="12" customHeight="1">
      <c r="F633" s="1"/>
      <c r="G633" s="209" t="s">
        <v>68</v>
      </c>
      <c r="H633" s="18"/>
      <c r="I633" s="18"/>
      <c r="K633" s="19"/>
      <c r="L633" s="203"/>
      <c r="M633" s="20"/>
      <c r="N633" s="21" t="s">
        <v>0</v>
      </c>
      <c r="O633" s="20"/>
      <c r="P633" s="22"/>
      <c r="Q633" s="20"/>
      <c r="R633" s="141">
        <v>2.6</v>
      </c>
      <c r="S633" s="141">
        <v>2.1</v>
      </c>
      <c r="T633" s="142">
        <v>23.7</v>
      </c>
      <c r="U633" s="140">
        <v>33.799999999999997</v>
      </c>
      <c r="V633" s="143">
        <v>30.5</v>
      </c>
      <c r="W633" s="23"/>
      <c r="X633" s="144">
        <v>28.3</v>
      </c>
      <c r="Y633" s="144">
        <v>25.700000000000003</v>
      </c>
      <c r="Z633" s="144">
        <v>19.100000000000001</v>
      </c>
      <c r="AA633" s="144">
        <v>15.1</v>
      </c>
      <c r="AB633" s="144">
        <v>15.1</v>
      </c>
    </row>
    <row r="634" spans="2:29" ht="12" customHeight="1">
      <c r="F634" s="1"/>
      <c r="G634" s="210" t="s">
        <v>69</v>
      </c>
      <c r="H634" s="18"/>
      <c r="I634" s="18"/>
      <c r="K634" s="19"/>
      <c r="L634" s="203"/>
      <c r="M634" s="20"/>
      <c r="N634" s="21" t="s">
        <v>1</v>
      </c>
      <c r="O634" s="20"/>
      <c r="P634" s="22"/>
      <c r="Q634" s="20"/>
      <c r="R634" s="141">
        <v>1</v>
      </c>
      <c r="S634" s="141">
        <v>0.9</v>
      </c>
      <c r="T634" s="142">
        <v>11.600000000000001</v>
      </c>
      <c r="U634" s="140">
        <v>16.600000000000001</v>
      </c>
      <c r="V634" s="143">
        <v>15.899999999999999</v>
      </c>
      <c r="W634" s="23"/>
      <c r="X634" s="144">
        <v>15.1</v>
      </c>
      <c r="Y634" s="144">
        <v>14.100000000000001</v>
      </c>
      <c r="Z634" s="144">
        <v>10.600000000000001</v>
      </c>
      <c r="AA634" s="144">
        <v>7.9</v>
      </c>
      <c r="AB634" s="144">
        <v>7.9</v>
      </c>
    </row>
    <row r="635" spans="2:29" ht="5.15" customHeight="1">
      <c r="F635" s="1"/>
      <c r="G635" s="165"/>
      <c r="H635" s="166"/>
      <c r="I635" s="166"/>
      <c r="K635" s="167"/>
      <c r="L635" s="204"/>
      <c r="M635" s="168"/>
      <c r="N635" s="169"/>
      <c r="O635" s="168"/>
      <c r="P635" s="168"/>
      <c r="Q635" s="168"/>
      <c r="R635" s="170"/>
      <c r="S635" s="170"/>
      <c r="T635" s="170"/>
      <c r="U635" s="170"/>
      <c r="V635" s="170"/>
      <c r="W635" s="171"/>
      <c r="X635" s="172"/>
      <c r="Y635" s="172"/>
      <c r="Z635" s="172"/>
      <c r="AA635" s="172"/>
      <c r="AB635" s="172"/>
    </row>
    <row r="636" spans="2:29" ht="12" customHeight="1">
      <c r="E636" s="26" t="s">
        <v>8</v>
      </c>
      <c r="F636" s="27" t="s">
        <v>27</v>
      </c>
      <c r="O636" s="24"/>
      <c r="P636" s="134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6"/>
    </row>
    <row r="637" spans="2:29" ht="10" customHeight="1">
      <c r="C637" s="25"/>
      <c r="F637" s="1"/>
      <c r="G637" s="5"/>
      <c r="O637" s="24"/>
      <c r="P637" s="15">
        <v>2011</v>
      </c>
      <c r="Q637" s="16"/>
      <c r="R637" s="16">
        <f>P637+1</f>
        <v>2012</v>
      </c>
      <c r="S637" s="16">
        <f>R637+1</f>
        <v>2013</v>
      </c>
      <c r="T637" s="16">
        <f>S637+1</f>
        <v>2014</v>
      </c>
      <c r="U637" s="16">
        <f>T637+1</f>
        <v>2015</v>
      </c>
      <c r="V637" s="16">
        <f>U637+1</f>
        <v>2016</v>
      </c>
      <c r="W637" s="16"/>
      <c r="X637" s="17">
        <f>V637+1</f>
        <v>2017</v>
      </c>
      <c r="Y637" s="17">
        <f>X637+1</f>
        <v>2018</v>
      </c>
      <c r="Z637" s="17">
        <f>Y637+1</f>
        <v>2019</v>
      </c>
      <c r="AA637" s="17">
        <f>Z637+1</f>
        <v>2020</v>
      </c>
      <c r="AB637" s="17">
        <f>AA637+1</f>
        <v>2021</v>
      </c>
      <c r="AC637" s="24"/>
    </row>
    <row r="638" spans="2:29" ht="4" customHeight="1"/>
    <row r="639" spans="2:29" ht="12" customHeight="1">
      <c r="D639" s="242">
        <v>1</v>
      </c>
      <c r="E639" s="125" t="s">
        <v>209</v>
      </c>
      <c r="F639" s="125" t="s">
        <v>210</v>
      </c>
      <c r="G639" s="145"/>
      <c r="H639" s="150"/>
      <c r="I639" s="151"/>
      <c r="J639" s="3"/>
      <c r="K639" s="295">
        <v>4</v>
      </c>
      <c r="L639" s="201"/>
      <c r="M639" s="30"/>
      <c r="N639" s="87"/>
      <c r="O639" s="32"/>
      <c r="P639" s="33"/>
      <c r="Q639" s="30"/>
      <c r="R639" s="34">
        <f>K639</f>
        <v>4</v>
      </c>
      <c r="S639" s="35"/>
      <c r="T639" s="35"/>
      <c r="U639" s="35"/>
      <c r="V639" s="36"/>
      <c r="W639" s="30"/>
      <c r="X639" s="37"/>
      <c r="Y639" s="38"/>
      <c r="Z639" s="38"/>
      <c r="AA639" s="38"/>
      <c r="AB639" s="39"/>
    </row>
    <row r="640" spans="2:29" ht="12" customHeight="1">
      <c r="D640" s="243">
        <v>2</v>
      </c>
      <c r="E640" s="126" t="s">
        <v>222</v>
      </c>
      <c r="F640" s="126" t="s">
        <v>223</v>
      </c>
      <c r="G640" s="146"/>
      <c r="H640" s="152"/>
      <c r="I640" s="153"/>
      <c r="J640" s="3"/>
      <c r="K640" s="296">
        <v>2</v>
      </c>
      <c r="L640" s="201"/>
      <c r="M640" s="30"/>
      <c r="N640" s="101"/>
      <c r="O640" s="32"/>
      <c r="P640" s="45"/>
      <c r="Q640" s="30"/>
      <c r="R640" s="46"/>
      <c r="S640" s="47">
        <f>K640</f>
        <v>2</v>
      </c>
      <c r="T640" s="47"/>
      <c r="U640" s="47"/>
      <c r="V640" s="48"/>
      <c r="W640" s="30"/>
      <c r="X640" s="49"/>
      <c r="Y640" s="50"/>
      <c r="Z640" s="50"/>
      <c r="AA640" s="50"/>
      <c r="AB640" s="51"/>
    </row>
    <row r="641" spans="2:28" ht="12" customHeight="1">
      <c r="D641" s="243">
        <v>3</v>
      </c>
      <c r="E641" s="126" t="s">
        <v>211</v>
      </c>
      <c r="F641" s="126" t="s">
        <v>26</v>
      </c>
      <c r="G641" s="146"/>
      <c r="H641" s="152"/>
      <c r="I641" s="153"/>
      <c r="J641" s="3"/>
      <c r="K641" s="44">
        <v>2</v>
      </c>
      <c r="L641" s="201"/>
      <c r="M641" s="30"/>
      <c r="N641" s="53"/>
      <c r="O641" s="32"/>
      <c r="P641" s="45"/>
      <c r="Q641" s="30"/>
      <c r="R641" s="46"/>
      <c r="S641" s="47">
        <f t="shared" ref="S641" si="116">K641</f>
        <v>2</v>
      </c>
      <c r="T641" s="47"/>
      <c r="U641" s="47"/>
      <c r="V641" s="48"/>
      <c r="W641" s="30"/>
      <c r="X641" s="49"/>
      <c r="Y641" s="50"/>
      <c r="Z641" s="50"/>
      <c r="AA641" s="50"/>
      <c r="AB641" s="51"/>
    </row>
    <row r="642" spans="2:28" ht="12" customHeight="1">
      <c r="D642" s="244">
        <v>4</v>
      </c>
      <c r="E642" s="127" t="s">
        <v>212</v>
      </c>
      <c r="F642" s="127" t="s">
        <v>26</v>
      </c>
      <c r="G642" s="147"/>
      <c r="H642" s="154"/>
      <c r="I642" s="155"/>
      <c r="J642" s="3"/>
      <c r="K642" s="297">
        <v>4</v>
      </c>
      <c r="L642" s="201"/>
      <c r="M642" s="30"/>
      <c r="N642" s="53"/>
      <c r="O642" s="32"/>
      <c r="P642" s="45"/>
      <c r="Q642" s="30"/>
      <c r="R642" s="46"/>
      <c r="S642" s="47">
        <f>K642</f>
        <v>4</v>
      </c>
      <c r="T642" s="47"/>
      <c r="U642" s="47"/>
      <c r="V642" s="48"/>
      <c r="W642" s="30"/>
      <c r="X642" s="49"/>
      <c r="Y642" s="50"/>
      <c r="Z642" s="50"/>
      <c r="AA642" s="50"/>
      <c r="AB642" s="51"/>
    </row>
    <row r="643" spans="2:28" s="67" customFormat="1" ht="12" customHeight="1">
      <c r="B643" s="54"/>
      <c r="C643" s="55"/>
      <c r="D643" s="133"/>
      <c r="E643" s="124"/>
      <c r="F643" s="128" t="s">
        <v>2</v>
      </c>
      <c r="G643" s="129"/>
      <c r="H643" s="148"/>
      <c r="I643" s="149"/>
      <c r="J643" s="61"/>
      <c r="K643" s="29">
        <f>SUM(K639:K642)</f>
        <v>12</v>
      </c>
      <c r="L643" s="205"/>
      <c r="M643" s="62"/>
      <c r="N643" s="31"/>
      <c r="O643" s="61"/>
      <c r="P643" s="63"/>
      <c r="Q643" s="62"/>
      <c r="R643" s="64">
        <f>SUM(R639:R642)</f>
        <v>4</v>
      </c>
      <c r="S643" s="64">
        <f>SUM(S639:S642)</f>
        <v>8</v>
      </c>
      <c r="T643" s="64">
        <f>SUM(T639:T642)</f>
        <v>0</v>
      </c>
      <c r="U643" s="64">
        <f>SUM(U639:U642)</f>
        <v>0</v>
      </c>
      <c r="V643" s="64">
        <f>SUM(V639:V642)</f>
        <v>0</v>
      </c>
      <c r="W643" s="62"/>
      <c r="X643" s="65"/>
      <c r="Y643" s="59"/>
      <c r="Z643" s="59"/>
      <c r="AA643" s="59"/>
      <c r="AB643" s="66"/>
    </row>
    <row r="644" spans="2:28" ht="9" customHeight="1"/>
    <row r="645" spans="2:28" ht="12" customHeight="1">
      <c r="L645" s="1"/>
      <c r="O645" s="24"/>
      <c r="P645" s="84" t="s">
        <v>10</v>
      </c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  <c r="AB645" s="222"/>
    </row>
    <row r="646" spans="2:28" ht="15" customHeight="1">
      <c r="E646" s="26" t="s">
        <v>28</v>
      </c>
      <c r="K646" s="137" t="s">
        <v>67</v>
      </c>
      <c r="L646" s="211" t="s">
        <v>66</v>
      </c>
      <c r="M646" s="24"/>
      <c r="N646" s="212" t="s">
        <v>11</v>
      </c>
      <c r="O646" s="24"/>
      <c r="P646" s="137">
        <v>2011</v>
      </c>
      <c r="Q646" s="5"/>
      <c r="R646" s="137">
        <f>P646+1</f>
        <v>2012</v>
      </c>
      <c r="S646" s="137">
        <f>R646+1</f>
        <v>2013</v>
      </c>
      <c r="T646" s="137">
        <f>S646+1</f>
        <v>2014</v>
      </c>
      <c r="U646" s="137">
        <f>T646+1</f>
        <v>2015</v>
      </c>
      <c r="V646" s="137">
        <f>U646+1</f>
        <v>2016</v>
      </c>
      <c r="W646" s="5"/>
      <c r="X646" s="139">
        <f>V646+1</f>
        <v>2017</v>
      </c>
      <c r="Y646" s="139">
        <f>X646+1</f>
        <v>2018</v>
      </c>
      <c r="Z646" s="139">
        <f>Y646+1</f>
        <v>2019</v>
      </c>
      <c r="AA646" s="139">
        <f>Z646+1</f>
        <v>2020</v>
      </c>
      <c r="AB646" s="139">
        <f>AA646+1</f>
        <v>2021</v>
      </c>
    </row>
    <row r="647" spans="2:28" ht="4.5" customHeight="1"/>
    <row r="648" spans="2:28" ht="12" customHeight="1">
      <c r="D648" s="242">
        <v>1</v>
      </c>
      <c r="E648" s="125" t="s">
        <v>209</v>
      </c>
      <c r="F648" s="125" t="s">
        <v>213</v>
      </c>
      <c r="G648" s="299">
        <f>(3*1+2.5)/4</f>
        <v>1.375</v>
      </c>
      <c r="H648" s="78" t="s">
        <v>12</v>
      </c>
      <c r="I648" s="79" t="s">
        <v>13</v>
      </c>
      <c r="J648" s="3"/>
      <c r="K648" s="80">
        <f>K639</f>
        <v>4</v>
      </c>
      <c r="L648" s="225" t="s">
        <v>13</v>
      </c>
      <c r="M648" s="30"/>
      <c r="N648" s="156">
        <f>G648*K648</f>
        <v>5.5</v>
      </c>
      <c r="O648" s="32"/>
      <c r="P648" s="33"/>
      <c r="Q648" s="30"/>
      <c r="R648" s="81">
        <f t="shared" ref="R648:V651" si="117">$G648*R639</f>
        <v>5.5</v>
      </c>
      <c r="S648" s="81">
        <f t="shared" si="117"/>
        <v>0</v>
      </c>
      <c r="T648" s="81">
        <f t="shared" si="117"/>
        <v>0</v>
      </c>
      <c r="U648" s="81">
        <f t="shared" si="117"/>
        <v>0</v>
      </c>
      <c r="V648" s="81">
        <f t="shared" si="117"/>
        <v>0</v>
      </c>
      <c r="W648" s="30"/>
      <c r="X648" s="37"/>
      <c r="Y648" s="38"/>
      <c r="Z648" s="38"/>
      <c r="AA648" s="38"/>
      <c r="AB648" s="39"/>
    </row>
    <row r="649" spans="2:28" ht="12" customHeight="1">
      <c r="D649" s="243">
        <v>2</v>
      </c>
      <c r="E649" s="126" t="s">
        <v>222</v>
      </c>
      <c r="F649" s="126" t="s">
        <v>214</v>
      </c>
      <c r="G649" s="300">
        <f>(2.3+2.7)/2</f>
        <v>2.5</v>
      </c>
      <c r="H649" s="42" t="s">
        <v>12</v>
      </c>
      <c r="I649" s="43" t="s">
        <v>13</v>
      </c>
      <c r="J649" s="3"/>
      <c r="K649" s="52">
        <f>K640</f>
        <v>2</v>
      </c>
      <c r="L649" s="226" t="s">
        <v>13</v>
      </c>
      <c r="M649" s="30"/>
      <c r="N649" s="157">
        <f>G649*K649</f>
        <v>5</v>
      </c>
      <c r="O649" s="32"/>
      <c r="P649" s="45"/>
      <c r="Q649" s="30"/>
      <c r="R649" s="81">
        <f t="shared" si="117"/>
        <v>0</v>
      </c>
      <c r="S649" s="81">
        <f t="shared" si="117"/>
        <v>5</v>
      </c>
      <c r="T649" s="81">
        <f t="shared" si="117"/>
        <v>0</v>
      </c>
      <c r="U649" s="81">
        <f t="shared" si="117"/>
        <v>0</v>
      </c>
      <c r="V649" s="81">
        <f t="shared" si="117"/>
        <v>0</v>
      </c>
      <c r="W649" s="30"/>
      <c r="X649" s="49"/>
      <c r="Y649" s="50"/>
      <c r="Z649" s="50"/>
      <c r="AA649" s="50"/>
      <c r="AB649" s="51"/>
    </row>
    <row r="650" spans="2:28" ht="12" customHeight="1">
      <c r="D650" s="243">
        <v>3</v>
      </c>
      <c r="E650" s="126" t="s">
        <v>211</v>
      </c>
      <c r="F650" s="126" t="s">
        <v>26</v>
      </c>
      <c r="G650" s="300">
        <f>(17.5+22)/2</f>
        <v>19.75</v>
      </c>
      <c r="H650" s="42" t="s">
        <v>12</v>
      </c>
      <c r="I650" s="43" t="s">
        <v>13</v>
      </c>
      <c r="J650" s="3"/>
      <c r="K650" s="52">
        <f>K641</f>
        <v>2</v>
      </c>
      <c r="L650" s="226" t="s">
        <v>13</v>
      </c>
      <c r="M650" s="30"/>
      <c r="N650" s="157">
        <f>G650*K650</f>
        <v>39.5</v>
      </c>
      <c r="O650" s="32"/>
      <c r="P650" s="45"/>
      <c r="Q650" s="30"/>
      <c r="R650" s="81">
        <f t="shared" si="117"/>
        <v>0</v>
      </c>
      <c r="S650" s="81">
        <f t="shared" si="117"/>
        <v>39.5</v>
      </c>
      <c r="T650" s="81">
        <f t="shared" si="117"/>
        <v>0</v>
      </c>
      <c r="U650" s="81">
        <f t="shared" si="117"/>
        <v>0</v>
      </c>
      <c r="V650" s="81">
        <f t="shared" si="117"/>
        <v>0</v>
      </c>
      <c r="W650" s="30"/>
      <c r="X650" s="49"/>
      <c r="Y650" s="50"/>
      <c r="Z650" s="50"/>
      <c r="AA650" s="50"/>
      <c r="AB650" s="51"/>
    </row>
    <row r="651" spans="2:28" ht="12" customHeight="1">
      <c r="D651" s="244">
        <v>4</v>
      </c>
      <c r="E651" s="127" t="s">
        <v>212</v>
      </c>
      <c r="F651" s="127" t="s">
        <v>26</v>
      </c>
      <c r="G651" s="300">
        <f>(3*13.7+11.8)/4</f>
        <v>13.224999999999998</v>
      </c>
      <c r="H651" s="42" t="s">
        <v>12</v>
      </c>
      <c r="I651" s="43" t="s">
        <v>13</v>
      </c>
      <c r="J651" s="3"/>
      <c r="K651" s="52">
        <f>K642</f>
        <v>4</v>
      </c>
      <c r="L651" s="227" t="s">
        <v>13</v>
      </c>
      <c r="M651" s="30"/>
      <c r="N651" s="157">
        <f>G651*K651</f>
        <v>52.899999999999991</v>
      </c>
      <c r="O651" s="32"/>
      <c r="P651" s="45"/>
      <c r="Q651" s="30"/>
      <c r="R651" s="81">
        <f t="shared" si="117"/>
        <v>0</v>
      </c>
      <c r="S651" s="81">
        <f t="shared" si="117"/>
        <v>52.899999999999991</v>
      </c>
      <c r="T651" s="81">
        <f t="shared" si="117"/>
        <v>0</v>
      </c>
      <c r="U651" s="81">
        <f t="shared" si="117"/>
        <v>0</v>
      </c>
      <c r="V651" s="81">
        <f t="shared" si="117"/>
        <v>0</v>
      </c>
      <c r="W651" s="30"/>
      <c r="X651" s="49"/>
      <c r="Y651" s="50"/>
      <c r="Z651" s="50"/>
      <c r="AA651" s="50"/>
      <c r="AB651" s="51"/>
    </row>
    <row r="652" spans="2:28" s="67" customFormat="1" ht="12" customHeight="1">
      <c r="B652" s="54"/>
      <c r="C652" s="55"/>
      <c r="D652" s="133"/>
      <c r="E652" s="56"/>
      <c r="F652" s="57" t="s">
        <v>14</v>
      </c>
      <c r="G652" s="58"/>
      <c r="H652" s="59"/>
      <c r="I652" s="60"/>
      <c r="J652" s="61"/>
      <c r="K652" s="82"/>
      <c r="L652" s="206"/>
      <c r="M652" s="62"/>
      <c r="N652" s="180">
        <f>SUM(N648:N651)</f>
        <v>102.89999999999999</v>
      </c>
      <c r="O652" s="61"/>
      <c r="P652" s="63"/>
      <c r="Q652" s="62"/>
      <c r="R652" s="83">
        <f>SUM(R648:R651)</f>
        <v>5.5</v>
      </c>
      <c r="S652" s="83">
        <f>SUM(S648:S651)</f>
        <v>97.399999999999991</v>
      </c>
      <c r="T652" s="83">
        <f>SUM(T648:T651)</f>
        <v>0</v>
      </c>
      <c r="U652" s="83">
        <f>SUM(U648:U651)</f>
        <v>0</v>
      </c>
      <c r="V652" s="83">
        <f>SUM(V648:V651)</f>
        <v>0</v>
      </c>
      <c r="W652" s="62"/>
      <c r="X652" s="65"/>
      <c r="Y652" s="59"/>
      <c r="Z652" s="59"/>
      <c r="AA652" s="59"/>
      <c r="AB652" s="66"/>
    </row>
    <row r="653" spans="2:28" ht="5.15" customHeight="1"/>
    <row r="654" spans="2:28" ht="20.149999999999999" customHeight="1">
      <c r="E654" s="26" t="s">
        <v>15</v>
      </c>
      <c r="F654" s="84" t="s">
        <v>16</v>
      </c>
      <c r="G654" s="85"/>
      <c r="H654" s="215" t="s">
        <v>4</v>
      </c>
      <c r="I654" s="232" t="s">
        <v>76</v>
      </c>
      <c r="K654" s="137" t="s">
        <v>67</v>
      </c>
      <c r="L654" s="211" t="s">
        <v>66</v>
      </c>
      <c r="N654" s="212" t="s">
        <v>11</v>
      </c>
      <c r="P654" s="73">
        <v>2011</v>
      </c>
      <c r="Q654" s="74"/>
      <c r="R654" s="75">
        <f>P654+1</f>
        <v>2012</v>
      </c>
      <c r="S654" s="75">
        <f>R654+1</f>
        <v>2013</v>
      </c>
      <c r="T654" s="75">
        <f>S654+1</f>
        <v>2014</v>
      </c>
      <c r="U654" s="75">
        <f>T654+1</f>
        <v>2015</v>
      </c>
      <c r="V654" s="75">
        <f>U654+1</f>
        <v>2016</v>
      </c>
      <c r="W654" s="74"/>
      <c r="X654" s="76">
        <f>V654+1</f>
        <v>2017</v>
      </c>
      <c r="Y654" s="76">
        <f>X654+1</f>
        <v>2018</v>
      </c>
      <c r="Z654" s="76">
        <f>Y654+1</f>
        <v>2019</v>
      </c>
      <c r="AA654" s="76">
        <f>Z654+1</f>
        <v>2020</v>
      </c>
      <c r="AB654" s="76">
        <f>AA654+1</f>
        <v>2021</v>
      </c>
    </row>
    <row r="655" spans="2:28" ht="4" customHeight="1"/>
    <row r="656" spans="2:28" ht="12" customHeight="1">
      <c r="C656" s="28"/>
      <c r="E656" s="77" t="s">
        <v>218</v>
      </c>
      <c r="F656" s="158" t="s">
        <v>219</v>
      </c>
      <c r="G656" s="86"/>
      <c r="H656" s="213" t="s">
        <v>71</v>
      </c>
      <c r="I656" s="216">
        <v>0.5</v>
      </c>
      <c r="J656" s="3"/>
      <c r="K656" s="298">
        <v>13</v>
      </c>
      <c r="L656" s="229" t="s">
        <v>73</v>
      </c>
      <c r="M656" s="30"/>
      <c r="N656" s="176">
        <f>I656*K656</f>
        <v>6.5</v>
      </c>
      <c r="O656" s="32"/>
      <c r="P656" s="88"/>
      <c r="Q656" s="30"/>
      <c r="R656" s="90"/>
      <c r="S656" s="91">
        <f>N656</f>
        <v>6.5</v>
      </c>
      <c r="T656" s="91"/>
      <c r="U656" s="91"/>
      <c r="V656" s="92"/>
      <c r="W656" s="30"/>
      <c r="X656" s="90"/>
      <c r="Y656" s="91"/>
      <c r="Z656" s="91"/>
      <c r="AA656" s="91"/>
      <c r="AB656" s="92"/>
    </row>
    <row r="657" spans="3:28" ht="12" customHeight="1">
      <c r="C657" s="28"/>
      <c r="E657" s="77" t="s">
        <v>215</v>
      </c>
      <c r="F657" s="158" t="s">
        <v>70</v>
      </c>
      <c r="G657" s="86"/>
      <c r="H657" s="213" t="s">
        <v>71</v>
      </c>
      <c r="I657" s="216">
        <v>0.25</v>
      </c>
      <c r="J657" s="3"/>
      <c r="K657" s="228">
        <v>5.7</v>
      </c>
      <c r="L657" s="229" t="s">
        <v>72</v>
      </c>
      <c r="M657" s="30"/>
      <c r="N657" s="176">
        <f>I657*K657</f>
        <v>1.425</v>
      </c>
      <c r="O657" s="32"/>
      <c r="P657" s="88"/>
      <c r="Q657" s="30"/>
      <c r="R657" s="90">
        <f>N657</f>
        <v>1.425</v>
      </c>
      <c r="S657" s="91"/>
      <c r="T657" s="91"/>
      <c r="U657" s="91"/>
      <c r="V657" s="92"/>
      <c r="W657" s="30"/>
      <c r="X657" s="90"/>
      <c r="Y657" s="91"/>
      <c r="Z657" s="91"/>
      <c r="AA657" s="91"/>
      <c r="AB657" s="92"/>
    </row>
    <row r="658" spans="3:28" ht="12" customHeight="1">
      <c r="C658" s="28"/>
      <c r="E658" s="105"/>
      <c r="F658" s="41" t="s">
        <v>17</v>
      </c>
      <c r="G658" s="93"/>
      <c r="H658" s="94"/>
      <c r="I658" s="217">
        <v>0.1</v>
      </c>
      <c r="J658" s="3"/>
      <c r="K658" s="174">
        <v>7</v>
      </c>
      <c r="L658" s="226" t="s">
        <v>73</v>
      </c>
      <c r="M658" s="30"/>
      <c r="N658" s="177">
        <f>I658*K658</f>
        <v>0.70000000000000007</v>
      </c>
      <c r="O658" s="32"/>
      <c r="P658" s="96"/>
      <c r="Q658" s="30"/>
      <c r="R658" s="97">
        <f>N658</f>
        <v>0.70000000000000007</v>
      </c>
      <c r="S658" s="98"/>
      <c r="T658" s="98"/>
      <c r="U658" s="98"/>
      <c r="V658" s="99"/>
      <c r="W658" s="30"/>
      <c r="X658" s="97"/>
      <c r="Y658" s="98"/>
      <c r="Z658" s="98"/>
      <c r="AA658" s="98"/>
      <c r="AB658" s="99"/>
    </row>
    <row r="659" spans="3:28" ht="12" customHeight="1">
      <c r="C659" s="28"/>
      <c r="E659" s="105" t="s">
        <v>216</v>
      </c>
      <c r="F659" s="41" t="s">
        <v>217</v>
      </c>
      <c r="G659" s="100"/>
      <c r="H659" s="94"/>
      <c r="I659" s="217">
        <f>0.25</f>
        <v>0.25</v>
      </c>
      <c r="J659" s="3"/>
      <c r="K659" s="200">
        <f>11*3</f>
        <v>33</v>
      </c>
      <c r="L659" s="230" t="s">
        <v>72</v>
      </c>
      <c r="M659" s="30"/>
      <c r="N659" s="177">
        <f>I659*K659</f>
        <v>8.25</v>
      </c>
      <c r="O659" s="32"/>
      <c r="P659" s="96"/>
      <c r="Q659" s="30"/>
      <c r="R659" s="257"/>
      <c r="S659" s="214">
        <f>N659</f>
        <v>8.25</v>
      </c>
      <c r="T659" s="214"/>
      <c r="U659" s="103"/>
      <c r="V659" s="104"/>
      <c r="W659" s="30"/>
      <c r="X659" s="102"/>
      <c r="Y659" s="103"/>
      <c r="Z659" s="103"/>
      <c r="AA659" s="103"/>
      <c r="AB659" s="104"/>
    </row>
    <row r="660" spans="3:28" ht="12" customHeight="1">
      <c r="C660" s="28"/>
      <c r="E660" s="105"/>
      <c r="F660" s="253" t="s">
        <v>17</v>
      </c>
      <c r="G660" s="100"/>
      <c r="H660" s="94"/>
      <c r="I660" s="217">
        <v>0.1</v>
      </c>
      <c r="J660" s="3"/>
      <c r="K660" s="174">
        <v>11</v>
      </c>
      <c r="L660" s="226" t="s">
        <v>73</v>
      </c>
      <c r="M660" s="30"/>
      <c r="N660" s="177">
        <f>I660*K660</f>
        <v>1.1000000000000001</v>
      </c>
      <c r="O660" s="32"/>
      <c r="P660" s="96"/>
      <c r="Q660" s="30"/>
      <c r="R660" s="257"/>
      <c r="S660" s="214">
        <f>N660</f>
        <v>1.1000000000000001</v>
      </c>
      <c r="T660" s="214"/>
      <c r="U660" s="103"/>
      <c r="V660" s="104"/>
      <c r="W660" s="30"/>
      <c r="X660" s="102"/>
      <c r="Y660" s="103"/>
      <c r="Z660" s="103"/>
      <c r="AA660" s="103"/>
      <c r="AB660" s="104"/>
    </row>
    <row r="661" spans="3:28" ht="12" customHeight="1">
      <c r="C661" s="28"/>
      <c r="E661" s="183" t="s">
        <v>33</v>
      </c>
      <c r="F661" s="254"/>
      <c r="G661" s="184"/>
      <c r="H661" s="94"/>
      <c r="I661" s="95"/>
      <c r="J661" s="3"/>
      <c r="K661" s="174"/>
      <c r="L661" s="226"/>
      <c r="M661" s="30"/>
      <c r="N661" s="177"/>
      <c r="O661" s="32"/>
      <c r="P661" s="96"/>
      <c r="Q661" s="30"/>
      <c r="R661" s="257"/>
      <c r="S661" s="214"/>
      <c r="T661" s="214"/>
      <c r="U661" s="103"/>
      <c r="V661" s="104"/>
      <c r="W661" s="30"/>
      <c r="X661" s="102"/>
      <c r="Y661" s="103"/>
      <c r="Z661" s="103"/>
      <c r="AA661" s="103"/>
      <c r="AB661" s="104"/>
    </row>
    <row r="662" spans="3:28" ht="12" customHeight="1">
      <c r="C662" s="28"/>
      <c r="E662" s="107" t="s">
        <v>35</v>
      </c>
      <c r="F662" s="248" t="s">
        <v>36</v>
      </c>
      <c r="G662" s="185"/>
      <c r="H662" s="94" t="s">
        <v>25</v>
      </c>
      <c r="I662" s="159">
        <v>1</v>
      </c>
      <c r="J662" s="3"/>
      <c r="K662" s="174">
        <v>1</v>
      </c>
      <c r="L662" s="226"/>
      <c r="M662" s="30"/>
      <c r="N662" s="177">
        <f>I662*K662</f>
        <v>1</v>
      </c>
      <c r="O662" s="32"/>
      <c r="P662" s="96"/>
      <c r="Q662" s="30"/>
      <c r="R662" s="257">
        <f>1*N662</f>
        <v>1</v>
      </c>
      <c r="S662" s="214"/>
      <c r="T662" s="214"/>
      <c r="U662" s="103"/>
      <c r="V662" s="104"/>
      <c r="W662" s="30"/>
      <c r="X662" s="102"/>
      <c r="Y662" s="103"/>
      <c r="Z662" s="103"/>
      <c r="AA662" s="103"/>
      <c r="AB662" s="104"/>
    </row>
    <row r="663" spans="3:28" ht="12" customHeight="1">
      <c r="C663" s="28"/>
      <c r="E663" s="107" t="s">
        <v>37</v>
      </c>
      <c r="F663" s="248" t="s">
        <v>32</v>
      </c>
      <c r="G663" s="184"/>
      <c r="H663" s="94" t="s">
        <v>25</v>
      </c>
      <c r="I663" s="95">
        <v>1</v>
      </c>
      <c r="J663" s="3"/>
      <c r="K663" s="174">
        <v>1</v>
      </c>
      <c r="L663" s="226"/>
      <c r="M663" s="30"/>
      <c r="N663" s="178">
        <f>I663*K663</f>
        <v>1</v>
      </c>
      <c r="O663" s="32"/>
      <c r="P663" s="96"/>
      <c r="Q663" s="30"/>
      <c r="R663" s="257">
        <f t="shared" ref="R663:R666" si="118">1*N663</f>
        <v>1</v>
      </c>
      <c r="S663" s="214"/>
      <c r="T663" s="214"/>
      <c r="U663" s="103"/>
      <c r="V663" s="104"/>
      <c r="W663" s="30"/>
      <c r="X663" s="102"/>
      <c r="Y663" s="103"/>
      <c r="Z663" s="103"/>
      <c r="AA663" s="103"/>
      <c r="AB663" s="104"/>
    </row>
    <row r="664" spans="3:28" ht="12" customHeight="1">
      <c r="C664" s="28"/>
      <c r="E664" s="107" t="s">
        <v>39</v>
      </c>
      <c r="F664" s="248" t="s">
        <v>40</v>
      </c>
      <c r="G664" s="184"/>
      <c r="H664" s="94" t="s">
        <v>25</v>
      </c>
      <c r="I664" s="95">
        <v>1</v>
      </c>
      <c r="J664" s="3"/>
      <c r="K664" s="174">
        <v>1</v>
      </c>
      <c r="L664" s="226"/>
      <c r="M664" s="30"/>
      <c r="N664" s="178">
        <f>I664*K664</f>
        <v>1</v>
      </c>
      <c r="O664" s="32"/>
      <c r="P664" s="96"/>
      <c r="Q664" s="30"/>
      <c r="R664" s="257">
        <f t="shared" si="118"/>
        <v>1</v>
      </c>
      <c r="S664" s="214"/>
      <c r="T664" s="214"/>
      <c r="U664" s="103"/>
      <c r="V664" s="104"/>
      <c r="W664" s="30"/>
      <c r="X664" s="102"/>
      <c r="Y664" s="103"/>
      <c r="Z664" s="103"/>
      <c r="AA664" s="103"/>
      <c r="AB664" s="104"/>
    </row>
    <row r="665" spans="3:28" ht="12" customHeight="1">
      <c r="C665" s="28"/>
      <c r="E665" s="107" t="s">
        <v>38</v>
      </c>
      <c r="F665" s="248" t="s">
        <v>74</v>
      </c>
      <c r="G665" s="184"/>
      <c r="H665" s="94" t="s">
        <v>18</v>
      </c>
      <c r="I665" s="95">
        <v>2</v>
      </c>
      <c r="J665" s="3"/>
      <c r="K665" s="174">
        <v>1</v>
      </c>
      <c r="L665" s="226"/>
      <c r="M665" s="30"/>
      <c r="N665" s="178">
        <f>I665*K665</f>
        <v>2</v>
      </c>
      <c r="O665" s="32"/>
      <c r="P665" s="96"/>
      <c r="Q665" s="30"/>
      <c r="R665" s="257">
        <f t="shared" si="118"/>
        <v>2</v>
      </c>
      <c r="S665" s="214"/>
      <c r="T665" s="214"/>
      <c r="U665" s="103"/>
      <c r="V665" s="104"/>
      <c r="W665" s="30"/>
      <c r="X665" s="102"/>
      <c r="Y665" s="103"/>
      <c r="Z665" s="103"/>
      <c r="AA665" s="103"/>
      <c r="AB665" s="104"/>
    </row>
    <row r="666" spans="3:28" ht="12" customHeight="1">
      <c r="C666" s="28"/>
      <c r="E666" s="107" t="s">
        <v>47</v>
      </c>
      <c r="F666" s="255"/>
      <c r="G666" s="184"/>
      <c r="H666" s="94" t="s">
        <v>25</v>
      </c>
      <c r="I666" s="43">
        <v>0.25</v>
      </c>
      <c r="J666" s="3"/>
      <c r="K666" s="174">
        <v>1</v>
      </c>
      <c r="L666" s="226"/>
      <c r="M666" s="30"/>
      <c r="N666" s="178">
        <f>I666*K666</f>
        <v>0.25</v>
      </c>
      <c r="O666" s="32"/>
      <c r="P666" s="96"/>
      <c r="Q666" s="30"/>
      <c r="R666" s="257">
        <f t="shared" si="118"/>
        <v>0.25</v>
      </c>
      <c r="S666" s="214"/>
      <c r="T666" s="214"/>
      <c r="U666" s="103"/>
      <c r="V666" s="104"/>
      <c r="W666" s="30"/>
      <c r="X666" s="102"/>
      <c r="Y666" s="103"/>
      <c r="Z666" s="103"/>
      <c r="AA666" s="103"/>
      <c r="AB666" s="104"/>
    </row>
    <row r="667" spans="3:28" ht="15" customHeight="1">
      <c r="C667" s="28"/>
      <c r="E667" s="183" t="s">
        <v>62</v>
      </c>
      <c r="F667" s="186"/>
      <c r="G667" s="184"/>
      <c r="H667" s="94"/>
      <c r="I667" s="95"/>
      <c r="J667" s="3"/>
      <c r="K667" s="174"/>
      <c r="L667" s="226"/>
      <c r="M667" s="30"/>
      <c r="N667" s="177"/>
      <c r="O667" s="32"/>
      <c r="P667" s="96"/>
      <c r="Q667" s="30"/>
      <c r="R667" s="257"/>
      <c r="S667" s="214"/>
      <c r="T667" s="214"/>
      <c r="U667" s="103"/>
      <c r="V667" s="104"/>
      <c r="W667" s="30"/>
      <c r="X667" s="102"/>
      <c r="Y667" s="103"/>
      <c r="Z667" s="103"/>
      <c r="AA667" s="103"/>
      <c r="AB667" s="104"/>
    </row>
    <row r="668" spans="3:28" ht="12" customHeight="1">
      <c r="C668" s="28"/>
      <c r="E668" s="107" t="s">
        <v>118</v>
      </c>
      <c r="F668" s="254" t="s">
        <v>136</v>
      </c>
      <c r="G668" s="185"/>
      <c r="H668" s="94" t="s">
        <v>18</v>
      </c>
      <c r="I668" s="43">
        <v>7</v>
      </c>
      <c r="J668" s="3"/>
      <c r="K668" s="174">
        <v>1</v>
      </c>
      <c r="L668" s="226"/>
      <c r="M668" s="30"/>
      <c r="N668" s="178">
        <f>I668*K668</f>
        <v>7</v>
      </c>
      <c r="O668" s="32"/>
      <c r="P668" s="96"/>
      <c r="Q668" s="30"/>
      <c r="R668" s="257">
        <f>0.1*N668</f>
        <v>0.70000000000000007</v>
      </c>
      <c r="S668" s="214">
        <f t="shared" ref="S668:S669" si="119">0.5*N668</f>
        <v>3.5</v>
      </c>
      <c r="T668" s="214">
        <f>0.4*N668</f>
        <v>2.8000000000000003</v>
      </c>
      <c r="U668" s="103"/>
      <c r="V668" s="104"/>
      <c r="W668" s="30"/>
      <c r="X668" s="102"/>
      <c r="Y668" s="103"/>
      <c r="Z668" s="103"/>
      <c r="AA668" s="103"/>
      <c r="AB668" s="104"/>
    </row>
    <row r="669" spans="3:28" ht="12" customHeight="1">
      <c r="C669" s="28"/>
      <c r="E669" s="281" t="s">
        <v>41</v>
      </c>
      <c r="F669" s="255" t="s">
        <v>138</v>
      </c>
      <c r="G669" s="184"/>
      <c r="H669" s="94" t="s">
        <v>18</v>
      </c>
      <c r="I669" s="43">
        <v>0.12</v>
      </c>
      <c r="J669" s="3"/>
      <c r="K669" s="200"/>
      <c r="L669" s="230"/>
      <c r="M669" s="30"/>
      <c r="N669" s="177">
        <f>I669*K669</f>
        <v>0</v>
      </c>
      <c r="O669" s="32"/>
      <c r="P669" s="96"/>
      <c r="Q669" s="30"/>
      <c r="R669" s="257">
        <f t="shared" ref="R669" si="120">0.1*N669</f>
        <v>0</v>
      </c>
      <c r="S669" s="214">
        <f t="shared" si="119"/>
        <v>0</v>
      </c>
      <c r="T669" s="214">
        <f t="shared" ref="T669" si="121">0.4*N669</f>
        <v>0</v>
      </c>
      <c r="U669" s="103"/>
      <c r="V669" s="104"/>
      <c r="W669" s="30"/>
      <c r="X669" s="102"/>
      <c r="Y669" s="103"/>
      <c r="Z669" s="103"/>
      <c r="AA669" s="103"/>
      <c r="AB669" s="104"/>
    </row>
    <row r="670" spans="3:28" ht="12" customHeight="1">
      <c r="C670" s="28"/>
      <c r="E670" s="188" t="s">
        <v>134</v>
      </c>
      <c r="F670" s="191"/>
      <c r="G670" s="184"/>
      <c r="H670" s="94"/>
      <c r="I670" s="43"/>
      <c r="J670" s="3"/>
      <c r="K670" s="174"/>
      <c r="L670" s="226"/>
      <c r="M670" s="30"/>
      <c r="N670" s="178"/>
      <c r="O670" s="32"/>
      <c r="P670" s="96"/>
      <c r="Q670" s="30"/>
      <c r="R670" s="257"/>
      <c r="S670" s="214"/>
      <c r="T670" s="214"/>
      <c r="U670" s="103"/>
      <c r="V670" s="104"/>
      <c r="W670" s="30"/>
      <c r="X670" s="102"/>
      <c r="Y670" s="103"/>
      <c r="Z670" s="103"/>
      <c r="AA670" s="103"/>
      <c r="AB670" s="104"/>
    </row>
    <row r="671" spans="3:28" ht="14.15" customHeight="1">
      <c r="C671" s="28"/>
      <c r="E671" s="107" t="s">
        <v>63</v>
      </c>
      <c r="F671" s="249" t="s">
        <v>153</v>
      </c>
      <c r="G671" s="184"/>
      <c r="H671" s="94" t="s">
        <v>18</v>
      </c>
      <c r="I671" s="43">
        <v>10</v>
      </c>
      <c r="J671" s="3"/>
      <c r="K671" s="174">
        <v>1</v>
      </c>
      <c r="L671" s="226"/>
      <c r="M671" s="30"/>
      <c r="N671" s="178">
        <f>I671*K671</f>
        <v>10</v>
      </c>
      <c r="O671" s="32"/>
      <c r="P671" s="96"/>
      <c r="Q671" s="30"/>
      <c r="R671" s="257">
        <f t="shared" ref="R671:R673" si="122">0.1*N671</f>
        <v>1</v>
      </c>
      <c r="S671" s="214">
        <f t="shared" ref="S671:S673" si="123">0.5*N671</f>
        <v>5</v>
      </c>
      <c r="T671" s="214">
        <f t="shared" ref="T671:T673" si="124">0.4*N671</f>
        <v>4</v>
      </c>
      <c r="U671" s="103"/>
      <c r="V671" s="104"/>
      <c r="W671" s="30"/>
      <c r="X671" s="102"/>
      <c r="Y671" s="103"/>
      <c r="Z671" s="103"/>
      <c r="AA671" s="103"/>
      <c r="AB671" s="104"/>
    </row>
    <row r="672" spans="3:28" ht="14.15" customHeight="1">
      <c r="C672" s="28"/>
      <c r="E672" s="107" t="s">
        <v>64</v>
      </c>
      <c r="F672" s="249" t="s">
        <v>135</v>
      </c>
      <c r="G672" s="184"/>
      <c r="H672" s="94" t="s">
        <v>18</v>
      </c>
      <c r="I672" s="43">
        <v>0.12</v>
      </c>
      <c r="J672" s="3"/>
      <c r="K672" s="200">
        <f>26*10</f>
        <v>260</v>
      </c>
      <c r="L672" s="230"/>
      <c r="M672" s="30"/>
      <c r="N672" s="177">
        <f>I672*K672</f>
        <v>31.2</v>
      </c>
      <c r="O672" s="32"/>
      <c r="P672" s="96"/>
      <c r="Q672" s="30"/>
      <c r="R672" s="257">
        <f t="shared" si="122"/>
        <v>3.12</v>
      </c>
      <c r="S672" s="214">
        <f t="shared" si="123"/>
        <v>15.6</v>
      </c>
      <c r="T672" s="214">
        <f t="shared" si="124"/>
        <v>12.48</v>
      </c>
      <c r="U672" s="103"/>
      <c r="V672" s="104"/>
      <c r="W672" s="30"/>
      <c r="X672" s="102"/>
      <c r="Y672" s="103"/>
      <c r="Z672" s="103"/>
      <c r="AA672" s="103"/>
      <c r="AB672" s="104"/>
    </row>
    <row r="673" spans="2:28" ht="12" customHeight="1">
      <c r="C673" s="28"/>
      <c r="E673" s="189" t="s">
        <v>59</v>
      </c>
      <c r="F673" s="256" t="s">
        <v>139</v>
      </c>
      <c r="G673" s="190"/>
      <c r="H673" s="94"/>
      <c r="I673" s="43"/>
      <c r="J673" s="3"/>
      <c r="K673" s="175"/>
      <c r="L673" s="231"/>
      <c r="M673" s="30"/>
      <c r="N673" s="234">
        <f>SUM(N656:N672)*0.1</f>
        <v>7.1425000000000001</v>
      </c>
      <c r="O673" s="32"/>
      <c r="P673" s="109"/>
      <c r="Q673" s="30"/>
      <c r="R673" s="258">
        <f t="shared" si="122"/>
        <v>0.71425000000000005</v>
      </c>
      <c r="S673" s="259">
        <f t="shared" si="123"/>
        <v>3.57125</v>
      </c>
      <c r="T673" s="259">
        <f t="shared" si="124"/>
        <v>2.8570000000000002</v>
      </c>
      <c r="U673" s="111"/>
      <c r="V673" s="112"/>
      <c r="W673" s="30"/>
      <c r="X673" s="110"/>
      <c r="Y673" s="111"/>
      <c r="Z673" s="111"/>
      <c r="AA673" s="111"/>
      <c r="AB673" s="112"/>
    </row>
    <row r="674" spans="2:28" ht="4" customHeight="1">
      <c r="E674" s="3"/>
      <c r="J674" s="3"/>
    </row>
    <row r="675" spans="2:28" ht="15" customHeight="1">
      <c r="F675" s="113" t="s">
        <v>19</v>
      </c>
      <c r="G675" s="114"/>
      <c r="H675" s="114"/>
      <c r="I675" s="85"/>
      <c r="K675" s="22"/>
      <c r="L675" s="207"/>
      <c r="M675" s="20"/>
      <c r="N675" s="179">
        <f>SUM(N656:N673)</f>
        <v>78.567499999999995</v>
      </c>
      <c r="O675" s="20"/>
      <c r="P675" s="22"/>
      <c r="Q675" s="20"/>
      <c r="R675" s="180">
        <f>SUM(R657:R673)</f>
        <v>12.90925</v>
      </c>
      <c r="S675" s="181">
        <f>SUM(S657:S673)</f>
        <v>37.021250000000002</v>
      </c>
      <c r="T675" s="181">
        <f>SUM(T657:T673)</f>
        <v>22.137</v>
      </c>
      <c r="U675" s="182">
        <f>SUM(U657:U673)</f>
        <v>0</v>
      </c>
      <c r="V675" s="180">
        <f>SUM(V657:V673)</f>
        <v>0</v>
      </c>
      <c r="W675" s="115"/>
      <c r="X675" s="160">
        <f>SUM(X657:X673)</f>
        <v>0</v>
      </c>
      <c r="Y675" s="161">
        <f>SUM(Y657:Y673)</f>
        <v>0</v>
      </c>
      <c r="Z675" s="161">
        <f>SUM(Z657:Z673)</f>
        <v>0</v>
      </c>
      <c r="AA675" s="161">
        <f>SUM(AA657:AA673)</f>
        <v>0</v>
      </c>
      <c r="AB675" s="161">
        <f>SUM(AB657:AB673)</f>
        <v>0</v>
      </c>
    </row>
    <row r="676" spans="2:28" ht="12" customHeight="1">
      <c r="F676" s="192"/>
      <c r="G676" s="193"/>
      <c r="H676" s="193"/>
      <c r="I676" s="193"/>
      <c r="K676" s="168"/>
      <c r="L676" s="208"/>
      <c r="M676" s="168"/>
      <c r="N676" s="168"/>
      <c r="O676" s="168"/>
      <c r="P676" s="168"/>
      <c r="Q676" s="168"/>
      <c r="R676" s="168"/>
      <c r="S676" s="168"/>
      <c r="T676" s="168"/>
      <c r="U676" s="168"/>
      <c r="V676" s="196"/>
      <c r="W676" s="194"/>
      <c r="X676" s="195"/>
      <c r="Y676" s="195"/>
      <c r="Z676" s="195"/>
      <c r="AA676" s="195"/>
      <c r="AB676" s="195"/>
    </row>
    <row r="677" spans="2:28" ht="15" customHeight="1">
      <c r="B677" s="164" t="s">
        <v>60</v>
      </c>
      <c r="C677" s="6"/>
      <c r="E677" s="116" t="s">
        <v>20</v>
      </c>
    </row>
    <row r="678" spans="2:28" ht="18" customHeight="1">
      <c r="B678" s="6"/>
      <c r="C678" s="269" t="s">
        <v>5</v>
      </c>
      <c r="E678" s="239" t="s">
        <v>125</v>
      </c>
      <c r="F678" s="237"/>
      <c r="G678" s="240"/>
      <c r="K678" s="333" t="s">
        <v>9</v>
      </c>
      <c r="L678" s="334"/>
      <c r="M678" s="334"/>
      <c r="N678" s="335"/>
      <c r="O678" s="24"/>
      <c r="P678" s="68" t="s">
        <v>10</v>
      </c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70"/>
    </row>
    <row r="679" spans="2:28" ht="15" customHeight="1">
      <c r="E679" s="26" t="s">
        <v>21</v>
      </c>
      <c r="F679" s="84" t="s">
        <v>22</v>
      </c>
      <c r="G679" s="85"/>
      <c r="H679" s="73" t="s">
        <v>4</v>
      </c>
      <c r="I679" s="75" t="s">
        <v>23</v>
      </c>
      <c r="K679" s="71"/>
      <c r="M679" s="24"/>
      <c r="N679" s="72" t="s">
        <v>11</v>
      </c>
      <c r="O679" s="24"/>
      <c r="P679" s="73">
        <v>2011</v>
      </c>
      <c r="Q679" s="74"/>
      <c r="R679" s="75">
        <f>P679+1</f>
        <v>2012</v>
      </c>
      <c r="S679" s="75">
        <f>R679+1</f>
        <v>2013</v>
      </c>
      <c r="T679" s="75">
        <f>S679+1</f>
        <v>2014</v>
      </c>
      <c r="U679" s="75">
        <f>T679+1</f>
        <v>2015</v>
      </c>
      <c r="V679" s="75">
        <f>U679+1</f>
        <v>2016</v>
      </c>
      <c r="W679" s="74"/>
      <c r="X679" s="76">
        <f>V679+1</f>
        <v>2017</v>
      </c>
      <c r="Y679" s="76">
        <f>X679+1</f>
        <v>2018</v>
      </c>
      <c r="Z679" s="76">
        <f>Y679+1</f>
        <v>2019</v>
      </c>
      <c r="AA679" s="76">
        <f>Z679+1</f>
        <v>2020</v>
      </c>
      <c r="AB679" s="76">
        <f>AA679+1</f>
        <v>2021</v>
      </c>
    </row>
    <row r="680" spans="2:28" ht="4" customHeight="1"/>
    <row r="681" spans="2:28" ht="12" customHeight="1">
      <c r="C681" s="28"/>
      <c r="E681" s="77" t="s">
        <v>3</v>
      </c>
      <c r="F681" s="197" t="s">
        <v>224</v>
      </c>
      <c r="G681" s="117"/>
      <c r="H681" s="73"/>
      <c r="I681" s="75"/>
      <c r="J681" s="3"/>
      <c r="K681" s="87"/>
      <c r="L681" s="204"/>
      <c r="M681" s="30"/>
      <c r="N681" s="176">
        <f>N652</f>
        <v>102.89999999999999</v>
      </c>
      <c r="O681" s="32"/>
      <c r="P681" s="88"/>
      <c r="Q681" s="30"/>
      <c r="R681" s="89">
        <f>R652</f>
        <v>5.5</v>
      </c>
      <c r="S681" s="89">
        <f>S652</f>
        <v>97.399999999999991</v>
      </c>
      <c r="T681" s="89">
        <f>T652</f>
        <v>0</v>
      </c>
      <c r="U681" s="89">
        <f>U652</f>
        <v>0</v>
      </c>
      <c r="V681" s="220">
        <f>V652</f>
        <v>0</v>
      </c>
      <c r="X681" s="235"/>
      <c r="Y681" s="118"/>
      <c r="Z681" s="118"/>
      <c r="AA681" s="118"/>
      <c r="AB681" s="119"/>
    </row>
    <row r="682" spans="2:28" ht="12" customHeight="1">
      <c r="C682" s="28"/>
      <c r="E682" s="105" t="s">
        <v>218</v>
      </c>
      <c r="F682" s="41" t="s">
        <v>221</v>
      </c>
      <c r="G682" s="100"/>
      <c r="H682" s="94"/>
      <c r="I682" s="43"/>
      <c r="J682" s="3"/>
      <c r="K682" s="101"/>
      <c r="L682" s="204"/>
      <c r="M682" s="30"/>
      <c r="N682" s="178">
        <f>N656</f>
        <v>6.5</v>
      </c>
      <c r="O682" s="32"/>
      <c r="P682" s="96"/>
      <c r="Q682" s="30"/>
      <c r="R682" s="157">
        <f>R656</f>
        <v>0</v>
      </c>
      <c r="S682" s="157">
        <f t="shared" ref="S682:V682" si="125">S656</f>
        <v>6.5</v>
      </c>
      <c r="T682" s="157">
        <f t="shared" si="125"/>
        <v>0</v>
      </c>
      <c r="U682" s="157">
        <f t="shared" si="125"/>
        <v>0</v>
      </c>
      <c r="V682" s="157">
        <f t="shared" si="125"/>
        <v>0</v>
      </c>
      <c r="W682" s="30"/>
      <c r="X682" s="102"/>
      <c r="Y682" s="103"/>
      <c r="Z682" s="103"/>
      <c r="AA682" s="103"/>
      <c r="AB682" s="104"/>
    </row>
    <row r="683" spans="2:28" ht="12" customHeight="1">
      <c r="C683" s="28"/>
      <c r="E683" s="105" t="s">
        <v>29</v>
      </c>
      <c r="F683" s="41" t="s">
        <v>220</v>
      </c>
      <c r="G683" s="100"/>
      <c r="H683" s="94"/>
      <c r="I683" s="43"/>
      <c r="J683" s="3"/>
      <c r="K683" s="101"/>
      <c r="L683" s="204"/>
      <c r="M683" s="30"/>
      <c r="N683" s="178">
        <f>SUM(N657:N660)</f>
        <v>11.475</v>
      </c>
      <c r="O683" s="32"/>
      <c r="P683" s="96"/>
      <c r="Q683" s="30"/>
      <c r="R683" s="178">
        <f>SUM(R657:R660)</f>
        <v>2.125</v>
      </c>
      <c r="S683" s="178">
        <f t="shared" ref="S683:V683" si="126">SUM(S657:S660)</f>
        <v>9.35</v>
      </c>
      <c r="T683" s="178">
        <f t="shared" si="126"/>
        <v>0</v>
      </c>
      <c r="U683" s="178">
        <f t="shared" si="126"/>
        <v>0</v>
      </c>
      <c r="V683" s="178">
        <f t="shared" si="126"/>
        <v>0</v>
      </c>
      <c r="W683" s="30"/>
      <c r="X683" s="102"/>
      <c r="Y683" s="103"/>
      <c r="Z683" s="103"/>
      <c r="AA683" s="103"/>
      <c r="AB683" s="104"/>
    </row>
    <row r="684" spans="2:28" ht="12" customHeight="1">
      <c r="C684" s="28"/>
      <c r="E684" s="105" t="s">
        <v>49</v>
      </c>
      <c r="F684" s="41" t="s">
        <v>50</v>
      </c>
      <c r="G684" s="100"/>
      <c r="H684" s="94"/>
      <c r="I684" s="43"/>
      <c r="J684" s="3"/>
      <c r="K684" s="101"/>
      <c r="L684" s="204"/>
      <c r="M684" s="30"/>
      <c r="N684" s="178">
        <f>SUM(N662:N666)</f>
        <v>5.25</v>
      </c>
      <c r="O684" s="32"/>
      <c r="P684" s="96"/>
      <c r="Q684" s="30"/>
      <c r="R684" s="178">
        <f>SUM(R662:R666)</f>
        <v>5.25</v>
      </c>
      <c r="S684" s="178">
        <f t="shared" ref="S684:V684" si="127">SUM(S662:S666)</f>
        <v>0</v>
      </c>
      <c r="T684" s="178">
        <f t="shared" si="127"/>
        <v>0</v>
      </c>
      <c r="U684" s="178">
        <f t="shared" si="127"/>
        <v>0</v>
      </c>
      <c r="V684" s="178">
        <f t="shared" si="127"/>
        <v>0</v>
      </c>
      <c r="W684" s="30"/>
      <c r="X684" s="102"/>
      <c r="Y684" s="103"/>
      <c r="Z684" s="103"/>
      <c r="AA684" s="103"/>
      <c r="AB684" s="104"/>
    </row>
    <row r="685" spans="2:28" ht="12" customHeight="1">
      <c r="C685" s="28"/>
      <c r="E685" s="40" t="s">
        <v>52</v>
      </c>
      <c r="F685" s="41" t="s">
        <v>168</v>
      </c>
      <c r="G685" s="100"/>
      <c r="H685" s="94"/>
      <c r="I685" s="43"/>
      <c r="J685" s="3"/>
      <c r="K685" s="101"/>
      <c r="L685" s="204"/>
      <c r="M685" s="30"/>
      <c r="N685" s="178">
        <f>SUM(N668:N669)</f>
        <v>7</v>
      </c>
      <c r="O685" s="32"/>
      <c r="P685" s="96"/>
      <c r="Q685" s="30"/>
      <c r="R685" s="178">
        <f>SUM(R668:R669)</f>
        <v>0.70000000000000007</v>
      </c>
      <c r="S685" s="178">
        <f t="shared" ref="S685:V685" si="128">SUM(S668:S669)</f>
        <v>3.5</v>
      </c>
      <c r="T685" s="178">
        <f t="shared" si="128"/>
        <v>2.8000000000000003</v>
      </c>
      <c r="U685" s="178">
        <f t="shared" si="128"/>
        <v>0</v>
      </c>
      <c r="V685" s="178">
        <f t="shared" si="128"/>
        <v>0</v>
      </c>
      <c r="W685" s="30"/>
      <c r="X685" s="102"/>
      <c r="Y685" s="103"/>
      <c r="Z685" s="103"/>
      <c r="AA685" s="103"/>
      <c r="AB685" s="104"/>
    </row>
    <row r="686" spans="2:28" ht="12" customHeight="1">
      <c r="C686" s="28"/>
      <c r="E686" s="40" t="s">
        <v>65</v>
      </c>
      <c r="F686" s="41" t="s">
        <v>78</v>
      </c>
      <c r="G686" s="100"/>
      <c r="H686" s="94"/>
      <c r="I686" s="43"/>
      <c r="J686" s="3"/>
      <c r="K686" s="101"/>
      <c r="L686" s="204"/>
      <c r="M686" s="30"/>
      <c r="N686" s="178">
        <f>SUM(N671:N672)</f>
        <v>41.2</v>
      </c>
      <c r="O686" s="32"/>
      <c r="P686" s="96"/>
      <c r="Q686" s="30"/>
      <c r="R686" s="178">
        <f>SUM(R671:R672)</f>
        <v>4.12</v>
      </c>
      <c r="S686" s="178">
        <f t="shared" ref="S686:V686" si="129">SUM(S671:S672)</f>
        <v>20.6</v>
      </c>
      <c r="T686" s="178">
        <f t="shared" si="129"/>
        <v>16.48</v>
      </c>
      <c r="U686" s="178">
        <f t="shared" si="129"/>
        <v>0</v>
      </c>
      <c r="V686" s="178">
        <f t="shared" si="129"/>
        <v>0</v>
      </c>
      <c r="W686" s="30"/>
      <c r="X686" s="102"/>
      <c r="Y686" s="103"/>
      <c r="Z686" s="103"/>
      <c r="AA686" s="103"/>
      <c r="AB686" s="104"/>
    </row>
    <row r="687" spans="2:28" ht="12" customHeight="1">
      <c r="C687" s="28"/>
      <c r="E687" s="108" t="s">
        <v>59</v>
      </c>
      <c r="F687" s="256" t="s">
        <v>139</v>
      </c>
      <c r="G687" s="120"/>
      <c r="H687" s="94"/>
      <c r="I687" s="43"/>
      <c r="J687" s="3"/>
      <c r="K687" s="121"/>
      <c r="L687" s="204"/>
      <c r="M687" s="30"/>
      <c r="N687" s="234">
        <f>N673</f>
        <v>7.1425000000000001</v>
      </c>
      <c r="O687" s="32"/>
      <c r="P687" s="109"/>
      <c r="Q687" s="30"/>
      <c r="R687" s="163">
        <f t="shared" ref="R687:V687" si="130">R673</f>
        <v>0.71425000000000005</v>
      </c>
      <c r="S687" s="163">
        <f t="shared" si="130"/>
        <v>3.57125</v>
      </c>
      <c r="T687" s="163">
        <f t="shared" si="130"/>
        <v>2.8570000000000002</v>
      </c>
      <c r="U687" s="163">
        <f t="shared" si="130"/>
        <v>0</v>
      </c>
      <c r="V687" s="163">
        <f t="shared" si="130"/>
        <v>0</v>
      </c>
      <c r="W687" s="30"/>
      <c r="X687" s="218"/>
      <c r="Y687" s="111"/>
      <c r="Z687" s="111"/>
      <c r="AA687" s="111"/>
      <c r="AB687" s="112"/>
    </row>
    <row r="688" spans="2:28" ht="4" customHeight="1">
      <c r="E688" s="3"/>
      <c r="J688" s="3"/>
    </row>
    <row r="689" spans="2:29" ht="15" customHeight="1">
      <c r="F689" s="122" t="s">
        <v>24</v>
      </c>
      <c r="G689" s="114"/>
      <c r="H689" s="114"/>
      <c r="I689" s="85"/>
      <c r="K689" s="22"/>
      <c r="L689" s="207"/>
      <c r="M689" s="20"/>
      <c r="N689" s="162">
        <f>SUM(N681:N687)</f>
        <v>181.4675</v>
      </c>
      <c r="O689" s="20"/>
      <c r="P689" s="22"/>
      <c r="Q689" s="20"/>
      <c r="R689" s="198">
        <f>SUM(R681:R687)</f>
        <v>18.40925</v>
      </c>
      <c r="S689" s="198">
        <f>SUM(S681:S687)</f>
        <v>140.92124999999999</v>
      </c>
      <c r="T689" s="198">
        <f>SUM(T681:T687)</f>
        <v>22.137</v>
      </c>
      <c r="U689" s="198">
        <f>SUM(U681:U687)</f>
        <v>0</v>
      </c>
      <c r="V689" s="198">
        <f>SUM(V681:V687)</f>
        <v>0</v>
      </c>
      <c r="W689" s="115"/>
      <c r="X689" s="236">
        <f>SUM(X681:X687)</f>
        <v>0</v>
      </c>
      <c r="Y689" s="160">
        <f>SUM(Y681:Y687)</f>
        <v>0</v>
      </c>
      <c r="Z689" s="160">
        <f>SUM(Z681:Z687)</f>
        <v>0</v>
      </c>
      <c r="AA689" s="160">
        <f>SUM(AA681:AA687)</f>
        <v>0</v>
      </c>
      <c r="AB689" s="160">
        <f>SUM(AB681:AB687)</f>
        <v>0</v>
      </c>
    </row>
    <row r="690" spans="2:29" ht="10" customHeight="1"/>
    <row r="691" spans="2:29" ht="10" customHeight="1" thickBot="1"/>
    <row r="692" spans="2:29" ht="16" thickBot="1">
      <c r="B692" s="315" t="s">
        <v>227</v>
      </c>
      <c r="C692" s="316"/>
      <c r="D692" s="316"/>
      <c r="E692" s="316"/>
      <c r="F692" s="316"/>
      <c r="G692" s="316"/>
      <c r="H692" s="316"/>
      <c r="I692" s="316"/>
      <c r="J692" s="316"/>
      <c r="K692" s="316"/>
      <c r="L692" s="316"/>
      <c r="M692" s="316"/>
      <c r="N692" s="316"/>
      <c r="O692" s="316"/>
      <c r="P692" s="316"/>
      <c r="Q692" s="316"/>
      <c r="R692" s="316"/>
      <c r="S692" s="316"/>
      <c r="T692" s="316"/>
      <c r="U692" s="316"/>
      <c r="V692" s="316"/>
      <c r="W692" s="316"/>
      <c r="X692" s="316"/>
      <c r="Y692" s="316"/>
      <c r="Z692" s="316"/>
      <c r="AA692" s="316"/>
      <c r="AB692" s="317"/>
    </row>
    <row r="693" spans="2:29" ht="10" customHeight="1" thickBot="1"/>
    <row r="694" spans="2:29" ht="13" thickBot="1">
      <c r="B694" s="164" t="s">
        <v>60</v>
      </c>
      <c r="C694" s="6"/>
      <c r="D694" s="132"/>
      <c r="E694" s="123" t="s">
        <v>61</v>
      </c>
      <c r="F694" s="7"/>
      <c r="G694" s="8"/>
    </row>
    <row r="695" spans="2:29" ht="36" customHeight="1">
      <c r="B695" s="6"/>
      <c r="C695" s="9" t="s">
        <v>143</v>
      </c>
      <c r="D695" s="130"/>
      <c r="E695" s="269" t="s">
        <v>126</v>
      </c>
      <c r="F695" s="251" t="s">
        <v>156</v>
      </c>
      <c r="G695" s="11"/>
    </row>
    <row r="696" spans="2:29" ht="12" customHeight="1">
      <c r="B696" s="6"/>
      <c r="C696" s="6"/>
      <c r="D696" s="132"/>
      <c r="E696" s="12"/>
      <c r="F696" s="26" t="s">
        <v>164</v>
      </c>
      <c r="G696" s="11"/>
    </row>
    <row r="697" spans="2:29" ht="12" customHeight="1">
      <c r="B697" s="6"/>
      <c r="C697" s="6"/>
      <c r="D697" s="132"/>
      <c r="E697" s="12"/>
      <c r="F697" s="13" t="s">
        <v>7</v>
      </c>
      <c r="G697" s="14">
        <v>2014</v>
      </c>
      <c r="P697" s="137">
        <v>2011</v>
      </c>
      <c r="Q697" s="138"/>
      <c r="R697" s="137">
        <f>P697+1</f>
        <v>2012</v>
      </c>
      <c r="S697" s="137">
        <f>R697+1</f>
        <v>2013</v>
      </c>
      <c r="T697" s="137">
        <f>S697+1</f>
        <v>2014</v>
      </c>
      <c r="U697" s="137">
        <f>T697+1</f>
        <v>2015</v>
      </c>
      <c r="V697" s="137">
        <f>U697+1</f>
        <v>2016</v>
      </c>
      <c r="W697" s="138"/>
      <c r="X697" s="139">
        <f>V697+1</f>
        <v>2017</v>
      </c>
      <c r="Y697" s="139">
        <f>X697+1</f>
        <v>2018</v>
      </c>
      <c r="Z697" s="139">
        <f>Y697+1</f>
        <v>2019</v>
      </c>
      <c r="AA697" s="139">
        <f>Z697+1</f>
        <v>2020</v>
      </c>
      <c r="AB697" s="139">
        <f>AA697+1</f>
        <v>2021</v>
      </c>
    </row>
    <row r="698" spans="2:29" ht="12" customHeight="1">
      <c r="F698" s="1"/>
      <c r="G698" s="209" t="s">
        <v>68</v>
      </c>
      <c r="H698" s="18"/>
      <c r="I698" s="18"/>
      <c r="K698" s="19"/>
      <c r="L698" s="203"/>
      <c r="M698" s="20"/>
      <c r="N698" s="21" t="s">
        <v>0</v>
      </c>
      <c r="O698" s="20"/>
      <c r="P698" s="22"/>
      <c r="Q698" s="20"/>
      <c r="R698" s="140"/>
      <c r="S698" s="141"/>
      <c r="T698" s="142">
        <v>23.7</v>
      </c>
      <c r="U698" s="140">
        <v>33.799999999999997</v>
      </c>
      <c r="V698" s="143">
        <v>30.5</v>
      </c>
      <c r="W698" s="23"/>
      <c r="X698" s="144">
        <v>28.3</v>
      </c>
      <c r="Y698" s="144">
        <v>25.700000000000003</v>
      </c>
      <c r="Z698" s="144">
        <v>19.100000000000001</v>
      </c>
      <c r="AA698" s="144">
        <v>15.1</v>
      </c>
      <c r="AB698" s="144">
        <v>15.1</v>
      </c>
    </row>
    <row r="699" spans="2:29" ht="12" customHeight="1">
      <c r="F699" s="1"/>
      <c r="G699" s="210" t="s">
        <v>69</v>
      </c>
      <c r="H699" s="18"/>
      <c r="I699" s="18"/>
      <c r="K699" s="19"/>
      <c r="L699" s="203"/>
      <c r="M699" s="20"/>
      <c r="N699" s="21" t="s">
        <v>1</v>
      </c>
      <c r="O699" s="20"/>
      <c r="P699" s="22"/>
      <c r="Q699" s="20"/>
      <c r="R699" s="140"/>
      <c r="S699" s="141"/>
      <c r="T699" s="142">
        <v>11.600000000000001</v>
      </c>
      <c r="U699" s="140">
        <v>16.600000000000001</v>
      </c>
      <c r="V699" s="143">
        <v>15.899999999999999</v>
      </c>
      <c r="W699" s="23"/>
      <c r="X699" s="144">
        <v>15.1</v>
      </c>
      <c r="Y699" s="144">
        <v>14.100000000000001</v>
      </c>
      <c r="Z699" s="144">
        <v>10.600000000000001</v>
      </c>
      <c r="AA699" s="144">
        <v>7.9</v>
      </c>
      <c r="AB699" s="144">
        <v>7.9</v>
      </c>
    </row>
    <row r="700" spans="2:29" ht="10" customHeight="1">
      <c r="F700" s="1"/>
      <c r="G700" s="165"/>
      <c r="H700" s="166"/>
      <c r="I700" s="166"/>
      <c r="K700" s="167"/>
      <c r="L700" s="204"/>
      <c r="M700" s="168"/>
      <c r="N700" s="169"/>
      <c r="O700" s="168"/>
      <c r="P700" s="168"/>
      <c r="Q700" s="168"/>
      <c r="R700" s="170"/>
      <c r="S700" s="170"/>
      <c r="T700" s="170"/>
      <c r="U700" s="170"/>
      <c r="V700" s="170"/>
      <c r="W700" s="171"/>
      <c r="X700" s="172"/>
      <c r="Y700" s="172"/>
      <c r="Z700" s="172"/>
      <c r="AA700" s="172"/>
      <c r="AB700" s="172"/>
    </row>
    <row r="701" spans="2:29" ht="12" customHeight="1">
      <c r="E701" s="26" t="s">
        <v>8</v>
      </c>
      <c r="F701" s="27" t="s">
        <v>27</v>
      </c>
      <c r="O701" s="24"/>
      <c r="P701" s="134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6"/>
    </row>
    <row r="702" spans="2:29" ht="12" customHeight="1">
      <c r="C702" s="25"/>
      <c r="F702" s="1"/>
      <c r="G702" s="5"/>
      <c r="O702" s="24"/>
      <c r="P702" s="15">
        <v>2011</v>
      </c>
      <c r="Q702" s="16"/>
      <c r="R702" s="16">
        <f>P702+1</f>
        <v>2012</v>
      </c>
      <c r="S702" s="16">
        <f>R702+1</f>
        <v>2013</v>
      </c>
      <c r="T702" s="16">
        <f>S702+1</f>
        <v>2014</v>
      </c>
      <c r="U702" s="16">
        <f>T702+1</f>
        <v>2015</v>
      </c>
      <c r="V702" s="16">
        <f>U702+1</f>
        <v>2016</v>
      </c>
      <c r="W702" s="16"/>
      <c r="X702" s="17">
        <f>V702+1</f>
        <v>2017</v>
      </c>
      <c r="Y702" s="17">
        <f>X702+1</f>
        <v>2018</v>
      </c>
      <c r="Z702" s="17">
        <f>Y702+1</f>
        <v>2019</v>
      </c>
      <c r="AA702" s="17">
        <f>Z702+1</f>
        <v>2020</v>
      </c>
      <c r="AB702" s="17">
        <f>AA702+1</f>
        <v>2021</v>
      </c>
      <c r="AC702" s="24"/>
    </row>
    <row r="703" spans="2:29" ht="4" customHeight="1"/>
    <row r="704" spans="2:29" ht="12" customHeight="1">
      <c r="D704" s="242">
        <v>1</v>
      </c>
      <c r="E704" s="125" t="s">
        <v>209</v>
      </c>
      <c r="F704" s="125" t="s">
        <v>210</v>
      </c>
      <c r="G704" s="145"/>
      <c r="H704" s="150"/>
      <c r="I704" s="151"/>
      <c r="J704" s="3"/>
      <c r="K704" s="295">
        <v>4</v>
      </c>
      <c r="L704" s="201"/>
      <c r="M704" s="30"/>
      <c r="N704" s="87"/>
      <c r="O704" s="32"/>
      <c r="P704" s="33"/>
      <c r="Q704" s="30"/>
      <c r="R704" s="34"/>
      <c r="S704" s="35">
        <f>K704</f>
        <v>4</v>
      </c>
      <c r="T704" s="35"/>
      <c r="U704" s="35"/>
      <c r="V704" s="36"/>
      <c r="W704" s="30"/>
      <c r="X704" s="37"/>
      <c r="Y704" s="38"/>
      <c r="Z704" s="38"/>
      <c r="AA704" s="38"/>
      <c r="AB704" s="39"/>
    </row>
    <row r="705" spans="2:28" ht="12" customHeight="1">
      <c r="D705" s="243">
        <v>2</v>
      </c>
      <c r="E705" s="126" t="s">
        <v>222</v>
      </c>
      <c r="F705" s="126" t="s">
        <v>223</v>
      </c>
      <c r="G705" s="146"/>
      <c r="H705" s="152"/>
      <c r="I705" s="153"/>
      <c r="J705" s="3"/>
      <c r="K705" s="296">
        <v>2</v>
      </c>
      <c r="L705" s="201"/>
      <c r="M705" s="30"/>
      <c r="N705" s="101"/>
      <c r="O705" s="32"/>
      <c r="P705" s="45"/>
      <c r="Q705" s="30"/>
      <c r="R705" s="46"/>
      <c r="S705" s="47">
        <f>K705</f>
        <v>2</v>
      </c>
      <c r="T705" s="47"/>
      <c r="U705" s="47"/>
      <c r="V705" s="48"/>
      <c r="W705" s="30"/>
      <c r="X705" s="49"/>
      <c r="Y705" s="50"/>
      <c r="Z705" s="50"/>
      <c r="AA705" s="50"/>
      <c r="AB705" s="51"/>
    </row>
    <row r="706" spans="2:28" ht="12" customHeight="1">
      <c r="D706" s="243">
        <v>3</v>
      </c>
      <c r="E706" s="126" t="s">
        <v>211</v>
      </c>
      <c r="F706" s="126" t="s">
        <v>26</v>
      </c>
      <c r="G706" s="146"/>
      <c r="H706" s="152"/>
      <c r="I706" s="153"/>
      <c r="J706" s="3"/>
      <c r="K706" s="44">
        <v>2</v>
      </c>
      <c r="L706" s="201"/>
      <c r="M706" s="30"/>
      <c r="N706" s="53"/>
      <c r="O706" s="32"/>
      <c r="P706" s="45"/>
      <c r="Q706" s="30"/>
      <c r="R706" s="46"/>
      <c r="S706" s="47">
        <f t="shared" ref="S706" si="131">K706</f>
        <v>2</v>
      </c>
      <c r="T706" s="47"/>
      <c r="U706" s="47"/>
      <c r="V706" s="48"/>
      <c r="W706" s="30"/>
      <c r="X706" s="49"/>
      <c r="Y706" s="50"/>
      <c r="Z706" s="50"/>
      <c r="AA706" s="50"/>
      <c r="AB706" s="51"/>
    </row>
    <row r="707" spans="2:28" ht="12" customHeight="1">
      <c r="D707" s="244">
        <v>4</v>
      </c>
      <c r="E707" s="127" t="s">
        <v>212</v>
      </c>
      <c r="F707" s="127" t="s">
        <v>26</v>
      </c>
      <c r="G707" s="147"/>
      <c r="H707" s="154"/>
      <c r="I707" s="155"/>
      <c r="J707" s="3"/>
      <c r="K707" s="297">
        <v>4</v>
      </c>
      <c r="L707" s="201"/>
      <c r="M707" s="30"/>
      <c r="N707" s="53"/>
      <c r="O707" s="32"/>
      <c r="P707" s="45"/>
      <c r="Q707" s="30"/>
      <c r="R707" s="46"/>
      <c r="S707" s="47">
        <f>K707</f>
        <v>4</v>
      </c>
      <c r="T707" s="47"/>
      <c r="U707" s="47"/>
      <c r="V707" s="48"/>
      <c r="W707" s="30"/>
      <c r="X707" s="49"/>
      <c r="Y707" s="50"/>
      <c r="Z707" s="50"/>
      <c r="AA707" s="50"/>
      <c r="AB707" s="51"/>
    </row>
    <row r="708" spans="2:28" s="67" customFormat="1" ht="15" customHeight="1">
      <c r="B708" s="54"/>
      <c r="C708" s="55"/>
      <c r="D708" s="133"/>
      <c r="E708" s="124"/>
      <c r="F708" s="128" t="s">
        <v>2</v>
      </c>
      <c r="G708" s="129"/>
      <c r="H708" s="148"/>
      <c r="I708" s="149"/>
      <c r="J708" s="61"/>
      <c r="K708" s="29">
        <f>SUM(K704:K707)</f>
        <v>12</v>
      </c>
      <c r="L708" s="205"/>
      <c r="M708" s="62"/>
      <c r="N708" s="31"/>
      <c r="O708" s="61"/>
      <c r="P708" s="63"/>
      <c r="Q708" s="62"/>
      <c r="R708" s="64">
        <f>SUM(R704:R707)</f>
        <v>0</v>
      </c>
      <c r="S708" s="64">
        <f>SUM(S704:S707)</f>
        <v>12</v>
      </c>
      <c r="T708" s="64">
        <f>SUM(T704:T707)</f>
        <v>0</v>
      </c>
      <c r="U708" s="64">
        <f>SUM(U704:U707)</f>
        <v>0</v>
      </c>
      <c r="V708" s="64">
        <f>SUM(V704:V707)</f>
        <v>0</v>
      </c>
      <c r="W708" s="62"/>
      <c r="X708" s="65"/>
      <c r="Y708" s="59"/>
      <c r="Z708" s="59"/>
      <c r="AA708" s="59"/>
      <c r="AB708" s="66"/>
    </row>
    <row r="709" spans="2:28" ht="9" customHeight="1"/>
    <row r="710" spans="2:28" ht="15" customHeight="1">
      <c r="L710" s="1"/>
      <c r="O710" s="24"/>
      <c r="P710" s="84" t="s">
        <v>10</v>
      </c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  <c r="AB710" s="222"/>
    </row>
    <row r="711" spans="2:28" ht="15" customHeight="1">
      <c r="E711" s="26" t="s">
        <v>28</v>
      </c>
      <c r="K711" s="137" t="s">
        <v>67</v>
      </c>
      <c r="L711" s="211" t="s">
        <v>66</v>
      </c>
      <c r="M711" s="24"/>
      <c r="N711" s="212" t="s">
        <v>11</v>
      </c>
      <c r="O711" s="24"/>
      <c r="P711" s="137">
        <v>2011</v>
      </c>
      <c r="Q711" s="5"/>
      <c r="R711" s="137">
        <f>P711+1</f>
        <v>2012</v>
      </c>
      <c r="S711" s="137">
        <f>R711+1</f>
        <v>2013</v>
      </c>
      <c r="T711" s="137">
        <f>S711+1</f>
        <v>2014</v>
      </c>
      <c r="U711" s="137">
        <f>T711+1</f>
        <v>2015</v>
      </c>
      <c r="V711" s="137">
        <f>U711+1</f>
        <v>2016</v>
      </c>
      <c r="W711" s="5"/>
      <c r="X711" s="139">
        <f>V711+1</f>
        <v>2017</v>
      </c>
      <c r="Y711" s="139">
        <f>X711+1</f>
        <v>2018</v>
      </c>
      <c r="Z711" s="139">
        <f>Y711+1</f>
        <v>2019</v>
      </c>
      <c r="AA711" s="139">
        <f>Z711+1</f>
        <v>2020</v>
      </c>
      <c r="AB711" s="139">
        <f>AA711+1</f>
        <v>2021</v>
      </c>
    </row>
    <row r="712" spans="2:28" ht="4.5" customHeight="1"/>
    <row r="713" spans="2:28" ht="12" customHeight="1">
      <c r="D713" s="242">
        <v>1</v>
      </c>
      <c r="E713" s="125" t="s">
        <v>209</v>
      </c>
      <c r="F713" s="125" t="s">
        <v>213</v>
      </c>
      <c r="G713" s="299">
        <f>(3*1+2.5)/4</f>
        <v>1.375</v>
      </c>
      <c r="H713" s="78" t="s">
        <v>12</v>
      </c>
      <c r="I713" s="79" t="s">
        <v>13</v>
      </c>
      <c r="J713" s="3"/>
      <c r="K713" s="80">
        <f>K704</f>
        <v>4</v>
      </c>
      <c r="L713" s="225" t="s">
        <v>13</v>
      </c>
      <c r="M713" s="30"/>
      <c r="N713" s="156">
        <f>G713*K713</f>
        <v>5.5</v>
      </c>
      <c r="O713" s="32"/>
      <c r="P713" s="33"/>
      <c r="Q713" s="30"/>
      <c r="R713" s="81">
        <f t="shared" ref="R713:V716" si="132">$G713*R704</f>
        <v>0</v>
      </c>
      <c r="S713" s="81">
        <f t="shared" si="132"/>
        <v>5.5</v>
      </c>
      <c r="T713" s="81">
        <f t="shared" si="132"/>
        <v>0</v>
      </c>
      <c r="U713" s="81">
        <f t="shared" si="132"/>
        <v>0</v>
      </c>
      <c r="V713" s="81">
        <f t="shared" si="132"/>
        <v>0</v>
      </c>
      <c r="W713" s="30"/>
      <c r="X713" s="37"/>
      <c r="Y713" s="38"/>
      <c r="Z713" s="38"/>
      <c r="AA713" s="38"/>
      <c r="AB713" s="39"/>
    </row>
    <row r="714" spans="2:28" ht="12" customHeight="1">
      <c r="D714" s="243">
        <v>2</v>
      </c>
      <c r="E714" s="126" t="s">
        <v>222</v>
      </c>
      <c r="F714" s="126" t="s">
        <v>214</v>
      </c>
      <c r="G714" s="300">
        <f>(2.3+2.7)/2</f>
        <v>2.5</v>
      </c>
      <c r="H714" s="42" t="s">
        <v>12</v>
      </c>
      <c r="I714" s="43" t="s">
        <v>13</v>
      </c>
      <c r="J714" s="3"/>
      <c r="K714" s="52">
        <f>K705</f>
        <v>2</v>
      </c>
      <c r="L714" s="226" t="s">
        <v>13</v>
      </c>
      <c r="M714" s="30"/>
      <c r="N714" s="157">
        <f>G714*K714</f>
        <v>5</v>
      </c>
      <c r="O714" s="32"/>
      <c r="P714" s="45"/>
      <c r="Q714" s="30"/>
      <c r="R714" s="81">
        <f t="shared" si="132"/>
        <v>0</v>
      </c>
      <c r="S714" s="81">
        <f t="shared" si="132"/>
        <v>5</v>
      </c>
      <c r="T714" s="81">
        <f t="shared" si="132"/>
        <v>0</v>
      </c>
      <c r="U714" s="81">
        <f t="shared" si="132"/>
        <v>0</v>
      </c>
      <c r="V714" s="81">
        <f t="shared" si="132"/>
        <v>0</v>
      </c>
      <c r="W714" s="30"/>
      <c r="X714" s="49"/>
      <c r="Y714" s="50"/>
      <c r="Z714" s="50"/>
      <c r="AA714" s="50"/>
      <c r="AB714" s="51"/>
    </row>
    <row r="715" spans="2:28" ht="12" customHeight="1">
      <c r="D715" s="243">
        <v>3</v>
      </c>
      <c r="E715" s="126" t="s">
        <v>211</v>
      </c>
      <c r="F715" s="126" t="s">
        <v>26</v>
      </c>
      <c r="G715" s="300">
        <f>(17.5+22)/2</f>
        <v>19.75</v>
      </c>
      <c r="H715" s="42" t="s">
        <v>12</v>
      </c>
      <c r="I715" s="43" t="s">
        <v>13</v>
      </c>
      <c r="J715" s="3"/>
      <c r="K715" s="52">
        <f>K706</f>
        <v>2</v>
      </c>
      <c r="L715" s="226" t="s">
        <v>13</v>
      </c>
      <c r="M715" s="30"/>
      <c r="N715" s="157">
        <f>G715*K715</f>
        <v>39.5</v>
      </c>
      <c r="O715" s="32"/>
      <c r="P715" s="45"/>
      <c r="Q715" s="30"/>
      <c r="R715" s="81">
        <f t="shared" si="132"/>
        <v>0</v>
      </c>
      <c r="S715" s="81">
        <f t="shared" si="132"/>
        <v>39.5</v>
      </c>
      <c r="T715" s="81">
        <f t="shared" si="132"/>
        <v>0</v>
      </c>
      <c r="U715" s="81">
        <f t="shared" si="132"/>
        <v>0</v>
      </c>
      <c r="V715" s="81">
        <f t="shared" si="132"/>
        <v>0</v>
      </c>
      <c r="W715" s="30"/>
      <c r="X715" s="49"/>
      <c r="Y715" s="50"/>
      <c r="Z715" s="50"/>
      <c r="AA715" s="50"/>
      <c r="AB715" s="51"/>
    </row>
    <row r="716" spans="2:28" ht="12" customHeight="1">
      <c r="D716" s="244">
        <v>4</v>
      </c>
      <c r="E716" s="127" t="s">
        <v>212</v>
      </c>
      <c r="F716" s="127" t="s">
        <v>26</v>
      </c>
      <c r="G716" s="300">
        <f>(3*13.7+11.8)/4</f>
        <v>13.224999999999998</v>
      </c>
      <c r="H716" s="42" t="s">
        <v>12</v>
      </c>
      <c r="I716" s="43" t="s">
        <v>13</v>
      </c>
      <c r="J716" s="3"/>
      <c r="K716" s="52">
        <f>K707</f>
        <v>4</v>
      </c>
      <c r="L716" s="227" t="s">
        <v>13</v>
      </c>
      <c r="M716" s="30"/>
      <c r="N716" s="157">
        <f>G716*K716</f>
        <v>52.899999999999991</v>
      </c>
      <c r="O716" s="32"/>
      <c r="P716" s="45"/>
      <c r="Q716" s="30"/>
      <c r="R716" s="81">
        <f t="shared" si="132"/>
        <v>0</v>
      </c>
      <c r="S716" s="81">
        <f t="shared" si="132"/>
        <v>52.899999999999991</v>
      </c>
      <c r="T716" s="81">
        <f t="shared" si="132"/>
        <v>0</v>
      </c>
      <c r="U716" s="81">
        <f t="shared" si="132"/>
        <v>0</v>
      </c>
      <c r="V716" s="81">
        <f t="shared" si="132"/>
        <v>0</v>
      </c>
      <c r="W716" s="30"/>
      <c r="X716" s="49"/>
      <c r="Y716" s="50"/>
      <c r="Z716" s="50"/>
      <c r="AA716" s="50"/>
      <c r="AB716" s="51"/>
    </row>
    <row r="717" spans="2:28" s="67" customFormat="1" ht="15" customHeight="1">
      <c r="B717" s="54"/>
      <c r="C717" s="55"/>
      <c r="D717" s="133"/>
      <c r="E717" s="56"/>
      <c r="F717" s="57" t="s">
        <v>14</v>
      </c>
      <c r="G717" s="58"/>
      <c r="H717" s="59"/>
      <c r="I717" s="60"/>
      <c r="J717" s="61"/>
      <c r="K717" s="82"/>
      <c r="L717" s="206"/>
      <c r="M717" s="62"/>
      <c r="N717" s="180">
        <f>SUM(N713:N716)</f>
        <v>102.89999999999999</v>
      </c>
      <c r="O717" s="61"/>
      <c r="P717" s="63"/>
      <c r="Q717" s="62"/>
      <c r="R717" s="83">
        <f>SUM(R713:R716)</f>
        <v>0</v>
      </c>
      <c r="S717" s="83">
        <f>SUM(S713:S716)</f>
        <v>102.89999999999999</v>
      </c>
      <c r="T717" s="83">
        <f>SUM(T713:T716)</f>
        <v>0</v>
      </c>
      <c r="U717" s="83">
        <f>SUM(U713:U716)</f>
        <v>0</v>
      </c>
      <c r="V717" s="83">
        <f>SUM(V713:V716)</f>
        <v>0</v>
      </c>
      <c r="W717" s="62"/>
      <c r="X717" s="65"/>
      <c r="Y717" s="59"/>
      <c r="Z717" s="59"/>
      <c r="AA717" s="59"/>
      <c r="AB717" s="66"/>
    </row>
    <row r="718" spans="2:28" ht="12" customHeight="1"/>
    <row r="719" spans="2:28" ht="20.149999999999999" customHeight="1">
      <c r="E719" s="26" t="s">
        <v>15</v>
      </c>
      <c r="F719" s="84" t="s">
        <v>16</v>
      </c>
      <c r="G719" s="85"/>
      <c r="H719" s="215" t="s">
        <v>4</v>
      </c>
      <c r="I719" s="232" t="s">
        <v>76</v>
      </c>
      <c r="K719" s="137" t="s">
        <v>67</v>
      </c>
      <c r="L719" s="211" t="s">
        <v>66</v>
      </c>
      <c r="N719" s="212" t="s">
        <v>11</v>
      </c>
      <c r="P719" s="73">
        <v>2011</v>
      </c>
      <c r="Q719" s="74"/>
      <c r="R719" s="75">
        <f>P719+1</f>
        <v>2012</v>
      </c>
      <c r="S719" s="75">
        <f>R719+1</f>
        <v>2013</v>
      </c>
      <c r="T719" s="75">
        <f>S719+1</f>
        <v>2014</v>
      </c>
      <c r="U719" s="75">
        <f>T719+1</f>
        <v>2015</v>
      </c>
      <c r="V719" s="75">
        <f>U719+1</f>
        <v>2016</v>
      </c>
      <c r="W719" s="74"/>
      <c r="X719" s="76">
        <f>V719+1</f>
        <v>2017</v>
      </c>
      <c r="Y719" s="76">
        <f>X719+1</f>
        <v>2018</v>
      </c>
      <c r="Z719" s="76">
        <f>Y719+1</f>
        <v>2019</v>
      </c>
      <c r="AA719" s="76">
        <f>Z719+1</f>
        <v>2020</v>
      </c>
      <c r="AB719" s="76">
        <f>AA719+1</f>
        <v>2021</v>
      </c>
    </row>
    <row r="720" spans="2:28" ht="4" customHeight="1"/>
    <row r="721" spans="3:28" ht="12" customHeight="1">
      <c r="C721" s="28"/>
      <c r="E721" s="77" t="s">
        <v>218</v>
      </c>
      <c r="F721" s="158" t="s">
        <v>219</v>
      </c>
      <c r="G721" s="86"/>
      <c r="H721" s="213" t="s">
        <v>71</v>
      </c>
      <c r="I721" s="216">
        <v>0.5</v>
      </c>
      <c r="J721" s="3"/>
      <c r="K721" s="298">
        <v>13</v>
      </c>
      <c r="L721" s="229" t="s">
        <v>73</v>
      </c>
      <c r="M721" s="30"/>
      <c r="N721" s="176">
        <f>I721*K721</f>
        <v>6.5</v>
      </c>
      <c r="O721" s="32"/>
      <c r="P721" s="88"/>
      <c r="Q721" s="30"/>
      <c r="R721" s="90"/>
      <c r="S721" s="91">
        <f>N721</f>
        <v>6.5</v>
      </c>
      <c r="T721" s="91"/>
      <c r="U721" s="91"/>
      <c r="V721" s="92"/>
      <c r="W721" s="30"/>
      <c r="X721" s="90"/>
      <c r="Y721" s="91"/>
      <c r="Z721" s="91"/>
      <c r="AA721" s="91"/>
      <c r="AB721" s="92"/>
    </row>
    <row r="722" spans="3:28" ht="12" customHeight="1">
      <c r="C722" s="28"/>
      <c r="E722" s="77" t="s">
        <v>215</v>
      </c>
      <c r="F722" s="158" t="s">
        <v>70</v>
      </c>
      <c r="G722" s="86"/>
      <c r="H722" s="213" t="s">
        <v>71</v>
      </c>
      <c r="I722" s="216">
        <v>0.25</v>
      </c>
      <c r="J722" s="3"/>
      <c r="K722" s="228">
        <v>5.7</v>
      </c>
      <c r="L722" s="229" t="s">
        <v>72</v>
      </c>
      <c r="M722" s="30"/>
      <c r="N722" s="176">
        <f>I722*K722</f>
        <v>1.425</v>
      </c>
      <c r="O722" s="32"/>
      <c r="P722" s="88"/>
      <c r="Q722" s="30"/>
      <c r="R722" s="90"/>
      <c r="S722" s="91">
        <f>N722</f>
        <v>1.425</v>
      </c>
      <c r="T722" s="91"/>
      <c r="U722" s="91"/>
      <c r="V722" s="92"/>
      <c r="W722" s="30"/>
      <c r="X722" s="90"/>
      <c r="Y722" s="91"/>
      <c r="Z722" s="91"/>
      <c r="AA722" s="91"/>
      <c r="AB722" s="92"/>
    </row>
    <row r="723" spans="3:28" ht="12" customHeight="1">
      <c r="C723" s="28"/>
      <c r="E723" s="105"/>
      <c r="F723" s="41" t="s">
        <v>17</v>
      </c>
      <c r="G723" s="93"/>
      <c r="H723" s="94"/>
      <c r="I723" s="217">
        <v>0.1</v>
      </c>
      <c r="J723" s="3"/>
      <c r="K723" s="174">
        <v>7</v>
      </c>
      <c r="L723" s="226" t="s">
        <v>73</v>
      </c>
      <c r="M723" s="30"/>
      <c r="N723" s="177">
        <f>I723*K723</f>
        <v>0.70000000000000007</v>
      </c>
      <c r="O723" s="32"/>
      <c r="P723" s="96"/>
      <c r="Q723" s="30"/>
      <c r="R723" s="97"/>
      <c r="S723" s="98">
        <f>N723</f>
        <v>0.70000000000000007</v>
      </c>
      <c r="T723" s="98"/>
      <c r="U723" s="98"/>
      <c r="V723" s="99"/>
      <c r="W723" s="30"/>
      <c r="X723" s="97"/>
      <c r="Y723" s="98"/>
      <c r="Z723" s="98"/>
      <c r="AA723" s="98"/>
      <c r="AB723" s="99"/>
    </row>
    <row r="724" spans="3:28" ht="12" customHeight="1">
      <c r="C724" s="28"/>
      <c r="E724" s="105" t="s">
        <v>216</v>
      </c>
      <c r="F724" s="41" t="s">
        <v>217</v>
      </c>
      <c r="G724" s="100"/>
      <c r="H724" s="94"/>
      <c r="I724" s="217">
        <f>0.25</f>
        <v>0.25</v>
      </c>
      <c r="J724" s="3"/>
      <c r="K724" s="200">
        <f>11*3</f>
        <v>33</v>
      </c>
      <c r="L724" s="230" t="s">
        <v>72</v>
      </c>
      <c r="M724" s="30"/>
      <c r="N724" s="177">
        <f>I724*K724</f>
        <v>8.25</v>
      </c>
      <c r="O724" s="32"/>
      <c r="P724" s="96"/>
      <c r="Q724" s="30"/>
      <c r="R724" s="257"/>
      <c r="S724" s="214">
        <f>N724</f>
        <v>8.25</v>
      </c>
      <c r="T724" s="214"/>
      <c r="U724" s="103"/>
      <c r="V724" s="104"/>
      <c r="W724" s="30"/>
      <c r="X724" s="102"/>
      <c r="Y724" s="103"/>
      <c r="Z724" s="103"/>
      <c r="AA724" s="103"/>
      <c r="AB724" s="104"/>
    </row>
    <row r="725" spans="3:28" ht="12" customHeight="1">
      <c r="C725" s="28"/>
      <c r="E725" s="105"/>
      <c r="F725" s="253" t="s">
        <v>17</v>
      </c>
      <c r="G725" s="100"/>
      <c r="H725" s="94"/>
      <c r="I725" s="217">
        <v>0.1</v>
      </c>
      <c r="J725" s="3"/>
      <c r="K725" s="174">
        <v>11</v>
      </c>
      <c r="L725" s="226" t="s">
        <v>73</v>
      </c>
      <c r="M725" s="30"/>
      <c r="N725" s="177">
        <f>I725*K725</f>
        <v>1.1000000000000001</v>
      </c>
      <c r="O725" s="32"/>
      <c r="P725" s="96"/>
      <c r="Q725" s="30"/>
      <c r="R725" s="257"/>
      <c r="S725" s="214">
        <f>N725</f>
        <v>1.1000000000000001</v>
      </c>
      <c r="T725" s="214"/>
      <c r="U725" s="103"/>
      <c r="V725" s="104"/>
      <c r="W725" s="30"/>
      <c r="X725" s="102"/>
      <c r="Y725" s="103"/>
      <c r="Z725" s="103"/>
      <c r="AA725" s="103"/>
      <c r="AB725" s="104"/>
    </row>
    <row r="726" spans="3:28" ht="15" customHeight="1">
      <c r="C726" s="28"/>
      <c r="E726" s="183" t="s">
        <v>62</v>
      </c>
      <c r="F726" s="186"/>
      <c r="G726" s="184"/>
      <c r="H726" s="94"/>
      <c r="I726" s="95"/>
      <c r="J726" s="3"/>
      <c r="K726" s="174"/>
      <c r="L726" s="226"/>
      <c r="M726" s="30"/>
      <c r="N726" s="177"/>
      <c r="O726" s="32"/>
      <c r="P726" s="96"/>
      <c r="Q726" s="30"/>
      <c r="R726" s="102"/>
      <c r="S726" s="103"/>
      <c r="T726" s="103"/>
      <c r="U726" s="103"/>
      <c r="V726" s="104"/>
      <c r="W726" s="30"/>
      <c r="X726" s="102"/>
      <c r="Y726" s="103"/>
      <c r="Z726" s="103"/>
      <c r="AA726" s="103"/>
      <c r="AB726" s="104"/>
    </row>
    <row r="727" spans="3:28" ht="12" customHeight="1">
      <c r="C727" s="28"/>
      <c r="E727" s="107" t="s">
        <v>42</v>
      </c>
      <c r="F727" s="254" t="s">
        <v>136</v>
      </c>
      <c r="G727" s="185"/>
      <c r="H727" s="94" t="s">
        <v>18</v>
      </c>
      <c r="I727" s="43">
        <v>7</v>
      </c>
      <c r="J727" s="3"/>
      <c r="K727" s="174">
        <v>1</v>
      </c>
      <c r="L727" s="226"/>
      <c r="M727" s="30"/>
      <c r="N727" s="178">
        <f>I727*K727</f>
        <v>7</v>
      </c>
      <c r="O727" s="32"/>
      <c r="P727" s="96"/>
      <c r="Q727" s="30"/>
      <c r="R727" s="257">
        <f>0.1*N727</f>
        <v>0.70000000000000007</v>
      </c>
      <c r="S727" s="214">
        <f t="shared" ref="S727:S732" si="133">0.5*N727</f>
        <v>3.5</v>
      </c>
      <c r="T727" s="214">
        <f>0.4*N727</f>
        <v>2.8000000000000003</v>
      </c>
      <c r="U727" s="103"/>
      <c r="V727" s="104"/>
      <c r="W727" s="30"/>
      <c r="X727" s="102"/>
      <c r="Y727" s="103"/>
      <c r="Z727" s="103"/>
      <c r="AA727" s="103"/>
      <c r="AB727" s="104"/>
    </row>
    <row r="728" spans="3:28" ht="12" customHeight="1">
      <c r="C728" s="28"/>
      <c r="E728" s="107" t="s">
        <v>41</v>
      </c>
      <c r="F728" s="248" t="s">
        <v>124</v>
      </c>
      <c r="G728" s="184"/>
      <c r="H728" s="94" t="s">
        <v>18</v>
      </c>
      <c r="I728" s="43">
        <v>0.12</v>
      </c>
      <c r="J728" s="3"/>
      <c r="K728" s="200">
        <f>36*10</f>
        <v>360</v>
      </c>
      <c r="L728" s="230"/>
      <c r="M728" s="30"/>
      <c r="N728" s="177">
        <f>I728*K728</f>
        <v>43.199999999999996</v>
      </c>
      <c r="O728" s="32"/>
      <c r="P728" s="96"/>
      <c r="Q728" s="30"/>
      <c r="R728" s="257">
        <f t="shared" ref="R728:R732" si="134">0.1*N728</f>
        <v>4.3199999999999994</v>
      </c>
      <c r="S728" s="214">
        <f t="shared" si="133"/>
        <v>21.599999999999998</v>
      </c>
      <c r="T728" s="214">
        <f t="shared" ref="T728:T732" si="135">0.4*N728</f>
        <v>17.279999999999998</v>
      </c>
      <c r="U728" s="103"/>
      <c r="V728" s="104"/>
      <c r="W728" s="30"/>
      <c r="X728" s="102"/>
      <c r="Y728" s="103"/>
      <c r="Z728" s="103"/>
      <c r="AA728" s="103"/>
      <c r="AB728" s="104"/>
    </row>
    <row r="729" spans="3:28" ht="12" customHeight="1">
      <c r="C729" s="28"/>
      <c r="E729" s="188" t="s">
        <v>34</v>
      </c>
      <c r="F729" s="276"/>
      <c r="G729" s="184"/>
      <c r="H729" s="94"/>
      <c r="I729" s="43"/>
      <c r="J729" s="3"/>
      <c r="K729" s="174"/>
      <c r="L729" s="226"/>
      <c r="M729" s="30"/>
      <c r="N729" s="178"/>
      <c r="O729" s="32"/>
      <c r="P729" s="96"/>
      <c r="Q729" s="30"/>
      <c r="R729" s="257"/>
      <c r="S729" s="214"/>
      <c r="T729" s="214"/>
      <c r="U729" s="103"/>
      <c r="V729" s="104"/>
      <c r="W729" s="30"/>
      <c r="X729" s="102"/>
      <c r="Y729" s="103"/>
      <c r="Z729" s="103"/>
      <c r="AA729" s="103"/>
      <c r="AB729" s="104"/>
    </row>
    <row r="730" spans="3:28" ht="14.15" customHeight="1">
      <c r="C730" s="28"/>
      <c r="E730" s="107" t="s">
        <v>63</v>
      </c>
      <c r="F730" s="249" t="s">
        <v>153</v>
      </c>
      <c r="G730" s="184"/>
      <c r="H730" s="94" t="s">
        <v>18</v>
      </c>
      <c r="I730" s="43">
        <v>10</v>
      </c>
      <c r="J730" s="3"/>
      <c r="K730" s="174">
        <v>1</v>
      </c>
      <c r="L730" s="226"/>
      <c r="M730" s="30"/>
      <c r="N730" s="178">
        <f>I730*K730</f>
        <v>10</v>
      </c>
      <c r="O730" s="32"/>
      <c r="P730" s="96"/>
      <c r="Q730" s="30"/>
      <c r="R730" s="257">
        <f t="shared" si="134"/>
        <v>1</v>
      </c>
      <c r="S730" s="214">
        <f t="shared" si="133"/>
        <v>5</v>
      </c>
      <c r="T730" s="214">
        <f t="shared" si="135"/>
        <v>4</v>
      </c>
      <c r="U730" s="103"/>
      <c r="V730" s="104"/>
      <c r="W730" s="30"/>
      <c r="X730" s="102"/>
      <c r="Y730" s="103"/>
      <c r="Z730" s="103"/>
      <c r="AA730" s="103"/>
      <c r="AB730" s="104"/>
    </row>
    <row r="731" spans="3:28" ht="14.15" customHeight="1">
      <c r="C731" s="28"/>
      <c r="E731" s="107" t="s">
        <v>64</v>
      </c>
      <c r="F731" s="249" t="s">
        <v>135</v>
      </c>
      <c r="G731" s="184"/>
      <c r="H731" s="94" t="s">
        <v>18</v>
      </c>
      <c r="I731" s="43">
        <v>0.12</v>
      </c>
      <c r="J731" s="3"/>
      <c r="K731" s="200">
        <f>26*10</f>
        <v>260</v>
      </c>
      <c r="L731" s="230"/>
      <c r="M731" s="30"/>
      <c r="N731" s="177">
        <f>I731*K731</f>
        <v>31.2</v>
      </c>
      <c r="O731" s="32"/>
      <c r="P731" s="96"/>
      <c r="Q731" s="30"/>
      <c r="R731" s="257">
        <f t="shared" si="134"/>
        <v>3.12</v>
      </c>
      <c r="S731" s="214">
        <f t="shared" si="133"/>
        <v>15.6</v>
      </c>
      <c r="T731" s="214">
        <f t="shared" si="135"/>
        <v>12.48</v>
      </c>
      <c r="U731" s="103"/>
      <c r="V731" s="104"/>
      <c r="W731" s="30"/>
      <c r="X731" s="102"/>
      <c r="Y731" s="103"/>
      <c r="Z731" s="103"/>
      <c r="AA731" s="103"/>
      <c r="AB731" s="104"/>
    </row>
    <row r="732" spans="3:28" ht="12" customHeight="1">
      <c r="C732" s="28"/>
      <c r="E732" s="189" t="s">
        <v>59</v>
      </c>
      <c r="F732" s="256" t="s">
        <v>139</v>
      </c>
      <c r="G732" s="190"/>
      <c r="H732" s="94"/>
      <c r="I732" s="43"/>
      <c r="J732" s="3"/>
      <c r="K732" s="175"/>
      <c r="L732" s="231"/>
      <c r="M732" s="30"/>
      <c r="N732" s="234">
        <f>SUM(N721:N731)*0.1</f>
        <v>10.9375</v>
      </c>
      <c r="O732" s="32"/>
      <c r="P732" s="109"/>
      <c r="Q732" s="30"/>
      <c r="R732" s="258">
        <f t="shared" si="134"/>
        <v>1.09375</v>
      </c>
      <c r="S732" s="259">
        <f t="shared" si="133"/>
        <v>5.46875</v>
      </c>
      <c r="T732" s="259">
        <f t="shared" si="135"/>
        <v>4.375</v>
      </c>
      <c r="U732" s="111"/>
      <c r="V732" s="112"/>
      <c r="W732" s="30"/>
      <c r="X732" s="110"/>
      <c r="Y732" s="111"/>
      <c r="Z732" s="111"/>
      <c r="AA732" s="111"/>
      <c r="AB732" s="112"/>
    </row>
    <row r="733" spans="3:28" ht="4" customHeight="1">
      <c r="E733" s="3"/>
      <c r="J733" s="3"/>
    </row>
    <row r="734" spans="3:28" ht="15" customHeight="1">
      <c r="F734" s="113" t="s">
        <v>19</v>
      </c>
      <c r="G734" s="114"/>
      <c r="H734" s="114"/>
      <c r="I734" s="85"/>
      <c r="K734" s="22"/>
      <c r="L734" s="207"/>
      <c r="M734" s="20"/>
      <c r="N734" s="179">
        <f>SUM(N721:N732)</f>
        <v>120.3125</v>
      </c>
      <c r="O734" s="20"/>
      <c r="P734" s="22"/>
      <c r="Q734" s="20"/>
      <c r="R734" s="180">
        <f>SUM(R722:R732)</f>
        <v>10.233750000000001</v>
      </c>
      <c r="S734" s="181">
        <f>SUM(S722:S732)</f>
        <v>62.643749999999997</v>
      </c>
      <c r="T734" s="181">
        <f>SUM(T722:T732)</f>
        <v>40.935000000000002</v>
      </c>
      <c r="U734" s="182">
        <f>SUM(U722:U732)</f>
        <v>0</v>
      </c>
      <c r="V734" s="180">
        <f>SUM(V722:V732)</f>
        <v>0</v>
      </c>
      <c r="W734" s="115"/>
      <c r="X734" s="160">
        <f>SUM(X722:X732)</f>
        <v>0</v>
      </c>
      <c r="Y734" s="161">
        <f>SUM(Y722:Y732)</f>
        <v>0</v>
      </c>
      <c r="Z734" s="161">
        <f>SUM(Z722:Z732)</f>
        <v>0</v>
      </c>
      <c r="AA734" s="161">
        <f>SUM(AA722:AA732)</f>
        <v>0</v>
      </c>
      <c r="AB734" s="161">
        <f>SUM(AB722:AB732)</f>
        <v>0</v>
      </c>
    </row>
    <row r="735" spans="3:28">
      <c r="F735" s="192"/>
      <c r="G735" s="193"/>
      <c r="H735" s="193"/>
      <c r="I735" s="193"/>
      <c r="K735" s="168"/>
      <c r="L735" s="208"/>
      <c r="M735" s="168"/>
      <c r="N735" s="168"/>
      <c r="O735" s="168"/>
      <c r="P735" s="168"/>
      <c r="Q735" s="168"/>
      <c r="R735" s="168"/>
      <c r="S735" s="168"/>
      <c r="T735" s="168"/>
      <c r="U735" s="168"/>
      <c r="V735" s="196"/>
      <c r="W735" s="194"/>
      <c r="X735" s="195"/>
      <c r="Y735" s="195"/>
      <c r="Z735" s="195"/>
      <c r="AA735" s="195"/>
      <c r="AB735" s="195"/>
    </row>
    <row r="737" spans="2:28" ht="15" customHeight="1">
      <c r="B737" s="164" t="s">
        <v>60</v>
      </c>
      <c r="C737" s="6"/>
      <c r="E737" s="116" t="s">
        <v>20</v>
      </c>
    </row>
    <row r="738" spans="2:28" ht="18" customHeight="1">
      <c r="B738" s="6"/>
      <c r="C738" s="9" t="s">
        <v>6</v>
      </c>
      <c r="E738" s="238" t="s">
        <v>126</v>
      </c>
      <c r="F738" s="237"/>
      <c r="K738" s="333" t="s">
        <v>9</v>
      </c>
      <c r="L738" s="334"/>
      <c r="M738" s="334"/>
      <c r="N738" s="335"/>
      <c r="O738" s="24"/>
      <c r="P738" s="68" t="s">
        <v>10</v>
      </c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70"/>
    </row>
    <row r="739" spans="2:28" ht="18" customHeight="1">
      <c r="E739" s="26" t="s">
        <v>21</v>
      </c>
      <c r="F739" s="84" t="s">
        <v>22</v>
      </c>
      <c r="G739" s="85"/>
      <c r="H739" s="73" t="s">
        <v>4</v>
      </c>
      <c r="I739" s="75" t="s">
        <v>23</v>
      </c>
      <c r="K739" s="71"/>
      <c r="M739" s="24"/>
      <c r="N739" s="72" t="s">
        <v>11</v>
      </c>
      <c r="O739" s="24"/>
      <c r="P739" s="73">
        <v>2011</v>
      </c>
      <c r="Q739" s="74"/>
      <c r="R739" s="75">
        <f>P739+1</f>
        <v>2012</v>
      </c>
      <c r="S739" s="75">
        <f>R739+1</f>
        <v>2013</v>
      </c>
      <c r="T739" s="75">
        <f>S739+1</f>
        <v>2014</v>
      </c>
      <c r="U739" s="75">
        <f>T739+1</f>
        <v>2015</v>
      </c>
      <c r="V739" s="75">
        <f>U739+1</f>
        <v>2016</v>
      </c>
      <c r="W739" s="74"/>
      <c r="X739" s="76">
        <f>V739+1</f>
        <v>2017</v>
      </c>
      <c r="Y739" s="76">
        <f>X739+1</f>
        <v>2018</v>
      </c>
      <c r="Z739" s="76">
        <f>Y739+1</f>
        <v>2019</v>
      </c>
      <c r="AA739" s="76">
        <f>Z739+1</f>
        <v>2020</v>
      </c>
      <c r="AB739" s="76">
        <f>AA739+1</f>
        <v>2021</v>
      </c>
    </row>
    <row r="740" spans="2:28" ht="4" customHeight="1"/>
    <row r="741" spans="2:28" ht="15" customHeight="1">
      <c r="C741" s="28"/>
      <c r="E741" s="77" t="s">
        <v>3</v>
      </c>
      <c r="F741" s="197" t="s">
        <v>224</v>
      </c>
      <c r="G741" s="117"/>
      <c r="H741" s="73"/>
      <c r="I741" s="75"/>
      <c r="J741" s="3"/>
      <c r="K741" s="87"/>
      <c r="L741" s="204"/>
      <c r="M741" s="30"/>
      <c r="N741" s="176">
        <f>N717</f>
        <v>102.89999999999999</v>
      </c>
      <c r="O741" s="32"/>
      <c r="P741" s="88"/>
      <c r="Q741" s="30"/>
      <c r="R741" s="89">
        <f>R717</f>
        <v>0</v>
      </c>
      <c r="S741" s="89">
        <f>S717</f>
        <v>102.89999999999999</v>
      </c>
      <c r="T741" s="89">
        <f>T717</f>
        <v>0</v>
      </c>
      <c r="U741" s="89">
        <f>U717</f>
        <v>0</v>
      </c>
      <c r="V741" s="220">
        <f>V717</f>
        <v>0</v>
      </c>
      <c r="X741" s="235"/>
      <c r="Y741" s="118"/>
      <c r="Z741" s="118"/>
      <c r="AA741" s="118"/>
      <c r="AB741" s="119"/>
    </row>
    <row r="742" spans="2:28" ht="12" customHeight="1">
      <c r="C742" s="28"/>
      <c r="E742" s="105" t="s">
        <v>218</v>
      </c>
      <c r="F742" s="41" t="s">
        <v>221</v>
      </c>
      <c r="G742" s="100"/>
      <c r="H742" s="94"/>
      <c r="I742" s="43"/>
      <c r="J742" s="3"/>
      <c r="K742" s="101"/>
      <c r="L742" s="204"/>
      <c r="M742" s="30"/>
      <c r="N742" s="178">
        <f>N721</f>
        <v>6.5</v>
      </c>
      <c r="O742" s="32"/>
      <c r="P742" s="96"/>
      <c r="Q742" s="30"/>
      <c r="R742" s="157">
        <f>R721</f>
        <v>0</v>
      </c>
      <c r="S742" s="157">
        <f t="shared" ref="S742:V742" si="136">S721</f>
        <v>6.5</v>
      </c>
      <c r="T742" s="157">
        <f t="shared" si="136"/>
        <v>0</v>
      </c>
      <c r="U742" s="157">
        <f t="shared" si="136"/>
        <v>0</v>
      </c>
      <c r="V742" s="157">
        <f t="shared" si="136"/>
        <v>0</v>
      </c>
      <c r="W742" s="30"/>
      <c r="X742" s="102"/>
      <c r="Y742" s="103"/>
      <c r="Z742" s="103"/>
      <c r="AA742" s="103"/>
      <c r="AB742" s="104"/>
    </row>
    <row r="743" spans="2:28" ht="15" customHeight="1">
      <c r="C743" s="28"/>
      <c r="E743" s="105" t="s">
        <v>29</v>
      </c>
      <c r="F743" s="41" t="s">
        <v>220</v>
      </c>
      <c r="G743" s="100"/>
      <c r="H743" s="94"/>
      <c r="I743" s="43"/>
      <c r="J743" s="3"/>
      <c r="K743" s="101"/>
      <c r="L743" s="204"/>
      <c r="M743" s="30"/>
      <c r="N743" s="178">
        <f>SUM(N722:N725)</f>
        <v>11.475</v>
      </c>
      <c r="O743" s="32"/>
      <c r="P743" s="96"/>
      <c r="Q743" s="30"/>
      <c r="R743" s="178">
        <f>SUM(R722:R725)</f>
        <v>0</v>
      </c>
      <c r="S743" s="178">
        <f t="shared" ref="S743:V743" si="137">SUM(S722:S725)</f>
        <v>11.475</v>
      </c>
      <c r="T743" s="178">
        <f t="shared" si="137"/>
        <v>0</v>
      </c>
      <c r="U743" s="178">
        <f t="shared" si="137"/>
        <v>0</v>
      </c>
      <c r="V743" s="178">
        <f t="shared" si="137"/>
        <v>0</v>
      </c>
      <c r="W743" s="30"/>
      <c r="X743" s="102"/>
      <c r="Y743" s="103"/>
      <c r="Z743" s="103"/>
      <c r="AA743" s="103"/>
      <c r="AB743" s="104"/>
    </row>
    <row r="744" spans="2:28" ht="15" customHeight="1">
      <c r="C744" s="28"/>
      <c r="E744" s="40" t="s">
        <v>52</v>
      </c>
      <c r="F744" s="41" t="s">
        <v>51</v>
      </c>
      <c r="G744" s="100"/>
      <c r="H744" s="94"/>
      <c r="I744" s="43"/>
      <c r="J744" s="3"/>
      <c r="K744" s="101"/>
      <c r="L744" s="204"/>
      <c r="M744" s="30"/>
      <c r="N744" s="178">
        <f>SUM(N727:N728)</f>
        <v>50.199999999999996</v>
      </c>
      <c r="O744" s="32"/>
      <c r="P744" s="96"/>
      <c r="Q744" s="30"/>
      <c r="R744" s="178">
        <f>SUM(R727:R728)</f>
        <v>5.0199999999999996</v>
      </c>
      <c r="S744" s="178">
        <f>SUM(S727:S728)</f>
        <v>25.099999999999998</v>
      </c>
      <c r="T744" s="178">
        <f>SUM(T727:T728)</f>
        <v>20.079999999999998</v>
      </c>
      <c r="U744" s="178">
        <f>SUM(U727:U728)</f>
        <v>0</v>
      </c>
      <c r="V744" s="178">
        <f>SUM(V727:V728)</f>
        <v>0</v>
      </c>
      <c r="W744" s="30"/>
      <c r="X744" s="102"/>
      <c r="Y744" s="103"/>
      <c r="Z744" s="103"/>
      <c r="AA744" s="103"/>
      <c r="AB744" s="104"/>
    </row>
    <row r="745" spans="2:28" ht="15" customHeight="1">
      <c r="C745" s="28"/>
      <c r="E745" s="40" t="s">
        <v>65</v>
      </c>
      <c r="F745" s="41" t="s">
        <v>78</v>
      </c>
      <c r="G745" s="100"/>
      <c r="H745" s="94"/>
      <c r="I745" s="43"/>
      <c r="J745" s="3"/>
      <c r="K745" s="101"/>
      <c r="L745" s="204"/>
      <c r="M745" s="30"/>
      <c r="N745" s="178">
        <f>SUM(N730:N731)</f>
        <v>41.2</v>
      </c>
      <c r="O745" s="32"/>
      <c r="P745" s="96"/>
      <c r="Q745" s="30"/>
      <c r="R745" s="178">
        <f>SUM(R730:R731)</f>
        <v>4.12</v>
      </c>
      <c r="S745" s="178">
        <f>SUM(S730:S731)</f>
        <v>20.6</v>
      </c>
      <c r="T745" s="178">
        <f>SUM(T730:T731)</f>
        <v>16.48</v>
      </c>
      <c r="U745" s="178">
        <f>SUM(U730:U731)</f>
        <v>0</v>
      </c>
      <c r="V745" s="178">
        <f>SUM(V730:V731)</f>
        <v>0</v>
      </c>
      <c r="W745" s="30"/>
      <c r="X745" s="102"/>
      <c r="Y745" s="103"/>
      <c r="Z745" s="103"/>
      <c r="AA745" s="103"/>
      <c r="AB745" s="104"/>
    </row>
    <row r="746" spans="2:28" ht="15" customHeight="1">
      <c r="C746" s="28"/>
      <c r="E746" s="108" t="s">
        <v>59</v>
      </c>
      <c r="F746" s="256" t="s">
        <v>139</v>
      </c>
      <c r="G746" s="120"/>
      <c r="H746" s="94"/>
      <c r="I746" s="43"/>
      <c r="J746" s="3"/>
      <c r="K746" s="121"/>
      <c r="L746" s="204"/>
      <c r="M746" s="30"/>
      <c r="N746" s="234">
        <f>N732</f>
        <v>10.9375</v>
      </c>
      <c r="O746" s="32"/>
      <c r="P746" s="109"/>
      <c r="Q746" s="30"/>
      <c r="R746" s="163">
        <f>R732</f>
        <v>1.09375</v>
      </c>
      <c r="S746" s="163">
        <f>S732</f>
        <v>5.46875</v>
      </c>
      <c r="T746" s="163">
        <f>T732</f>
        <v>4.375</v>
      </c>
      <c r="U746" s="163">
        <f>U732</f>
        <v>0</v>
      </c>
      <c r="V746" s="163">
        <f>V732</f>
        <v>0</v>
      </c>
      <c r="W746" s="30"/>
      <c r="X746" s="218"/>
      <c r="Y746" s="111"/>
      <c r="Z746" s="111"/>
      <c r="AA746" s="111"/>
      <c r="AB746" s="112"/>
    </row>
    <row r="747" spans="2:28" ht="4" customHeight="1">
      <c r="E747" s="3"/>
      <c r="J747" s="3"/>
      <c r="X747" s="110"/>
    </row>
    <row r="748" spans="2:28" ht="18" customHeight="1">
      <c r="F748" s="122" t="s">
        <v>24</v>
      </c>
      <c r="G748" s="114"/>
      <c r="H748" s="114"/>
      <c r="I748" s="85"/>
      <c r="K748" s="22"/>
      <c r="L748" s="207"/>
      <c r="M748" s="20"/>
      <c r="N748" s="162">
        <f>SUM(N741:N746)</f>
        <v>223.21249999999998</v>
      </c>
      <c r="O748" s="20"/>
      <c r="P748" s="22"/>
      <c r="Q748" s="20"/>
      <c r="R748" s="198">
        <f>SUM(R741:R746)</f>
        <v>10.233750000000001</v>
      </c>
      <c r="S748" s="198">
        <f>SUM(S741:S746)</f>
        <v>172.04374999999999</v>
      </c>
      <c r="T748" s="198">
        <f>SUM(T741:T746)</f>
        <v>40.935000000000002</v>
      </c>
      <c r="U748" s="198">
        <f>SUM(U741:U746)</f>
        <v>0</v>
      </c>
      <c r="V748" s="198">
        <f>SUM(V741:V746)</f>
        <v>0</v>
      </c>
      <c r="W748" s="115"/>
      <c r="X748" s="236">
        <f>SUM(X741:X746)</f>
        <v>0</v>
      </c>
      <c r="Y748" s="160">
        <f>SUM(Y741:Y746)</f>
        <v>0</v>
      </c>
      <c r="Z748" s="160">
        <f>SUM(Z741:Z746)</f>
        <v>0</v>
      </c>
      <c r="AA748" s="160">
        <f>SUM(AA741:AA746)</f>
        <v>0</v>
      </c>
      <c r="AB748" s="160">
        <f>SUM(AB741:AB746)</f>
        <v>0</v>
      </c>
    </row>
    <row r="749" spans="2:28" ht="10" customHeight="1"/>
    <row r="750" spans="2:28" ht="12" customHeight="1">
      <c r="B750" s="1"/>
      <c r="C750" s="1"/>
      <c r="D750" s="1"/>
      <c r="F750" s="1"/>
      <c r="G750" s="1"/>
      <c r="H750" s="1"/>
      <c r="I750" s="1"/>
      <c r="L750" s="1"/>
    </row>
    <row r="751" spans="2:28" ht="12" customHeight="1">
      <c r="B751" s="1"/>
      <c r="C751" s="1"/>
      <c r="D751" s="1"/>
      <c r="F751" s="1"/>
      <c r="G751" s="1"/>
      <c r="H751" s="1"/>
      <c r="I751" s="1"/>
      <c r="L751" s="1"/>
    </row>
  </sheetData>
  <mergeCells count="56">
    <mergeCell ref="B692:AB692"/>
    <mergeCell ref="K738:N738"/>
    <mergeCell ref="B493:AB493"/>
    <mergeCell ref="K540:N540"/>
    <mergeCell ref="B560:AB560"/>
    <mergeCell ref="K607:N607"/>
    <mergeCell ref="B627:AB627"/>
    <mergeCell ref="K678:N678"/>
    <mergeCell ref="K472:N472"/>
    <mergeCell ref="B97:AB97"/>
    <mergeCell ref="K148:N148"/>
    <mergeCell ref="B163:AB163"/>
    <mergeCell ref="K209:N209"/>
    <mergeCell ref="B228:AB228"/>
    <mergeCell ref="K274:N274"/>
    <mergeCell ref="B292:AB292"/>
    <mergeCell ref="K340:N340"/>
    <mergeCell ref="B359:AB359"/>
    <mergeCell ref="K405:N405"/>
    <mergeCell ref="B426:AB426"/>
    <mergeCell ref="K82:N82"/>
    <mergeCell ref="H20:I20"/>
    <mergeCell ref="K20:AB20"/>
    <mergeCell ref="C21:E21"/>
    <mergeCell ref="H22:I22"/>
    <mergeCell ref="K22:AB22"/>
    <mergeCell ref="C23:E23"/>
    <mergeCell ref="H24:I24"/>
    <mergeCell ref="K24:AB24"/>
    <mergeCell ref="H25:I25"/>
    <mergeCell ref="K25:AB25"/>
    <mergeCell ref="B28:AB28"/>
    <mergeCell ref="C19:E19"/>
    <mergeCell ref="H12:I12"/>
    <mergeCell ref="K12:AB12"/>
    <mergeCell ref="C13:E13"/>
    <mergeCell ref="H14:I14"/>
    <mergeCell ref="K14:AB14"/>
    <mergeCell ref="C15:E15"/>
    <mergeCell ref="H16:I16"/>
    <mergeCell ref="K16:AB16"/>
    <mergeCell ref="C17:E17"/>
    <mergeCell ref="H18:I18"/>
    <mergeCell ref="K18:AB18"/>
    <mergeCell ref="C11:E11"/>
    <mergeCell ref="B2:AB2"/>
    <mergeCell ref="H5:I5"/>
    <mergeCell ref="K5:AB5"/>
    <mergeCell ref="C6:E6"/>
    <mergeCell ref="H7:I7"/>
    <mergeCell ref="K7:AB7"/>
    <mergeCell ref="H8:I8"/>
    <mergeCell ref="K8:AB8"/>
    <mergeCell ref="C9:E9"/>
    <mergeCell ref="H10:I10"/>
    <mergeCell ref="K10:AB10"/>
  </mergeCells>
  <pageMargins left="0.5" right="0.25" top="0.5" bottom="0.5" header="0.25" footer="0.25"/>
  <pageSetup paperSize="8" orientation="landscape" r:id="rId1"/>
  <headerFooter>
    <oddHeader>&amp;C&amp;"Futura Md,Medium Bold"&amp;UAppendix-6 Development Concepts CAPEX Estimates - OML 40</oddHeader>
    <oddFooter>&amp;L&amp;"Futura Md,Medium"&amp;8Development Concepts CAPEX - OML 40&amp;C&amp;"Futura Md,Medium"&amp;9&amp;U&amp;A - OML 40 Fields Development Options - Page &amp;P of &amp;N&amp;R&amp;"Futura Md,Medium"&amp;8EpicAtlantic, January 2011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Produced Water Treatment Option</vt:lpstr>
      <vt:lpstr>Development Costs</vt:lpstr>
      <vt:lpstr>Options for The 1 BSCFD</vt:lpstr>
    </vt:vector>
  </TitlesOfParts>
  <Company>PERSONNAL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aloy d</dc:creator>
  <cp:lastModifiedBy>Aloy Duru</cp:lastModifiedBy>
  <cp:lastPrinted>2021-12-13T00:50:36Z</cp:lastPrinted>
  <dcterms:created xsi:type="dcterms:W3CDTF">2001-04-02T22:57:00Z</dcterms:created>
  <dcterms:modified xsi:type="dcterms:W3CDTF">2026-04-30T11:25:35Z</dcterms:modified>
</cp:coreProperties>
</file>
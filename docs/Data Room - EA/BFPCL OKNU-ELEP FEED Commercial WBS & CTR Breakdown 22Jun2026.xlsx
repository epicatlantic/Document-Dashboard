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OKNU - JUN 2026\"/>
    </mc:Choice>
  </mc:AlternateContent>
  <xr:revisionPtr revIDLastSave="0" documentId="13_ncr:1_{1D6B062F-81B4-427F-A3DD-7FA3612A8C4D}" xr6:coauthVersionLast="47" xr6:coauthVersionMax="47" xr10:uidLastSave="{00000000-0000-0000-0000-000000000000}"/>
  <bookViews>
    <workbookView xWindow="-110" yWindow="-110" windowWidth="19420" windowHeight="10300" xr2:uid="{084F62C0-A9F1-4B5B-87DC-00367656320F}"/>
  </bookViews>
  <sheets>
    <sheet name="WBS - FEED OKNU-BBOU Gas PL" sheetId="2" r:id="rId1"/>
  </sheets>
  <externalReferences>
    <externalReference r:id="rId2"/>
  </externalReferences>
  <definedNames>
    <definedName name="_xlnm.Print_Titles" localSheetId="0">'WBS - FEED OKNU-BBOU Gas PL'!$2:$10</definedName>
    <definedName name="STATUS">[1]Sheet1!$B$5:$B$6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745" i="2" l="1"/>
  <c r="K742" i="2"/>
  <c r="K739" i="2"/>
  <c r="K736" i="2"/>
  <c r="K733" i="2"/>
  <c r="K730" i="2"/>
  <c r="K727" i="2"/>
  <c r="K724" i="2"/>
  <c r="L721" i="2"/>
  <c r="I721" i="2"/>
  <c r="G721" i="2"/>
  <c r="H712" i="2"/>
  <c r="H700" i="2"/>
  <c r="H691" i="2"/>
  <c r="H682" i="2"/>
  <c r="H667" i="2"/>
  <c r="I664" i="2"/>
  <c r="H652" i="2"/>
  <c r="H637" i="2"/>
  <c r="H628" i="2"/>
  <c r="H619" i="2"/>
  <c r="H604" i="2"/>
  <c r="H589" i="2"/>
  <c r="H580" i="2"/>
  <c r="I577" i="2"/>
  <c r="H565" i="2"/>
  <c r="H556" i="2"/>
  <c r="H532" i="2"/>
  <c r="H517" i="2"/>
  <c r="I514" i="2"/>
  <c r="H505" i="2"/>
  <c r="H493" i="2"/>
  <c r="H472" i="2"/>
  <c r="H460" i="2"/>
  <c r="H442" i="2"/>
  <c r="H427" i="2"/>
  <c r="H412" i="2"/>
  <c r="H397" i="2"/>
  <c r="H382" i="2"/>
  <c r="H367" i="2"/>
  <c r="H358" i="2"/>
  <c r="H346" i="2"/>
  <c r="H307" i="2"/>
  <c r="H286" i="2"/>
  <c r="H268" i="2"/>
  <c r="I265" i="2"/>
  <c r="H241" i="2"/>
  <c r="H229" i="2"/>
  <c r="I226" i="2"/>
  <c r="H205" i="2"/>
  <c r="H184" i="2"/>
  <c r="H160" i="2"/>
  <c r="H145" i="2"/>
  <c r="H124" i="2"/>
  <c r="H103" i="2"/>
  <c r="H88" i="2"/>
  <c r="K85" i="2"/>
  <c r="K82" i="2"/>
  <c r="K79" i="2"/>
  <c r="K76" i="2"/>
  <c r="K73" i="2"/>
  <c r="K70" i="2"/>
  <c r="K67" i="2"/>
  <c r="K64" i="2"/>
  <c r="K61" i="2"/>
  <c r="K58" i="2"/>
  <c r="K55" i="2"/>
  <c r="K52" i="2"/>
  <c r="K49" i="2"/>
  <c r="K46" i="2"/>
  <c r="K40" i="2"/>
  <c r="K34" i="2"/>
  <c r="K31" i="2"/>
  <c r="K28" i="2"/>
  <c r="K25" i="2"/>
  <c r="K22" i="2"/>
  <c r="K19" i="2"/>
  <c r="L16" i="2"/>
  <c r="I16" i="2"/>
  <c r="G16" i="2"/>
  <c r="J10" i="2"/>
  <c r="K682" i="2" l="1"/>
  <c r="K652" i="2"/>
  <c r="K637" i="2"/>
  <c r="K472" i="2"/>
  <c r="K460" i="2"/>
  <c r="K307" i="2"/>
  <c r="K184" i="2"/>
  <c r="K442" i="2"/>
  <c r="K427" i="2"/>
  <c r="K412" i="2"/>
  <c r="K397" i="2"/>
  <c r="I394" i="2"/>
  <c r="G394" i="2" s="1"/>
  <c r="K382" i="2"/>
  <c r="K367" i="2"/>
  <c r="K358" i="2"/>
  <c r="K346" i="2"/>
  <c r="K241" i="2"/>
  <c r="G226" i="2"/>
  <c r="I142" i="2"/>
  <c r="G142" i="2" s="1"/>
  <c r="K103" i="2"/>
  <c r="I43" i="2"/>
  <c r="G43" i="2" s="1"/>
  <c r="G664" i="2"/>
  <c r="K628" i="2"/>
  <c r="K619" i="2"/>
  <c r="K604" i="2"/>
  <c r="G577" i="2"/>
  <c r="K565" i="2"/>
  <c r="K556" i="2"/>
  <c r="G514" i="2"/>
  <c r="K286" i="2"/>
  <c r="G265" i="2"/>
  <c r="K229" i="2"/>
  <c r="K205" i="2"/>
  <c r="K124" i="2"/>
  <c r="K88" i="2"/>
  <c r="I748" i="2"/>
  <c r="G12" i="2" s="1"/>
  <c r="K712" i="2"/>
  <c r="K700" i="2"/>
  <c r="K691" i="2"/>
  <c r="K667" i="2"/>
  <c r="L664" i="2" s="1"/>
  <c r="K589" i="2"/>
  <c r="K580" i="2"/>
  <c r="K532" i="2"/>
  <c r="K517" i="2"/>
  <c r="L514" i="2" s="1"/>
  <c r="K505" i="2"/>
  <c r="K493" i="2"/>
  <c r="K268" i="2"/>
  <c r="L265" i="2" s="1"/>
  <c r="K160" i="2"/>
  <c r="K145" i="2"/>
  <c r="L142" i="2" s="1"/>
  <c r="L577" i="2" l="1"/>
  <c r="L226" i="2"/>
  <c r="L43" i="2"/>
  <c r="L748" i="2"/>
  <c r="L394" i="2"/>
  <c r="L12" i="2" l="1"/>
  <c r="F757" i="2"/>
  <c r="F758" i="2" l="1"/>
</calcChain>
</file>

<file path=xl/sharedStrings.xml><?xml version="1.0" encoding="utf-8"?>
<sst xmlns="http://schemas.openxmlformats.org/spreadsheetml/2006/main" count="513" uniqueCount="353">
  <si>
    <t>Epic Atlantic Commercial Proposal - Front End Engineering Design (FEED) - OKNU - ELEP Gas Pipeline - DSV Gas Hub Project</t>
  </si>
  <si>
    <t>Time in Months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</si>
  <si>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</si>
  <si>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</si>
  <si>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</si>
  <si>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</si>
  <si>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</si>
  <si>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</si>
  <si>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</si>
  <si>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</si>
  <si>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</si>
  <si>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</si>
  <si>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</si>
  <si>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</si>
  <si>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Date:</t>
  </si>
  <si>
    <t>man-days</t>
  </si>
  <si>
    <t>Rate
(USD)</t>
  </si>
  <si>
    <t>Unit Cost
(USD)</t>
  </si>
  <si>
    <t>Total/Sub Costs USD</t>
  </si>
  <si>
    <t xml:space="preserve">Indicative WBS - Subject to Additions &amp; Subtractions </t>
  </si>
  <si>
    <t>ACTIVITY</t>
  </si>
  <si>
    <t>NTP</t>
  </si>
  <si>
    <t>FEED - Grand Total</t>
  </si>
  <si>
    <t>A</t>
  </si>
  <si>
    <t>Project Management</t>
  </si>
  <si>
    <t>01</t>
  </si>
  <si>
    <t>Project Execution Schedule - Swamp Baseline</t>
  </si>
  <si>
    <t>02</t>
  </si>
  <si>
    <t>Project's MDR - Marine Requirements</t>
  </si>
  <si>
    <t>03</t>
  </si>
  <si>
    <t>Project Execution Plan - Swamp Marine</t>
  </si>
  <si>
    <t>04</t>
  </si>
  <si>
    <t>Project Quality Management Plan (QA &amp; QC) - Swamp QA</t>
  </si>
  <si>
    <t>05</t>
  </si>
  <si>
    <t>Project HSE Plan - Swamp Operations</t>
  </si>
  <si>
    <t>06</t>
  </si>
  <si>
    <t>NCD Plan - Niger Delta Swamp</t>
  </si>
  <si>
    <t>07</t>
  </si>
  <si>
    <t>Provision for Site Visits / Externalities - Swamp Marine Survey</t>
  </si>
  <si>
    <t>08</t>
  </si>
  <si>
    <t>Project Monitoring &amp; Control - Swamp</t>
  </si>
  <si>
    <t>B</t>
  </si>
  <si>
    <t>Executive Summaries Documents</t>
  </si>
  <si>
    <t>FEED Overview - Swamp Challenges</t>
  </si>
  <si>
    <t>Basis of Design Document - Swamp Conditions</t>
  </si>
  <si>
    <t>Pipeline Design &amp; Operating Philosophy - Swamp</t>
  </si>
  <si>
    <t>Infrastructural Support Marine Access</t>
  </si>
  <si>
    <t>PFDs and P&amp;IDs - Swamp Facilities</t>
  </si>
  <si>
    <t>ESIA Report Review, Approval &amp; Compliance Register - Swamp Mangrove Impact</t>
  </si>
  <si>
    <t>Effulent &amp; Emission Requirement &amp; Swamp Compliance Plan</t>
  </si>
  <si>
    <t>Operations Philosophy Documents - Marine Spread</t>
  </si>
  <si>
    <t>09</t>
  </si>
  <si>
    <t>Spare Parts Marine Access Strategy</t>
  </si>
  <si>
    <t>10</t>
  </si>
  <si>
    <t>Consumables Swamp Logistics Plan</t>
  </si>
  <si>
    <t>11</t>
  </si>
  <si>
    <t>Pipeline &amp; Manifolds Swamp Security</t>
  </si>
  <si>
    <t>12</t>
  </si>
  <si>
    <t>Flow Assurance Report - Swamp Conditions</t>
  </si>
  <si>
    <t>13</t>
  </si>
  <si>
    <t>Layout Drawings &amp; 3D Swamp Models</t>
  </si>
  <si>
    <t>14</t>
  </si>
  <si>
    <t>Stress Analysis Swamp Load Cases</t>
  </si>
  <si>
    <t>15</t>
  </si>
  <si>
    <t>Design Review &amp; Hazop - Swamp</t>
  </si>
  <si>
    <t>15.1</t>
  </si>
  <si>
    <t>Design Review / Records of Engineering &amp; Technical Safety Control (TSC) Reviews</t>
  </si>
  <si>
    <t>15.2</t>
  </si>
  <si>
    <t>Pre-HAZOP Review</t>
  </si>
  <si>
    <t>15.3</t>
  </si>
  <si>
    <t>Final Hazop Review &amp; Report</t>
  </si>
  <si>
    <t>15.4</t>
  </si>
  <si>
    <t>HAZOP Close-out</t>
  </si>
  <si>
    <t>Other NUPRC Swamp Specific Requirements</t>
  </si>
  <si>
    <t>16.1</t>
  </si>
  <si>
    <t>Manufacturing Inspection Plan for Fabrication of Line Pipes / Coating, as well as Pipeline Fittings / Accessories</t>
  </si>
  <si>
    <t>16.2</t>
  </si>
  <si>
    <t>Pipeline Construction Plan, inclusive of WPS / PQR, and Technical Data Sheets for Pipeline Fttings / Accessories</t>
  </si>
  <si>
    <t>16.3</t>
  </si>
  <si>
    <t>Pipeline Monitoring System Philosophy</t>
  </si>
  <si>
    <t>16.4</t>
  </si>
  <si>
    <t>Utilities and Blow-down Planimetric Flow Diagrams</t>
  </si>
  <si>
    <t>16.5</t>
  </si>
  <si>
    <t>Decommisiong Plan</t>
  </si>
  <si>
    <t>16.6</t>
  </si>
  <si>
    <t>OPL Application / Support Documents</t>
  </si>
  <si>
    <t>EPC Marine Spread Documents</t>
  </si>
  <si>
    <t>17.1</t>
  </si>
  <si>
    <t>AFD / AFC Drawings</t>
  </si>
  <si>
    <t>17.2</t>
  </si>
  <si>
    <t>Materials Requisition List</t>
  </si>
  <si>
    <t>17.3</t>
  </si>
  <si>
    <t>LLI</t>
  </si>
  <si>
    <t>17.4</t>
  </si>
  <si>
    <t>EPC Scope of Work</t>
  </si>
  <si>
    <t>17.5</t>
  </si>
  <si>
    <t>EPC Cost Estimate</t>
  </si>
  <si>
    <t>C</t>
  </si>
  <si>
    <t>Process &amp; Systems Engineering</t>
  </si>
  <si>
    <t>Process Design Memorandum Documentations - Swamp</t>
  </si>
  <si>
    <t>01.1</t>
  </si>
  <si>
    <t>Process Design Data Update - Notional</t>
  </si>
  <si>
    <t>01.2</t>
  </si>
  <si>
    <t>Process Design Philosophy</t>
  </si>
  <si>
    <t>01.3</t>
  </si>
  <si>
    <t>Process System Description</t>
  </si>
  <si>
    <t>01.4</t>
  </si>
  <si>
    <t>Process Control &amp; Safeguarding Philosophy</t>
  </si>
  <si>
    <t>Pipeline System Swamp Configuration &amp; Design</t>
  </si>
  <si>
    <t>02.1</t>
  </si>
  <si>
    <t>Process Flow Diagrams (PFDs) - P/L, PLEMs Swamp Conditions</t>
  </si>
  <si>
    <t>02.2</t>
  </si>
  <si>
    <t>Utility Flow Diagrams (UFDs)</t>
  </si>
  <si>
    <t>02.3</t>
  </si>
  <si>
    <t>P&amp;IDs Swamp Facilities</t>
  </si>
  <si>
    <t>02.4</t>
  </si>
  <si>
    <t>Utilities P&amp;IDs</t>
  </si>
  <si>
    <t>02.5</t>
  </si>
  <si>
    <t>Pipelines Sizing Check &amp; Calculation Notes</t>
  </si>
  <si>
    <t>02.6</t>
  </si>
  <si>
    <t>Pipeline Blow-down and Depressurisation Plan</t>
  </si>
  <si>
    <t>02.7</t>
  </si>
  <si>
    <t>Safe Chart</t>
  </si>
  <si>
    <t>Process Simulation &amp; Pipeline Flow Assurance Analysis</t>
  </si>
  <si>
    <t>03.1</t>
  </si>
  <si>
    <t>Provision for Softwares Licences - PIPESIM &amp; HYSYS</t>
  </si>
  <si>
    <t>03.2</t>
  </si>
  <si>
    <t>Hydraulic Analysis - PIPESIM &amp; HYSYS</t>
  </si>
  <si>
    <t>03.3</t>
  </si>
  <si>
    <t>Steady State Simulation - Pipesim</t>
  </si>
  <si>
    <t>03.4</t>
  </si>
  <si>
    <t>Process Heat &amp; Materials Balance</t>
  </si>
  <si>
    <t>03.5</t>
  </si>
  <si>
    <t>Utilities Heat &amp; Materials Balance</t>
  </si>
  <si>
    <t>03.6</t>
  </si>
  <si>
    <t>Flow Assurance Analysis</t>
  </si>
  <si>
    <t>Process Engineering Equipment Lists, &amp; Datasheets</t>
  </si>
  <si>
    <t>04.1</t>
  </si>
  <si>
    <t>Equipment List</t>
  </si>
  <si>
    <t>04.2</t>
  </si>
  <si>
    <t>Line List</t>
  </si>
  <si>
    <t>04.3</t>
  </si>
  <si>
    <t>Utility List</t>
  </si>
  <si>
    <t>04.4</t>
  </si>
  <si>
    <t>Process Equipment Data Sheets (Main Eqpt)</t>
  </si>
  <si>
    <t>04.5</t>
  </si>
  <si>
    <t>Process Instrument Data Sheets - Control Valves (Main Process Lines), Relief Valves and Manual Valves</t>
  </si>
  <si>
    <t>04.6</t>
  </si>
  <si>
    <t>Process Instrument Data Sheets - Flow Meters</t>
  </si>
  <si>
    <t>D</t>
  </si>
  <si>
    <t>Materials Specification &amp; Corrosion Management</t>
  </si>
  <si>
    <t>Swamp Materials Selection</t>
  </si>
  <si>
    <t>Materials Selection Philosophy</t>
  </si>
  <si>
    <t>Linepipe Materials Specification</t>
  </si>
  <si>
    <t>Equipment Materials Specification</t>
  </si>
  <si>
    <t>Corrosion Swamp Management Strategy</t>
  </si>
  <si>
    <t>Corrosion Analysis and Corrosion Protection &amp; Control Philosophy</t>
  </si>
  <si>
    <t>Coating Specification - Pipelines, Structures, &amp; Equipment</t>
  </si>
  <si>
    <t>CP Specification</t>
  </si>
  <si>
    <t>Isolation Joint Specification</t>
  </si>
  <si>
    <t>External Field Joint Coating Specification</t>
  </si>
  <si>
    <t>Insulation Specification (Thermal)</t>
  </si>
  <si>
    <t>Corrosion Inhibitor Specification</t>
  </si>
  <si>
    <t>E</t>
  </si>
  <si>
    <t>Pipeline Engineering</t>
  </si>
  <si>
    <t>Pipeline Route Drawings / Location Maps</t>
  </si>
  <si>
    <t>Location Plan</t>
  </si>
  <si>
    <t>RoW Drawing</t>
  </si>
  <si>
    <t>Plan/Profile</t>
  </si>
  <si>
    <t>Crossings</t>
  </si>
  <si>
    <t>01.5</t>
  </si>
  <si>
    <t>End Manifolds</t>
  </si>
  <si>
    <t>Pipeline Design Drawings &amp; Calculation Notes</t>
  </si>
  <si>
    <t>Pipeline Alignment Sheets</t>
  </si>
  <si>
    <t>Pipeline Wall Thickness Calculations</t>
  </si>
  <si>
    <t>Buoyancy Calculations &amp; On Bottom Stability Analysis</t>
  </si>
  <si>
    <t>Pipeline Crossing Details</t>
  </si>
  <si>
    <t>Schedule of Crossings</t>
  </si>
  <si>
    <t>Stress Analysis</t>
  </si>
  <si>
    <t>Pipeline System Specifications - Swamp</t>
  </si>
  <si>
    <t>Specifications &amp; Data Sheets for Line Pipes</t>
  </si>
  <si>
    <t>Specifications &amp; Data Sheets for Concrete Weight Coating</t>
  </si>
  <si>
    <t>Specifications &amp; Data Sheets for Line Pipe Coating</t>
  </si>
  <si>
    <t>Specifications &amp; Data Sheets for Mainline Valves</t>
  </si>
  <si>
    <t>Specifications &amp; Data Sheets for Mainline Fittings</t>
  </si>
  <si>
    <t>Hot-Tap Fittings (Kp 38/66) Datasheets</t>
  </si>
  <si>
    <t>03.7</t>
  </si>
  <si>
    <t>Pipeline Construction Specification</t>
  </si>
  <si>
    <t>03.8</t>
  </si>
  <si>
    <t>Pipeline Pre-Commissioning Specification</t>
  </si>
  <si>
    <t>03.9</t>
  </si>
  <si>
    <t>Pipeline Cleaning, Gauging, &amp; Hydrotesting Specification</t>
  </si>
  <si>
    <t>03.10</t>
  </si>
  <si>
    <t>Pipeline Integrity Management Philosophy</t>
  </si>
  <si>
    <t>03.11</t>
  </si>
  <si>
    <t>03.12</t>
  </si>
  <si>
    <t>Pipeline Construction Plan, inclusive of WPS / PQR, and Technical Data Sheets for Pipeline Fittings / Accessories</t>
  </si>
  <si>
    <t>Marine Spread Requisitions</t>
  </si>
  <si>
    <t>Vessels</t>
  </si>
  <si>
    <t>Equipment</t>
  </si>
  <si>
    <t>Operations</t>
  </si>
  <si>
    <t>Pipeline End Manifolds Design</t>
  </si>
  <si>
    <t>05.1</t>
  </si>
  <si>
    <t>OKNU End Manifold Design</t>
  </si>
  <si>
    <t>05.2</t>
  </si>
  <si>
    <t xml:space="preserve">ELEP End Manifold Design  </t>
  </si>
  <si>
    <t xml:space="preserve">Nun River (Major river) Crossing Design </t>
  </si>
  <si>
    <t>06.1</t>
  </si>
  <si>
    <t>HDD/Micro-tunneling analysis and design</t>
  </si>
  <si>
    <t>06.2</t>
  </si>
  <si>
    <t>Riverbed (Scour analysis and Bedding &amp; protection)</t>
  </si>
  <si>
    <t>06.3</t>
  </si>
  <si>
    <t>Hydraulic (Flood modelling and Buoyancy control)</t>
  </si>
  <si>
    <t>06.4</t>
  </si>
  <si>
    <t>Structural (HDD entry/exit platforms and Contingency open-cut)</t>
  </si>
  <si>
    <t>12 Water Crossings (4 river + 8 creek crossings) Engineering</t>
  </si>
  <si>
    <t>07.1</t>
  </si>
  <si>
    <t>4 River crossings engineering</t>
  </si>
  <si>
    <t>07.2</t>
  </si>
  <si>
    <t xml:space="preserve">8 Creek crossings engineering  </t>
  </si>
  <si>
    <t>07.3</t>
  </si>
  <si>
    <t>Buoyancy calcs, Hydrotest provisions and Drawing packages</t>
  </si>
  <si>
    <t>F</t>
  </si>
  <si>
    <t>Mechanical &amp; Piping Engineering</t>
  </si>
  <si>
    <t>Station Locations Plot Plans</t>
  </si>
  <si>
    <t>OKNU Plot Plan / 3D Model</t>
  </si>
  <si>
    <t>ELEP Plot Plan / 3D Model</t>
  </si>
  <si>
    <t>SEIB PL-MF Kp 38</t>
  </si>
  <si>
    <t>DBUC PL-MF Kp 66</t>
  </si>
  <si>
    <t>PFDs / P&amp;IDs</t>
  </si>
  <si>
    <t>PFDs / P&amp;IDs - OKNU M/F</t>
  </si>
  <si>
    <t>PFDs / P&amp;IDs - ELEP M/F</t>
  </si>
  <si>
    <t>PFDs / P&amp;IDs - SEIB PL- M/F</t>
  </si>
  <si>
    <t>PFDs / P&amp;IDs - DBUC PL- M/F</t>
  </si>
  <si>
    <t>Equipment Specification / Datasheets Pig traps</t>
  </si>
  <si>
    <t>OKNU Pig Launcher Datasheets</t>
  </si>
  <si>
    <t>ELEP Pig Receiver Datasheets</t>
  </si>
  <si>
    <t>SEIB Pigging/Isolation</t>
  </si>
  <si>
    <t>DBUC Pigging/Isolation</t>
  </si>
  <si>
    <t>Piping Layout Drawings</t>
  </si>
  <si>
    <t>General Piping Arrangement Drawing - OKNU</t>
  </si>
  <si>
    <t>General Piping Arrangement Drawing - ELEP</t>
  </si>
  <si>
    <t>General Piping Arrangement Drawing - SEIB PL M/F</t>
  </si>
  <si>
    <t>General Piping Arrangement Drawing - DBUC PL M/F</t>
  </si>
  <si>
    <t>Piping Layout Details</t>
  </si>
  <si>
    <t>Swamp Tie-in Marine Details</t>
  </si>
  <si>
    <t>Tie-ins - OKNU-ELEP, SEIB &amp; DBUC Hot-tap</t>
  </si>
  <si>
    <t>Flooding</t>
  </si>
  <si>
    <t>05.3</t>
  </si>
  <si>
    <t>Welding</t>
  </si>
  <si>
    <t>Piping Specifications</t>
  </si>
  <si>
    <t>Piping Class Specification</t>
  </si>
  <si>
    <t>Piping Materials Specification</t>
  </si>
  <si>
    <t>Piping Design Calculation Notes</t>
  </si>
  <si>
    <t>Specification For Welding and Testing</t>
  </si>
  <si>
    <t>06.5</t>
  </si>
  <si>
    <t>Specification for Painting and Coating</t>
  </si>
  <si>
    <t>06.6</t>
  </si>
  <si>
    <t>Specification for Hydrostatic Testing</t>
  </si>
  <si>
    <t>Pipe Supports</t>
  </si>
  <si>
    <t>Pipe Supports - OKNU/ELEP</t>
  </si>
  <si>
    <t>Pipe Supports - SEIB PL-MF</t>
  </si>
  <si>
    <t>Pipe Supports - DBUC PL-MF</t>
  </si>
  <si>
    <t>Piping Stress Analysis</t>
  </si>
  <si>
    <t>08.1</t>
  </si>
  <si>
    <t>Piping Stress Analysis and Report - OKNU/ELEP</t>
  </si>
  <si>
    <t>08.2</t>
  </si>
  <si>
    <t>Piping Stress Analysis and Report - SEIB/DBUC</t>
  </si>
  <si>
    <t>G</t>
  </si>
  <si>
    <t>Civil / Foundations Engineering - M/F Foundations</t>
  </si>
  <si>
    <t>Manifolds Foundations Design</t>
  </si>
  <si>
    <t>OKNU Foundation Basis</t>
  </si>
  <si>
    <t>ELEP Foundation Basis</t>
  </si>
  <si>
    <t>SEIB PL-MF Foundations</t>
  </si>
  <si>
    <t>DBUC PL-MF Foundations</t>
  </si>
  <si>
    <t>Foundations Drawings &amp; Calculation Notes</t>
  </si>
  <si>
    <t>Foundation Layout Drawings</t>
  </si>
  <si>
    <t>Pile Layout Drawings</t>
  </si>
  <si>
    <t>Structural Layout Drawings</t>
  </si>
  <si>
    <t>Sewer System Planimetric Flow diagram</t>
  </si>
  <si>
    <t>Manifolds Elevations &amp; Plan / 3D Model</t>
  </si>
  <si>
    <t>Foundations Calculations</t>
  </si>
  <si>
    <t>Structural Calculations</t>
  </si>
  <si>
    <t>MTO</t>
  </si>
  <si>
    <t>Civil MTO</t>
  </si>
  <si>
    <t>Structural MTO</t>
  </si>
  <si>
    <t>Marine Platforms Design</t>
  </si>
  <si>
    <t>Platform</t>
  </si>
  <si>
    <t>Swamp</t>
  </si>
  <si>
    <t>Mooring</t>
  </si>
  <si>
    <t>H</t>
  </si>
  <si>
    <t>Electrical Engineering</t>
  </si>
  <si>
    <t>Analysis of Manifold Power Options</t>
  </si>
  <si>
    <t>Thermal Cable Power</t>
  </si>
  <si>
    <t>Solar Power</t>
  </si>
  <si>
    <t>Load / Electrical Equipment List</t>
  </si>
  <si>
    <t>Load &amp; Electrical Equipment List - OKNU</t>
  </si>
  <si>
    <t>Load &amp; Electrical Equipment List - ELEP</t>
  </si>
  <si>
    <t xml:space="preserve">Load &amp; Electrical Equipment List - SEIB PL-MF </t>
  </si>
  <si>
    <t xml:space="preserve">Load &amp; Electrical Equipment List - DBUC PL-MF </t>
  </si>
  <si>
    <t>Electrical Single Line Diagram</t>
  </si>
  <si>
    <t>Electrical Single Line Diagram - OKNU</t>
  </si>
  <si>
    <t>Electrical Single Line Diagram - ELEP</t>
  </si>
  <si>
    <t>Electrical Single Line Diagram - SEIB PL-MF</t>
  </si>
  <si>
    <t>Electrical Single Line Diagram - DBUC PL-MF</t>
  </si>
  <si>
    <t>Power &amp; Lighting Layout</t>
  </si>
  <si>
    <t>Power and Lighting Layout - OKNU/ELEP</t>
  </si>
  <si>
    <t>Power and Lighting Layout - PL-MF</t>
  </si>
  <si>
    <t>Earthing Layout Drawing</t>
  </si>
  <si>
    <t>Earthing Layout Drawing - OKNU/ELEP</t>
  </si>
  <si>
    <t>Earthing Layout Drawing - PL-MF</t>
  </si>
  <si>
    <t>Electrical Equipment</t>
  </si>
  <si>
    <t>Schematics of Power Panels</t>
  </si>
  <si>
    <t>Data Sheets for Electrical Equipment</t>
  </si>
  <si>
    <t>Electrical MTO for Cost Estimate</t>
  </si>
  <si>
    <t>Cable Sizing</t>
  </si>
  <si>
    <t>Swamp Cathodic Protection (CP) Marine Design</t>
  </si>
  <si>
    <t>Anodes</t>
  </si>
  <si>
    <t>Cables</t>
  </si>
  <si>
    <t>Transformer</t>
  </si>
  <si>
    <t>I</t>
  </si>
  <si>
    <t>Automation / Control / Instrumentation Engineering</t>
  </si>
  <si>
    <t>ICS System Architecture</t>
  </si>
  <si>
    <t xml:space="preserve"> ICS System Architecture - OKNU</t>
  </si>
  <si>
    <t xml:space="preserve"> ICS System Architecture - ELEP</t>
  </si>
  <si>
    <t xml:space="preserve"> ICS System Architecture - SEIB PL-MF</t>
  </si>
  <si>
    <t xml:space="preserve"> ICS System Architecture - DBUC PL-MF</t>
  </si>
  <si>
    <t>Control System Block Diagram</t>
  </si>
  <si>
    <t>ESD Block Diagram</t>
  </si>
  <si>
    <t>Instrument List / Datasheets</t>
  </si>
  <si>
    <t>Instrument List / Datasheets - OKNU/ELEP</t>
  </si>
  <si>
    <t>Instrument List / Datasheets - PL-MF</t>
  </si>
  <si>
    <t>I/O List/C&amp;E/ESD</t>
  </si>
  <si>
    <t>I/O List DCS/ESD</t>
  </si>
  <si>
    <t>Cause &amp; Effect Diagrams</t>
  </si>
  <si>
    <t>ESD System Diagrams</t>
  </si>
  <si>
    <t>Fire &amp; Gas Detection Block Diagram</t>
  </si>
  <si>
    <t>Fire &amp; Gas Detection Block Diagrams</t>
  </si>
  <si>
    <t>Fire &amp; Gas Detection Specifications</t>
  </si>
  <si>
    <t>J</t>
  </si>
  <si>
    <t>Technical HSE</t>
  </si>
  <si>
    <t>Project Hazard &amp; Risk Register / Risk Assessment Matrix</t>
  </si>
  <si>
    <t>Process Safety Systems Engineering</t>
  </si>
  <si>
    <t>HAZOP</t>
  </si>
  <si>
    <t>Environmental Management Plan</t>
  </si>
  <si>
    <t>Hazardous Area Classification - OKNU, ELEP, SEIB &amp; DBUC</t>
  </si>
  <si>
    <t>Safety Equipment &amp; Escape Route - OKNU, ELEP, SEIB &amp; DBUC</t>
  </si>
  <si>
    <t>Other EPC Requisite documents listed on project schedule</t>
  </si>
  <si>
    <t>Project Close-out</t>
  </si>
  <si>
    <t>FEED Grand Total</t>
  </si>
  <si>
    <t>Notes</t>
  </si>
  <si>
    <t>Specific NUPRC Requirements</t>
  </si>
  <si>
    <t>Additions, following TCE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</si>
</sst>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NGN]\ #,##0"/>
    <numFmt numFmtId="165" formatCode="[$USD]\ #,##0"/>
    <numFmt numFmtId="166" formatCode="[$-409]d\-mmm\-yy;@"/>
  </numFmts>
  <fonts count="4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Futura Std Book"/>
      <family val="2"/>
    </font>
    <font>
      <b/>
      <sz val="16"/>
      <color theme="1"/>
      <name val="Futura Std Book"/>
      <family val="2"/>
    </font>
    <font>
      <sz val="11"/>
      <color theme="1"/>
      <name val="Futura Std Book"/>
      <family val="2"/>
    </font>
    <font>
      <b/>
      <sz val="14"/>
      <color theme="1"/>
      <name val="Futura Std Book"/>
      <family val="2"/>
    </font>
    <font>
      <sz val="12"/>
      <color theme="1"/>
      <name val="Futura Std Book"/>
      <family val="2"/>
    </font>
    <font>
      <sz val="14"/>
      <color theme="1"/>
      <name val="Futura Std Book"/>
      <family val="2"/>
    </font>
    <font>
      <sz val="18"/>
      <color theme="1"/>
      <name val="Futura Std Book"/>
      <family val="2"/>
    </font>
    <font>
      <sz val="10"/>
      <name val="Arial"/>
      <family val="2"/>
    </font>
    <font>
      <sz val="12"/>
      <name val="Futura Std Book"/>
      <family val="2"/>
    </font>
    <font>
      <sz val="20"/>
      <name val="Futura Std Book"/>
      <family val="2"/>
    </font>
    <font>
      <sz val="8"/>
      <color theme="0" tint="-0.499984740745262"/>
      <name val="Futura Std Book"/>
      <family val="2"/>
    </font>
    <font>
      <sz val="7"/>
      <color theme="0" tint="-0.499984740745262"/>
      <name val="Futura Std Book"/>
      <family val="2"/>
    </font>
    <font>
      <b/>
      <sz val="16"/>
      <color theme="0"/>
      <name val="Futura Std Book"/>
      <family val="2"/>
    </font>
    <font>
      <b/>
      <sz val="20"/>
      <name val="Futura Std Book"/>
      <family val="2"/>
    </font>
    <font>
      <sz val="10"/>
      <color theme="0" tint="-0.499984740745262"/>
      <name val="Futura Std Book"/>
      <family val="2"/>
    </font>
    <font>
      <b/>
      <sz val="20"/>
      <color theme="0"/>
      <name val="Futura Std Book"/>
      <family val="2"/>
    </font>
    <font>
      <b/>
      <sz val="16"/>
      <color rgb="FFFF0000"/>
      <name val="Futura Std Book"/>
      <family val="2"/>
    </font>
    <font>
      <sz val="16"/>
      <color theme="1"/>
      <name val="Futura Std Book"/>
      <family val="2"/>
    </font>
    <font>
      <b/>
      <sz val="24"/>
      <name val="Futura Std Book"/>
      <family val="2"/>
    </font>
    <font>
      <b/>
      <sz val="10"/>
      <color rgb="FFFF0000"/>
      <name val="Futura Std Book"/>
      <family val="2"/>
    </font>
    <font>
      <b/>
      <sz val="12"/>
      <color theme="1"/>
      <name val="Futura Std Book"/>
      <family val="2"/>
    </font>
    <font>
      <b/>
      <sz val="12"/>
      <name val="Futura Std Book"/>
      <family val="2"/>
    </font>
    <font>
      <b/>
      <sz val="14"/>
      <color rgb="FFC00000"/>
      <name val="Futura Std Book"/>
      <family val="2"/>
    </font>
    <font>
      <b/>
      <sz val="20"/>
      <color rgb="FFFF0000"/>
      <name val="Futura Std Book"/>
      <family val="2"/>
    </font>
    <font>
      <sz val="12"/>
      <color rgb="FF0066FF"/>
      <name val="Futura Std Book"/>
      <family val="2"/>
    </font>
    <font>
      <sz val="12"/>
      <color theme="1"/>
      <name val="Calibri"/>
      <family val="2"/>
      <scheme val="minor"/>
    </font>
    <font>
      <b/>
      <sz val="6"/>
      <color rgb="FFFF0000"/>
      <name val="Futura Std Book"/>
      <family val="2"/>
    </font>
    <font>
      <b/>
      <sz val="20"/>
      <color rgb="FF00B050"/>
      <name val="Futura Std Book"/>
      <family val="2"/>
    </font>
    <font>
      <b/>
      <sz val="24"/>
      <color theme="1"/>
      <name val="Futura Std Book"/>
      <family val="2"/>
    </font>
    <font>
      <b/>
      <sz val="18"/>
      <color theme="1"/>
      <name val="Futura Std Book"/>
      <family val="2"/>
    </font>
    <font>
      <sz val="14"/>
      <color rgb="FF0066FF"/>
      <name val="Futura Std Book"/>
      <family val="2"/>
    </font>
    <font>
      <b/>
      <i/>
      <sz val="18"/>
      <color rgb="FFC00000"/>
      <name val="Futura Std Book"/>
      <family val="2"/>
    </font>
    <font>
      <sz val="16"/>
      <name val="Futura Std Book"/>
      <family val="2"/>
    </font>
    <font>
      <sz val="14"/>
      <name val="Futura Std Book"/>
      <family val="2"/>
    </font>
    <font>
      <sz val="16"/>
      <color rgb="FF00B050"/>
      <name val="Futura Std Book"/>
      <family val="2"/>
    </font>
    <font>
      <b/>
      <sz val="18"/>
      <name val="Futura Std Book"/>
      <family val="2"/>
    </font>
    <font>
      <sz val="16"/>
      <color rgb="FFFF0000"/>
      <name val="Futura Std Book"/>
      <family val="2"/>
    </font>
    <font>
      <sz val="10"/>
      <color rgb="FFC00000"/>
      <name val="Futura Std Book"/>
      <family val="2"/>
    </font>
    <font>
      <b/>
      <sz val="22"/>
      <name val="Futura Std Book"/>
      <family val="2"/>
    </font>
    <font>
      <b/>
      <sz val="22"/>
      <color theme="1"/>
      <name val="Futura Std Book"/>
      <family val="2"/>
    </font>
    <font>
      <b/>
      <sz val="8"/>
      <color rgb="FFFF0000"/>
      <name val="Futura Std Book"/>
      <family val="2"/>
    </font>
    <font>
      <sz val="16"/>
      <color rgb="FF00B050"/>
      <name val="Calibri"/>
      <family val="2"/>
      <scheme val="minor"/>
    </font>
    <font>
      <i/>
      <sz val="16"/>
      <color rgb="FFC00000"/>
      <name val="Calibri"/>
      <family val="2"/>
      <scheme val="minor"/>
    </font>
    <font>
      <sz val="8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431">
    <xf numFmtId="0" fontId="0" fillId="0" borderId="0" xfId="0"/>
    <xf numFmtId="0" fontId="1" fillId="0" borderId="0" xfId="1"/>
    <xf numFmtId="0" fontId="4" fillId="0" borderId="5" xfId="1" applyFont="1" applyBorder="1"/>
    <xf numFmtId="0" fontId="4" fillId="0" borderId="0" xfId="1" applyFont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4" fillId="0" borderId="11" xfId="1" applyFont="1" applyBorder="1" applyAlignment="1">
      <alignment horizontal="center"/>
    </xf>
    <xf numFmtId="0" fontId="4" fillId="0" borderId="12" xfId="1" applyFont="1" applyBorder="1" applyAlignment="1">
      <alignment horizontal="center"/>
    </xf>
    <xf numFmtId="0" fontId="4" fillId="0" borderId="13" xfId="1" applyFont="1" applyBorder="1" applyAlignment="1">
      <alignment horizontal="center"/>
    </xf>
    <xf numFmtId="0" fontId="7" fillId="0" borderId="4" xfId="1" applyFont="1" applyBorder="1" applyAlignment="1">
      <alignment horizontal="center" vertical="center"/>
    </xf>
    <xf numFmtId="15" fontId="7" fillId="0" borderId="11" xfId="1" applyNumberFormat="1" applyFont="1" applyBorder="1" applyAlignment="1">
      <alignment horizontal="left" vertical="center"/>
    </xf>
    <xf numFmtId="0" fontId="10" fillId="4" borderId="4" xfId="2" applyFont="1" applyFill="1" applyBorder="1" applyAlignment="1">
      <alignment vertical="center" wrapText="1"/>
    </xf>
    <xf numFmtId="0" fontId="10" fillId="5" borderId="4" xfId="2" applyFont="1" applyFill="1" applyBorder="1" applyAlignment="1">
      <alignment horizontal="center" vertical="center" wrapText="1"/>
    </xf>
    <xf numFmtId="0" fontId="4" fillId="0" borderId="15" xfId="1" applyFont="1" applyBorder="1" applyAlignment="1">
      <alignment horizontal="center"/>
    </xf>
    <xf numFmtId="0" fontId="4" fillId="0" borderId="7" xfId="1" applyFont="1" applyBorder="1"/>
    <xf numFmtId="0" fontId="4" fillId="0" borderId="0" xfId="1" applyFont="1"/>
    <xf numFmtId="164" fontId="12" fillId="0" borderId="19" xfId="1" applyNumberFormat="1" applyFont="1" applyBorder="1" applyAlignment="1">
      <alignment horizontal="center" vertical="center"/>
    </xf>
    <xf numFmtId="164" fontId="13" fillId="0" borderId="0" xfId="1" applyNumberFormat="1" applyFont="1" applyAlignment="1">
      <alignment horizontal="center" vertical="center"/>
    </xf>
    <xf numFmtId="0" fontId="8" fillId="0" borderId="0" xfId="1" applyFont="1" applyAlignment="1">
      <alignment horizontal="left" vertical="center"/>
    </xf>
    <xf numFmtId="0" fontId="4" fillId="0" borderId="11" xfId="1" applyFont="1" applyBorder="1"/>
    <xf numFmtId="0" fontId="4" fillId="0" borderId="12" xfId="1" applyFont="1" applyBorder="1"/>
    <xf numFmtId="0" fontId="1" fillId="0" borderId="12" xfId="1" applyBorder="1"/>
    <xf numFmtId="0" fontId="14" fillId="7" borderId="20" xfId="1" applyFont="1" applyFill="1" applyBorder="1" applyAlignment="1">
      <alignment horizontal="center" vertical="center"/>
    </xf>
    <xf numFmtId="0" fontId="15" fillId="6" borderId="8" xfId="1" applyFont="1" applyFill="1" applyBorder="1" applyAlignment="1">
      <alignment vertical="center"/>
    </xf>
    <xf numFmtId="0" fontId="15" fillId="6" borderId="9" xfId="1" applyFont="1" applyFill="1" applyBorder="1" applyAlignment="1">
      <alignment vertical="center"/>
    </xf>
    <xf numFmtId="0" fontId="11" fillId="6" borderId="9" xfId="1" applyFont="1" applyFill="1" applyBorder="1" applyAlignment="1">
      <alignment vertical="center"/>
    </xf>
    <xf numFmtId="0" fontId="11" fillId="6" borderId="10" xfId="1" applyFont="1" applyFill="1" applyBorder="1" applyAlignment="1">
      <alignment vertical="center"/>
    </xf>
    <xf numFmtId="0" fontId="11" fillId="6" borderId="15" xfId="1" applyFont="1" applyFill="1" applyBorder="1" applyAlignment="1">
      <alignment horizontal="left" vertical="center"/>
    </xf>
    <xf numFmtId="0" fontId="11" fillId="6" borderId="19" xfId="1" applyFont="1" applyFill="1" applyBorder="1" applyAlignment="1">
      <alignment horizontal="left" vertical="center"/>
    </xf>
    <xf numFmtId="0" fontId="8" fillId="0" borderId="19" xfId="1" applyFont="1" applyBorder="1" applyAlignment="1">
      <alignment horizontal="left" vertical="center"/>
    </xf>
    <xf numFmtId="165" fontId="16" fillId="0" borderId="9" xfId="1" applyNumberFormat="1" applyFont="1" applyBorder="1" applyAlignment="1">
      <alignment horizontal="center" vertical="center"/>
    </xf>
    <xf numFmtId="0" fontId="8" fillId="0" borderId="21" xfId="1" applyFont="1" applyBorder="1" applyAlignment="1">
      <alignment horizontal="left" vertical="center"/>
    </xf>
    <xf numFmtId="0" fontId="19" fillId="0" borderId="19" xfId="1" applyFont="1" applyBorder="1" applyAlignment="1">
      <alignment horizontal="left" vertical="center"/>
    </xf>
    <xf numFmtId="0" fontId="19" fillId="0" borderId="0" xfId="1" applyFont="1" applyAlignment="1">
      <alignment horizontal="left" vertical="center"/>
    </xf>
    <xf numFmtId="0" fontId="4" fillId="7" borderId="8" xfId="1" applyFont="1" applyFill="1" applyBorder="1"/>
    <xf numFmtId="0" fontId="4" fillId="7" borderId="9" xfId="1" applyFont="1" applyFill="1" applyBorder="1"/>
    <xf numFmtId="0" fontId="4" fillId="7" borderId="10" xfId="1" applyFont="1" applyFill="1" applyBorder="1"/>
    <xf numFmtId="0" fontId="3" fillId="0" borderId="20" xfId="1" applyFont="1" applyBorder="1" applyAlignment="1">
      <alignment horizontal="center" vertical="center"/>
    </xf>
    <xf numFmtId="0" fontId="11" fillId="6" borderId="7" xfId="1" applyFont="1" applyFill="1" applyBorder="1" applyAlignment="1">
      <alignment vertical="center"/>
    </xf>
    <xf numFmtId="0" fontId="11" fillId="6" borderId="0" xfId="1" applyFont="1" applyFill="1" applyAlignment="1">
      <alignment vertical="center"/>
    </xf>
    <xf numFmtId="0" fontId="11" fillId="6" borderId="0" xfId="1" applyFont="1" applyFill="1" applyAlignment="1">
      <alignment horizontal="left" vertical="center"/>
    </xf>
    <xf numFmtId="165" fontId="16" fillId="0" borderId="0" xfId="1" applyNumberFormat="1" applyFont="1" applyAlignment="1">
      <alignment horizontal="center" vertical="center"/>
    </xf>
    <xf numFmtId="0" fontId="4" fillId="8" borderId="8" xfId="1" applyFont="1" applyFill="1" applyBorder="1"/>
    <xf numFmtId="0" fontId="4" fillId="8" borderId="9" xfId="1" applyFont="1" applyFill="1" applyBorder="1"/>
    <xf numFmtId="0" fontId="4" fillId="8" borderId="10" xfId="1" applyFont="1" applyFill="1" applyBorder="1"/>
    <xf numFmtId="0" fontId="25" fillId="0" borderId="14" xfId="1" applyFont="1" applyBorder="1" applyAlignment="1">
      <alignment horizontal="left" vertical="center" wrapText="1"/>
    </xf>
    <xf numFmtId="0" fontId="27" fillId="0" borderId="0" xfId="1" applyFont="1"/>
    <xf numFmtId="166" fontId="28" fillId="0" borderId="16" xfId="1" applyNumberFormat="1" applyFont="1" applyBorder="1" applyAlignment="1">
      <alignment horizontal="left" vertical="center" wrapText="1"/>
    </xf>
    <xf numFmtId="0" fontId="4" fillId="10" borderId="8" xfId="1" applyFont="1" applyFill="1" applyBorder="1"/>
    <xf numFmtId="0" fontId="4" fillId="10" borderId="9" xfId="1" applyFont="1" applyFill="1" applyBorder="1"/>
    <xf numFmtId="0" fontId="4" fillId="10" borderId="10" xfId="1" applyFont="1" applyFill="1" applyBorder="1"/>
    <xf numFmtId="0" fontId="25" fillId="0" borderId="16" xfId="1" applyFont="1" applyBorder="1" applyAlignment="1">
      <alignment horizontal="left" vertical="center" wrapText="1"/>
    </xf>
    <xf numFmtId="0" fontId="1" fillId="10" borderId="9" xfId="1" applyFill="1" applyBorder="1"/>
    <xf numFmtId="0" fontId="1" fillId="10" borderId="10" xfId="1" applyFill="1" applyBorder="1"/>
    <xf numFmtId="0" fontId="1" fillId="10" borderId="8" xfId="1" applyFill="1" applyBorder="1"/>
    <xf numFmtId="0" fontId="25" fillId="0" borderId="18" xfId="1" applyFont="1" applyBorder="1" applyAlignment="1">
      <alignment horizontal="left" vertical="center" wrapText="1"/>
    </xf>
    <xf numFmtId="0" fontId="4" fillId="11" borderId="8" xfId="1" applyFont="1" applyFill="1" applyBorder="1"/>
    <xf numFmtId="0" fontId="4" fillId="11" borderId="9" xfId="1" applyFont="1" applyFill="1" applyBorder="1"/>
    <xf numFmtId="0" fontId="4" fillId="11" borderId="10" xfId="1" applyFont="1" applyFill="1" applyBorder="1"/>
    <xf numFmtId="0" fontId="4" fillId="12" borderId="8" xfId="1" applyFont="1" applyFill="1" applyBorder="1"/>
    <xf numFmtId="0" fontId="4" fillId="12" borderId="9" xfId="1" applyFont="1" applyFill="1" applyBorder="1"/>
    <xf numFmtId="0" fontId="4" fillId="12" borderId="10" xfId="1" applyFont="1" applyFill="1" applyBorder="1"/>
    <xf numFmtId="0" fontId="5" fillId="0" borderId="16" xfId="1" quotePrefix="1" applyFont="1" applyBorder="1" applyAlignment="1">
      <alignment horizontal="center" vertical="center"/>
    </xf>
    <xf numFmtId="0" fontId="2" fillId="0" borderId="0" xfId="1" applyFont="1" applyAlignment="1">
      <alignment horizontal="left" vertical="center" wrapText="1"/>
    </xf>
    <xf numFmtId="0" fontId="6" fillId="0" borderId="0" xfId="1" applyFont="1" applyAlignment="1">
      <alignment horizontal="left" vertical="center" wrapText="1"/>
    </xf>
    <xf numFmtId="0" fontId="4" fillId="3" borderId="8" xfId="1" applyFont="1" applyFill="1" applyBorder="1"/>
    <xf numFmtId="0" fontId="4" fillId="3" borderId="9" xfId="1" applyFont="1" applyFill="1" applyBorder="1"/>
    <xf numFmtId="0" fontId="4" fillId="3" borderId="10" xfId="1" applyFont="1" applyFill="1" applyBorder="1"/>
    <xf numFmtId="0" fontId="3" fillId="0" borderId="16" xfId="1" applyFont="1" applyBorder="1" applyAlignment="1">
      <alignment vertical="center"/>
    </xf>
    <xf numFmtId="0" fontId="3" fillId="0" borderId="17" xfId="1" applyFont="1" applyBorder="1" applyAlignment="1">
      <alignment horizontal="center" vertical="center"/>
    </xf>
    <xf numFmtId="0" fontId="4" fillId="3" borderId="8" xfId="1" applyFont="1" applyFill="1" applyBorder="1" applyAlignment="1">
      <alignment horizontal="center"/>
    </xf>
    <xf numFmtId="0" fontId="4" fillId="3" borderId="10" xfId="1" applyFont="1" applyFill="1" applyBorder="1" applyAlignment="1">
      <alignment horizontal="center"/>
    </xf>
    <xf numFmtId="0" fontId="19" fillId="0" borderId="14" xfId="1" applyFont="1" applyBorder="1" applyAlignment="1">
      <alignment horizontal="left" vertical="center"/>
    </xf>
    <xf numFmtId="0" fontId="6" fillId="0" borderId="16" xfId="1" applyFont="1" applyBorder="1" applyAlignment="1">
      <alignment horizontal="center" vertical="center"/>
    </xf>
    <xf numFmtId="0" fontId="19" fillId="0" borderId="18" xfId="1" applyFont="1" applyBorder="1" applyAlignment="1">
      <alignment horizontal="left" vertical="center"/>
    </xf>
    <xf numFmtId="0" fontId="4" fillId="13" borderId="8" xfId="1" applyFont="1" applyFill="1" applyBorder="1"/>
    <xf numFmtId="0" fontId="4" fillId="13" borderId="9" xfId="1" applyFont="1" applyFill="1" applyBorder="1"/>
    <xf numFmtId="0" fontId="4" fillId="13" borderId="10" xfId="1" applyFont="1" applyFill="1" applyBorder="1"/>
    <xf numFmtId="0" fontId="4" fillId="14" borderId="8" xfId="1" applyFont="1" applyFill="1" applyBorder="1"/>
    <xf numFmtId="0" fontId="4" fillId="14" borderId="10" xfId="1" applyFont="1" applyFill="1" applyBorder="1"/>
    <xf numFmtId="0" fontId="4" fillId="13" borderId="8" xfId="1" applyFont="1" applyFill="1" applyBorder="1" applyAlignment="1">
      <alignment horizontal="center"/>
    </xf>
    <xf numFmtId="0" fontId="4" fillId="13" borderId="9" xfId="1" applyFont="1" applyFill="1" applyBorder="1" applyAlignment="1">
      <alignment horizontal="center"/>
    </xf>
    <xf numFmtId="0" fontId="4" fillId="13" borderId="10" xfId="1" applyFont="1" applyFill="1" applyBorder="1" applyAlignment="1">
      <alignment horizontal="center"/>
    </xf>
    <xf numFmtId="0" fontId="1" fillId="11" borderId="9" xfId="1" applyFill="1" applyBorder="1"/>
    <xf numFmtId="0" fontId="1" fillId="11" borderId="10" xfId="1" applyFill="1" applyBorder="1"/>
    <xf numFmtId="0" fontId="4" fillId="12" borderId="8" xfId="1" applyFont="1" applyFill="1" applyBorder="1" applyAlignment="1">
      <alignment horizontal="center"/>
    </xf>
    <xf numFmtId="0" fontId="4" fillId="12" borderId="9" xfId="1" applyFont="1" applyFill="1" applyBorder="1" applyAlignment="1">
      <alignment horizontal="center"/>
    </xf>
    <xf numFmtId="0" fontId="4" fillId="12" borderId="10" xfId="1" applyFont="1" applyFill="1" applyBorder="1" applyAlignment="1">
      <alignment horizontal="center"/>
    </xf>
    <xf numFmtId="0" fontId="4" fillId="3" borderId="9" xfId="1" applyFont="1" applyFill="1" applyBorder="1" applyAlignment="1">
      <alignment horizontal="center"/>
    </xf>
    <xf numFmtId="0" fontId="1" fillId="11" borderId="8" xfId="1" applyFill="1" applyBorder="1"/>
    <xf numFmtId="0" fontId="1" fillId="3" borderId="8" xfId="1" applyFill="1" applyBorder="1"/>
    <xf numFmtId="0" fontId="1" fillId="3" borderId="10" xfId="1" applyFill="1" applyBorder="1"/>
    <xf numFmtId="0" fontId="4" fillId="11" borderId="8" xfId="1" applyFont="1" applyFill="1" applyBorder="1" applyAlignment="1">
      <alignment horizontal="center"/>
    </xf>
    <xf numFmtId="0" fontId="4" fillId="11" borderId="9" xfId="1" applyFont="1" applyFill="1" applyBorder="1" applyAlignment="1">
      <alignment horizontal="center"/>
    </xf>
    <xf numFmtId="0" fontId="4" fillId="11" borderId="10" xfId="1" applyFont="1" applyFill="1" applyBorder="1" applyAlignment="1">
      <alignment horizontal="center"/>
    </xf>
    <xf numFmtId="0" fontId="1" fillId="12" borderId="9" xfId="1" applyFill="1" applyBorder="1"/>
    <xf numFmtId="0" fontId="1" fillId="12" borderId="10" xfId="1" applyFill="1" applyBorder="1"/>
    <xf numFmtId="0" fontId="1" fillId="12" borderId="8" xfId="1" applyFill="1" applyBorder="1"/>
    <xf numFmtId="0" fontId="0" fillId="12" borderId="8" xfId="0" applyFill="1" applyBorder="1"/>
    <xf numFmtId="0" fontId="0" fillId="12" borderId="9" xfId="0" applyFill="1" applyBorder="1"/>
    <xf numFmtId="0" fontId="0" fillId="12" borderId="10" xfId="0" applyFill="1" applyBorder="1"/>
    <xf numFmtId="0" fontId="19" fillId="0" borderId="12" xfId="1" applyFont="1" applyBorder="1" applyAlignment="1">
      <alignment horizontal="left" vertical="center"/>
    </xf>
    <xf numFmtId="0" fontId="43" fillId="0" borderId="0" xfId="1" applyFont="1" applyAlignment="1">
      <alignment vertical="center"/>
    </xf>
    <xf numFmtId="0" fontId="44" fillId="0" borderId="0" xfId="1" applyFont="1" applyAlignment="1">
      <alignment vertical="center"/>
    </xf>
    <xf numFmtId="3" fontId="1" fillId="0" borderId="0" xfId="1" applyNumberFormat="1"/>
    <xf numFmtId="3" fontId="14" fillId="15" borderId="4" xfId="1" applyNumberFormat="1" applyFont="1" applyFill="1" applyBorder="1" applyAlignment="1">
      <alignment horizontal="center" vertical="center"/>
    </xf>
    <xf numFmtId="0" fontId="5" fillId="0" borderId="14" xfId="1" quotePrefix="1" applyFont="1" applyBorder="1" applyAlignment="1">
      <alignment horizontal="center" vertical="center"/>
    </xf>
    <xf numFmtId="0" fontId="5" fillId="0" borderId="16" xfId="1" quotePrefix="1" applyFont="1" applyBorder="1" applyAlignment="1">
      <alignment horizontal="center" vertical="center"/>
    </xf>
    <xf numFmtId="0" fontId="5" fillId="0" borderId="18" xfId="1" quotePrefix="1" applyFont="1" applyBorder="1" applyAlignment="1">
      <alignment horizontal="center" vertical="center"/>
    </xf>
    <xf numFmtId="0" fontId="5" fillId="12" borderId="14" xfId="1" quotePrefix="1" applyFont="1" applyFill="1" applyBorder="1" applyAlignment="1">
      <alignment horizontal="center" vertical="center"/>
    </xf>
    <xf numFmtId="0" fontId="5" fillId="12" borderId="16" xfId="1" quotePrefix="1" applyFont="1" applyFill="1" applyBorder="1" applyAlignment="1">
      <alignment horizontal="center" vertical="center"/>
    </xf>
    <xf numFmtId="0" fontId="5" fillId="12" borderId="18" xfId="1" quotePrefix="1" applyFont="1" applyFill="1" applyBorder="1" applyAlignment="1">
      <alignment horizontal="center" vertical="center"/>
    </xf>
    <xf numFmtId="0" fontId="37" fillId="6" borderId="15" xfId="1" applyFont="1" applyFill="1" applyBorder="1" applyAlignment="1">
      <alignment horizontal="left" vertical="center"/>
    </xf>
    <xf numFmtId="0" fontId="37" fillId="6" borderId="19" xfId="1" applyFont="1" applyFill="1" applyBorder="1" applyAlignment="1">
      <alignment horizontal="left" vertical="center"/>
    </xf>
    <xf numFmtId="0" fontId="37" fillId="6" borderId="21" xfId="1" applyFont="1" applyFill="1" applyBorder="1" applyAlignment="1">
      <alignment horizontal="left" vertical="center"/>
    </xf>
    <xf numFmtId="0" fontId="37" fillId="6" borderId="7" xfId="1" applyFont="1" applyFill="1" applyBorder="1" applyAlignment="1">
      <alignment horizontal="left" vertical="center"/>
    </xf>
    <xf numFmtId="0" fontId="37" fillId="6" borderId="0" xfId="1" applyFont="1" applyFill="1" applyAlignment="1">
      <alignment horizontal="left" vertical="center"/>
    </xf>
    <xf numFmtId="0" fontId="37" fillId="6" borderId="17" xfId="1" applyFont="1" applyFill="1" applyBorder="1" applyAlignment="1">
      <alignment horizontal="left" vertical="center"/>
    </xf>
    <xf numFmtId="0" fontId="37" fillId="6" borderId="11" xfId="1" applyFont="1" applyFill="1" applyBorder="1" applyAlignment="1">
      <alignment horizontal="left" vertical="center"/>
    </xf>
    <xf numFmtId="0" fontId="37" fillId="6" borderId="12" xfId="1" applyFont="1" applyFill="1" applyBorder="1" applyAlignment="1">
      <alignment horizontal="left" vertical="center"/>
    </xf>
    <xf numFmtId="0" fontId="37" fillId="6" borderId="13" xfId="1" applyFont="1" applyFill="1" applyBorder="1" applyAlignment="1">
      <alignment horizontal="left" vertical="center"/>
    </xf>
    <xf numFmtId="0" fontId="6" fillId="12" borderId="14" xfId="1" applyFont="1" applyFill="1" applyBorder="1" applyAlignment="1">
      <alignment horizontal="center" vertical="center"/>
    </xf>
    <xf numFmtId="0" fontId="6" fillId="12" borderId="16" xfId="1" applyFont="1" applyFill="1" applyBorder="1" applyAlignment="1">
      <alignment horizontal="center" vertical="center"/>
    </xf>
    <xf numFmtId="0" fontId="6" fillId="12" borderId="18" xfId="1" applyFont="1" applyFill="1" applyBorder="1" applyAlignment="1">
      <alignment horizontal="center" vertical="center"/>
    </xf>
    <xf numFmtId="3" fontId="7" fillId="12" borderId="4" xfId="1" applyNumberFormat="1" applyFont="1" applyFill="1" applyBorder="1" applyAlignment="1">
      <alignment horizontal="center" vertical="center"/>
    </xf>
    <xf numFmtId="0" fontId="3" fillId="11" borderId="14" xfId="1" applyFont="1" applyFill="1" applyBorder="1" applyAlignment="1">
      <alignment horizontal="center" vertical="center"/>
    </xf>
    <xf numFmtId="0" fontId="3" fillId="11" borderId="16" xfId="1" applyFont="1" applyFill="1" applyBorder="1" applyAlignment="1">
      <alignment horizontal="center" vertical="center"/>
    </xf>
    <xf numFmtId="0" fontId="3" fillId="11" borderId="18" xfId="1" applyFont="1" applyFill="1" applyBorder="1" applyAlignment="1">
      <alignment horizontal="center" vertical="center"/>
    </xf>
    <xf numFmtId="0" fontId="41" fillId="0" borderId="15" xfId="1" applyFont="1" applyBorder="1" applyAlignment="1">
      <alignment horizontal="left" vertical="center" wrapText="1"/>
    </xf>
    <xf numFmtId="0" fontId="41" fillId="0" borderId="19" xfId="1" applyFont="1" applyBorder="1" applyAlignment="1">
      <alignment horizontal="left" vertical="center" wrapText="1"/>
    </xf>
    <xf numFmtId="0" fontId="41" fillId="0" borderId="21" xfId="1" applyFont="1" applyBorder="1" applyAlignment="1">
      <alignment horizontal="left" vertical="center" wrapText="1"/>
    </xf>
    <xf numFmtId="0" fontId="41" fillId="0" borderId="7" xfId="1" applyFont="1" applyBorder="1" applyAlignment="1">
      <alignment horizontal="left" vertical="center" wrapText="1"/>
    </xf>
    <xf numFmtId="0" fontId="41" fillId="0" borderId="0" xfId="1" applyFont="1" applyAlignment="1">
      <alignment horizontal="left" vertical="center" wrapText="1"/>
    </xf>
    <xf numFmtId="0" fontId="41" fillId="0" borderId="17" xfId="1" applyFont="1" applyBorder="1" applyAlignment="1">
      <alignment horizontal="left" vertical="center" wrapText="1"/>
    </xf>
    <xf numFmtId="0" fontId="41" fillId="0" borderId="11" xfId="1" applyFont="1" applyBorder="1" applyAlignment="1">
      <alignment horizontal="left" vertical="center" wrapText="1"/>
    </xf>
    <xf numFmtId="0" fontId="41" fillId="0" borderId="12" xfId="1" applyFont="1" applyBorder="1" applyAlignment="1">
      <alignment horizontal="left" vertical="center" wrapText="1"/>
    </xf>
    <xf numFmtId="0" fontId="41" fillId="0" borderId="13" xfId="1" applyFont="1" applyBorder="1" applyAlignment="1">
      <alignment horizontal="left" vertical="center" wrapText="1"/>
    </xf>
    <xf numFmtId="3" fontId="42" fillId="0" borderId="14" xfId="1" applyNumberFormat="1" applyFont="1" applyBorder="1" applyAlignment="1">
      <alignment horizontal="center" vertical="center" wrapText="1"/>
    </xf>
    <xf numFmtId="3" fontId="42" fillId="0" borderId="16" xfId="1" applyNumberFormat="1" applyFont="1" applyBorder="1" applyAlignment="1">
      <alignment horizontal="center" vertical="center" wrapText="1"/>
    </xf>
    <xf numFmtId="3" fontId="42" fillId="0" borderId="18" xfId="1" applyNumberFormat="1" applyFont="1" applyBorder="1" applyAlignment="1">
      <alignment horizontal="center" vertical="center" wrapText="1"/>
    </xf>
    <xf numFmtId="0" fontId="25" fillId="0" borderId="14" xfId="1" applyFont="1" applyBorder="1" applyAlignment="1">
      <alignment horizontal="center" vertical="center" wrapText="1"/>
    </xf>
    <xf numFmtId="0" fontId="25" fillId="0" borderId="16" xfId="1" applyFont="1" applyBorder="1" applyAlignment="1">
      <alignment horizontal="center" vertical="center" wrapText="1"/>
    </xf>
    <xf numFmtId="0" fontId="25" fillId="0" borderId="18" xfId="1" applyFont="1" applyBorder="1" applyAlignment="1">
      <alignment horizontal="center" vertical="center" wrapText="1"/>
    </xf>
    <xf numFmtId="0" fontId="32" fillId="11" borderId="4" xfId="1" applyFont="1" applyFill="1" applyBorder="1" applyAlignment="1">
      <alignment horizontal="center" vertical="center" wrapText="1"/>
    </xf>
    <xf numFmtId="0" fontId="37" fillId="6" borderId="15" xfId="1" applyFont="1" applyFill="1" applyBorder="1" applyAlignment="1">
      <alignment horizontal="left" vertical="center" wrapText="1"/>
    </xf>
    <xf numFmtId="0" fontId="37" fillId="6" borderId="19" xfId="1" applyFont="1" applyFill="1" applyBorder="1" applyAlignment="1">
      <alignment horizontal="left" vertical="center" wrapText="1"/>
    </xf>
    <xf numFmtId="0" fontId="37" fillId="6" borderId="21" xfId="1" applyFont="1" applyFill="1" applyBorder="1" applyAlignment="1">
      <alignment horizontal="left" vertical="center" wrapText="1"/>
    </xf>
    <xf numFmtId="0" fontId="37" fillId="6" borderId="7" xfId="1" applyFont="1" applyFill="1" applyBorder="1" applyAlignment="1">
      <alignment horizontal="left" vertical="center" wrapText="1"/>
    </xf>
    <xf numFmtId="0" fontId="37" fillId="6" borderId="0" xfId="1" applyFont="1" applyFill="1" applyAlignment="1">
      <alignment horizontal="left" vertical="center" wrapText="1"/>
    </xf>
    <xf numFmtId="0" fontId="37" fillId="6" borderId="17" xfId="1" applyFont="1" applyFill="1" applyBorder="1" applyAlignment="1">
      <alignment horizontal="left" vertical="center" wrapText="1"/>
    </xf>
    <xf numFmtId="0" fontId="37" fillId="6" borderId="11" xfId="1" applyFont="1" applyFill="1" applyBorder="1" applyAlignment="1">
      <alignment horizontal="left" vertical="center" wrapText="1"/>
    </xf>
    <xf numFmtId="0" fontId="37" fillId="6" borderId="12" xfId="1" applyFont="1" applyFill="1" applyBorder="1" applyAlignment="1">
      <alignment horizontal="left" vertical="center" wrapText="1"/>
    </xf>
    <xf numFmtId="0" fontId="37" fillId="6" borderId="13" xfId="1" applyFont="1" applyFill="1" applyBorder="1" applyAlignment="1">
      <alignment horizontal="left" vertical="center" wrapText="1"/>
    </xf>
    <xf numFmtId="0" fontId="5" fillId="12" borderId="16" xfId="1" applyFont="1" applyFill="1" applyBorder="1" applyAlignment="1">
      <alignment horizontal="center" vertical="center"/>
    </xf>
    <xf numFmtId="0" fontId="5" fillId="12" borderId="18" xfId="1" applyFont="1" applyFill="1" applyBorder="1" applyAlignment="1">
      <alignment horizontal="center" vertical="center"/>
    </xf>
    <xf numFmtId="3" fontId="7" fillId="11" borderId="4" xfId="1" applyNumberFormat="1" applyFont="1" applyFill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5" fillId="0" borderId="18" xfId="1" applyFont="1" applyBorder="1" applyAlignment="1">
      <alignment horizontal="center" vertical="center"/>
    </xf>
    <xf numFmtId="0" fontId="3" fillId="0" borderId="14" xfId="1" applyFont="1" applyBorder="1" applyAlignment="1">
      <alignment horizontal="center" vertical="center"/>
    </xf>
    <xf numFmtId="0" fontId="3" fillId="0" borderId="16" xfId="1" applyFont="1" applyBorder="1" applyAlignment="1">
      <alignment horizontal="center" vertical="center"/>
    </xf>
    <xf numFmtId="0" fontId="3" fillId="0" borderId="18" xfId="1" applyFont="1" applyBorder="1" applyAlignment="1">
      <alignment horizontal="center" vertical="center"/>
    </xf>
    <xf numFmtId="0" fontId="6" fillId="13" borderId="14" xfId="1" quotePrefix="1" applyFont="1" applyFill="1" applyBorder="1" applyAlignment="1">
      <alignment horizontal="center" vertical="center"/>
    </xf>
    <xf numFmtId="0" fontId="6" fillId="13" borderId="16" xfId="1" quotePrefix="1" applyFont="1" applyFill="1" applyBorder="1" applyAlignment="1">
      <alignment horizontal="center" vertical="center"/>
    </xf>
    <xf numFmtId="0" fontId="6" fillId="13" borderId="18" xfId="1" quotePrefix="1" applyFont="1" applyFill="1" applyBorder="1" applyAlignment="1">
      <alignment horizontal="center" vertical="center"/>
    </xf>
    <xf numFmtId="0" fontId="8" fillId="0" borderId="15" xfId="1" applyFont="1" applyBorder="1" applyAlignment="1">
      <alignment horizontal="justify" vertical="center"/>
    </xf>
    <xf numFmtId="0" fontId="8" fillId="0" borderId="21" xfId="1" applyFont="1" applyBorder="1" applyAlignment="1">
      <alignment horizontal="justify" vertical="center"/>
    </xf>
    <xf numFmtId="0" fontId="8" fillId="0" borderId="7" xfId="1" applyFont="1" applyBorder="1" applyAlignment="1">
      <alignment horizontal="justify" vertical="center"/>
    </xf>
    <xf numFmtId="0" fontId="8" fillId="0" borderId="17" xfId="1" applyFont="1" applyBorder="1" applyAlignment="1">
      <alignment horizontal="justify" vertical="center"/>
    </xf>
    <xf numFmtId="0" fontId="8" fillId="0" borderId="11" xfId="1" applyFont="1" applyBorder="1" applyAlignment="1">
      <alignment horizontal="justify" vertical="center"/>
    </xf>
    <xf numFmtId="0" fontId="8" fillId="0" borderId="13" xfId="1" applyFont="1" applyBorder="1" applyAlignment="1">
      <alignment horizontal="justify" vertical="center"/>
    </xf>
    <xf numFmtId="0" fontId="6" fillId="3" borderId="14" xfId="1" applyFont="1" applyFill="1" applyBorder="1" applyAlignment="1">
      <alignment horizontal="center" vertical="center"/>
    </xf>
    <xf numFmtId="0" fontId="6" fillId="3" borderId="16" xfId="1" applyFont="1" applyFill="1" applyBorder="1" applyAlignment="1">
      <alignment horizontal="center" vertical="center"/>
    </xf>
    <xf numFmtId="0" fontId="6" fillId="3" borderId="18" xfId="1" applyFont="1" applyFill="1" applyBorder="1" applyAlignment="1">
      <alignment horizontal="center" vertical="center"/>
    </xf>
    <xf numFmtId="0" fontId="30" fillId="0" borderId="15" xfId="1" applyFont="1" applyBorder="1" applyAlignment="1">
      <alignment horizontal="left" vertical="center" wrapText="1"/>
    </xf>
    <xf numFmtId="0" fontId="30" fillId="0" borderId="19" xfId="1" applyFont="1" applyBorder="1" applyAlignment="1">
      <alignment horizontal="left" vertical="center" wrapText="1"/>
    </xf>
    <xf numFmtId="0" fontId="30" fillId="0" borderId="21" xfId="1" applyFont="1" applyBorder="1" applyAlignment="1">
      <alignment horizontal="left" vertical="center" wrapText="1"/>
    </xf>
    <xf numFmtId="0" fontId="30" fillId="0" borderId="7" xfId="1" applyFont="1" applyBorder="1" applyAlignment="1">
      <alignment horizontal="left" vertical="center" wrapText="1"/>
    </xf>
    <xf numFmtId="0" fontId="30" fillId="0" borderId="0" xfId="1" applyFont="1" applyAlignment="1">
      <alignment horizontal="left" vertical="center" wrapText="1"/>
    </xf>
    <xf numFmtId="0" fontId="30" fillId="0" borderId="17" xfId="1" applyFont="1" applyBorder="1" applyAlignment="1">
      <alignment horizontal="left" vertical="center" wrapText="1"/>
    </xf>
    <xf numFmtId="0" fontId="30" fillId="0" borderId="11" xfId="1" applyFont="1" applyBorder="1" applyAlignment="1">
      <alignment horizontal="left" vertical="center" wrapText="1"/>
    </xf>
    <xf numFmtId="0" fontId="30" fillId="0" borderId="12" xfId="1" applyFont="1" applyBorder="1" applyAlignment="1">
      <alignment horizontal="left" vertical="center" wrapText="1"/>
    </xf>
    <xf numFmtId="0" fontId="30" fillId="0" borderId="13" xfId="1" applyFont="1" applyBorder="1" applyAlignment="1">
      <alignment horizontal="left" vertical="center" wrapText="1"/>
    </xf>
    <xf numFmtId="3" fontId="21" fillId="0" borderId="14" xfId="1" applyNumberFormat="1" applyFont="1" applyBorder="1" applyAlignment="1">
      <alignment horizontal="center" vertical="center" wrapText="1"/>
    </xf>
    <xf numFmtId="3" fontId="21" fillId="0" borderId="16" xfId="1" applyNumberFormat="1" applyFont="1" applyBorder="1" applyAlignment="1">
      <alignment horizontal="center" vertical="center" wrapText="1"/>
    </xf>
    <xf numFmtId="0" fontId="5" fillId="11" borderId="14" xfId="1" quotePrefix="1" applyFont="1" applyFill="1" applyBorder="1" applyAlignment="1">
      <alignment horizontal="center" vertical="center"/>
    </xf>
    <xf numFmtId="0" fontId="5" fillId="11" borderId="16" xfId="1" quotePrefix="1" applyFont="1" applyFill="1" applyBorder="1" applyAlignment="1">
      <alignment horizontal="center" vertical="center"/>
    </xf>
    <xf numFmtId="0" fontId="5" fillId="11" borderId="18" xfId="1" quotePrefix="1" applyFont="1" applyFill="1" applyBorder="1" applyAlignment="1">
      <alignment horizontal="center" vertical="center"/>
    </xf>
    <xf numFmtId="0" fontId="15" fillId="6" borderId="15" xfId="1" applyFont="1" applyFill="1" applyBorder="1" applyAlignment="1">
      <alignment horizontal="left" vertical="center"/>
    </xf>
    <xf numFmtId="0" fontId="15" fillId="6" borderId="19" xfId="1" applyFont="1" applyFill="1" applyBorder="1" applyAlignment="1">
      <alignment horizontal="left" vertical="center"/>
    </xf>
    <xf numFmtId="0" fontId="15" fillId="6" borderId="21" xfId="1" applyFont="1" applyFill="1" applyBorder="1" applyAlignment="1">
      <alignment horizontal="left" vertical="center"/>
    </xf>
    <xf numFmtId="0" fontId="15" fillId="6" borderId="7" xfId="1" applyFont="1" applyFill="1" applyBorder="1" applyAlignment="1">
      <alignment horizontal="left" vertical="center"/>
    </xf>
    <xf numFmtId="0" fontId="15" fillId="6" borderId="0" xfId="1" applyFont="1" applyFill="1" applyAlignment="1">
      <alignment horizontal="left" vertical="center"/>
    </xf>
    <xf numFmtId="0" fontId="15" fillId="6" borderId="17" xfId="1" applyFont="1" applyFill="1" applyBorder="1" applyAlignment="1">
      <alignment horizontal="left" vertical="center"/>
    </xf>
    <xf numFmtId="0" fontId="15" fillId="6" borderId="11" xfId="1" applyFont="1" applyFill="1" applyBorder="1" applyAlignment="1">
      <alignment horizontal="left" vertical="center"/>
    </xf>
    <xf numFmtId="0" fontId="15" fillId="6" borderId="12" xfId="1" applyFont="1" applyFill="1" applyBorder="1" applyAlignment="1">
      <alignment horizontal="left" vertical="center"/>
    </xf>
    <xf numFmtId="0" fontId="15" fillId="6" borderId="13" xfId="1" applyFont="1" applyFill="1" applyBorder="1" applyAlignment="1">
      <alignment horizontal="left" vertical="center"/>
    </xf>
    <xf numFmtId="0" fontId="3" fillId="0" borderId="4" xfId="1" applyFont="1" applyBorder="1" applyAlignment="1">
      <alignment horizontal="center" vertical="center"/>
    </xf>
    <xf numFmtId="0" fontId="6" fillId="13" borderId="4" xfId="1" quotePrefix="1" applyFont="1" applyFill="1" applyBorder="1" applyAlignment="1">
      <alignment horizontal="center" vertical="center"/>
    </xf>
    <xf numFmtId="0" fontId="6" fillId="13" borderId="4" xfId="1" applyFont="1" applyFill="1" applyBorder="1" applyAlignment="1">
      <alignment horizontal="center" vertical="center"/>
    </xf>
    <xf numFmtId="0" fontId="19" fillId="0" borderId="4" xfId="1" applyFont="1" applyBorder="1" applyAlignment="1">
      <alignment horizontal="justify" vertical="center"/>
    </xf>
    <xf numFmtId="0" fontId="8" fillId="0" borderId="4" xfId="1" applyFont="1" applyBorder="1" applyAlignment="1">
      <alignment horizontal="justify" vertical="center"/>
    </xf>
    <xf numFmtId="0" fontId="5" fillId="11" borderId="16" xfId="1" applyFont="1" applyFill="1" applyBorder="1" applyAlignment="1">
      <alignment horizontal="center" vertical="center"/>
    </xf>
    <xf numFmtId="0" fontId="5" fillId="11" borderId="18" xfId="1" applyFont="1" applyFill="1" applyBorder="1" applyAlignment="1">
      <alignment horizontal="center" vertical="center"/>
    </xf>
    <xf numFmtId="0" fontId="19" fillId="0" borderId="15" xfId="1" applyFont="1" applyBorder="1" applyAlignment="1">
      <alignment horizontal="justify" vertical="center"/>
    </xf>
    <xf numFmtId="0" fontId="19" fillId="0" borderId="21" xfId="1" applyFont="1" applyBorder="1" applyAlignment="1">
      <alignment horizontal="justify" vertical="center"/>
    </xf>
    <xf numFmtId="0" fontId="19" fillId="0" borderId="7" xfId="1" applyFont="1" applyBorder="1" applyAlignment="1">
      <alignment horizontal="justify" vertical="center"/>
    </xf>
    <xf numFmtId="0" fontId="19" fillId="0" borderId="17" xfId="1" applyFont="1" applyBorder="1" applyAlignment="1">
      <alignment horizontal="justify" vertical="center"/>
    </xf>
    <xf numFmtId="0" fontId="19" fillId="0" borderId="11" xfId="1" applyFont="1" applyBorder="1" applyAlignment="1">
      <alignment horizontal="justify" vertical="center"/>
    </xf>
    <xf numFmtId="0" fontId="19" fillId="0" borderId="13" xfId="1" applyFont="1" applyBorder="1" applyAlignment="1">
      <alignment horizontal="justify" vertical="center"/>
    </xf>
    <xf numFmtId="0" fontId="19" fillId="0" borderId="15" xfId="1" applyFont="1" applyBorder="1" applyAlignment="1">
      <alignment horizontal="left" vertical="center"/>
    </xf>
    <xf numFmtId="0" fontId="19" fillId="0" borderId="21" xfId="1" applyFont="1" applyBorder="1" applyAlignment="1">
      <alignment horizontal="left" vertical="center"/>
    </xf>
    <xf numFmtId="0" fontId="19" fillId="0" borderId="7" xfId="1" applyFont="1" applyBorder="1" applyAlignment="1">
      <alignment horizontal="left" vertical="center"/>
    </xf>
    <xf numFmtId="0" fontId="19" fillId="0" borderId="17" xfId="1" applyFont="1" applyBorder="1" applyAlignment="1">
      <alignment horizontal="left" vertical="center"/>
    </xf>
    <xf numFmtId="0" fontId="19" fillId="0" borderId="11" xfId="1" applyFont="1" applyBorder="1" applyAlignment="1">
      <alignment horizontal="left" vertical="center"/>
    </xf>
    <xf numFmtId="0" fontId="19" fillId="0" borderId="13" xfId="1" applyFont="1" applyBorder="1" applyAlignment="1">
      <alignment horizontal="left" vertical="center"/>
    </xf>
    <xf numFmtId="0" fontId="2" fillId="6" borderId="15" xfId="1" applyFont="1" applyFill="1" applyBorder="1" applyAlignment="1">
      <alignment horizontal="left" vertical="center"/>
    </xf>
    <xf numFmtId="0" fontId="2" fillId="6" borderId="19" xfId="1" applyFont="1" applyFill="1" applyBorder="1" applyAlignment="1">
      <alignment horizontal="left" vertical="center"/>
    </xf>
    <xf numFmtId="0" fontId="2" fillId="6" borderId="21" xfId="1" applyFont="1" applyFill="1" applyBorder="1" applyAlignment="1">
      <alignment horizontal="left" vertical="center"/>
    </xf>
    <xf numFmtId="0" fontId="2" fillId="6" borderId="7" xfId="1" applyFont="1" applyFill="1" applyBorder="1" applyAlignment="1">
      <alignment horizontal="left" vertical="center"/>
    </xf>
    <xf numFmtId="0" fontId="2" fillId="6" borderId="0" xfId="1" applyFont="1" applyFill="1" applyAlignment="1">
      <alignment horizontal="left" vertical="center"/>
    </xf>
    <xf numFmtId="0" fontId="2" fillId="6" borderId="17" xfId="1" applyFont="1" applyFill="1" applyBorder="1" applyAlignment="1">
      <alignment horizontal="left" vertical="center"/>
    </xf>
    <xf numFmtId="0" fontId="2" fillId="6" borderId="11" xfId="1" applyFont="1" applyFill="1" applyBorder="1" applyAlignment="1">
      <alignment horizontal="left" vertical="center"/>
    </xf>
    <xf numFmtId="0" fontId="2" fillId="6" borderId="12" xfId="1" applyFont="1" applyFill="1" applyBorder="1" applyAlignment="1">
      <alignment horizontal="left" vertical="center"/>
    </xf>
    <xf numFmtId="0" fontId="2" fillId="6" borderId="13" xfId="1" applyFont="1" applyFill="1" applyBorder="1" applyAlignment="1">
      <alignment horizontal="left" vertical="center"/>
    </xf>
    <xf numFmtId="3" fontId="7" fillId="11" borderId="14" xfId="1" applyNumberFormat="1" applyFont="1" applyFill="1" applyBorder="1" applyAlignment="1">
      <alignment horizontal="center" vertical="center"/>
    </xf>
    <xf numFmtId="3" fontId="7" fillId="11" borderId="16" xfId="1" applyNumberFormat="1" applyFont="1" applyFill="1" applyBorder="1" applyAlignment="1">
      <alignment horizontal="center" vertical="center"/>
    </xf>
    <xf numFmtId="3" fontId="7" fillId="11" borderId="18" xfId="1" applyNumberFormat="1" applyFont="1" applyFill="1" applyBorder="1" applyAlignment="1">
      <alignment horizontal="center" vertical="center"/>
    </xf>
    <xf numFmtId="0" fontId="15" fillId="6" borderId="15" xfId="1" applyFont="1" applyFill="1" applyBorder="1" applyAlignment="1">
      <alignment horizontal="left" vertical="center" wrapText="1"/>
    </xf>
    <xf numFmtId="0" fontId="15" fillId="6" borderId="19" xfId="1" applyFont="1" applyFill="1" applyBorder="1" applyAlignment="1">
      <alignment horizontal="left" vertical="center" wrapText="1"/>
    </xf>
    <xf numFmtId="0" fontId="15" fillId="6" borderId="21" xfId="1" applyFont="1" applyFill="1" applyBorder="1" applyAlignment="1">
      <alignment horizontal="left" vertical="center" wrapText="1"/>
    </xf>
    <xf numFmtId="0" fontId="15" fillId="6" borderId="7" xfId="1" applyFont="1" applyFill="1" applyBorder="1" applyAlignment="1">
      <alignment horizontal="left" vertical="center" wrapText="1"/>
    </xf>
    <xf numFmtId="0" fontId="15" fillId="6" borderId="0" xfId="1" applyFont="1" applyFill="1" applyAlignment="1">
      <alignment horizontal="left" vertical="center" wrapText="1"/>
    </xf>
    <xf numFmtId="0" fontId="15" fillId="6" borderId="17" xfId="1" applyFont="1" applyFill="1" applyBorder="1" applyAlignment="1">
      <alignment horizontal="left" vertical="center" wrapText="1"/>
    </xf>
    <xf numFmtId="0" fontId="15" fillId="6" borderId="11" xfId="1" applyFont="1" applyFill="1" applyBorder="1" applyAlignment="1">
      <alignment horizontal="left" vertical="center" wrapText="1"/>
    </xf>
    <xf numFmtId="0" fontId="15" fillId="6" borderId="12" xfId="1" applyFont="1" applyFill="1" applyBorder="1" applyAlignment="1">
      <alignment horizontal="left" vertical="center" wrapText="1"/>
    </xf>
    <xf numFmtId="0" fontId="15" fillId="6" borderId="13" xfId="1" applyFont="1" applyFill="1" applyBorder="1" applyAlignment="1">
      <alignment horizontal="left" vertical="center" wrapText="1"/>
    </xf>
    <xf numFmtId="0" fontId="36" fillId="0" borderId="4" xfId="1" applyFont="1" applyBorder="1" applyAlignment="1">
      <alignment horizontal="justify" vertical="center"/>
    </xf>
    <xf numFmtId="0" fontId="38" fillId="0" borderId="15" xfId="1" applyFont="1" applyBorder="1" applyAlignment="1">
      <alignment horizontal="left" vertical="center"/>
    </xf>
    <xf numFmtId="0" fontId="38" fillId="0" borderId="21" xfId="1" applyFont="1" applyBorder="1" applyAlignment="1">
      <alignment horizontal="left" vertical="center"/>
    </xf>
    <xf numFmtId="0" fontId="38" fillId="0" borderId="7" xfId="1" applyFont="1" applyBorder="1" applyAlignment="1">
      <alignment horizontal="left" vertical="center"/>
    </xf>
    <xf numFmtId="0" fontId="38" fillId="0" borderId="17" xfId="1" applyFont="1" applyBorder="1" applyAlignment="1">
      <alignment horizontal="left" vertical="center"/>
    </xf>
    <xf numFmtId="0" fontId="38" fillId="0" borderId="11" xfId="1" applyFont="1" applyBorder="1" applyAlignment="1">
      <alignment horizontal="left" vertical="center"/>
    </xf>
    <xf numFmtId="0" fontId="38" fillId="0" borderId="13" xfId="1" applyFont="1" applyBorder="1" applyAlignment="1">
      <alignment horizontal="left" vertical="center"/>
    </xf>
    <xf numFmtId="0" fontId="36" fillId="0" borderId="15" xfId="1" applyFont="1" applyBorder="1" applyAlignment="1">
      <alignment horizontal="justify" vertical="center"/>
    </xf>
    <xf numFmtId="0" fontId="36" fillId="0" borderId="21" xfId="1" applyFont="1" applyBorder="1" applyAlignment="1">
      <alignment horizontal="justify" vertical="center"/>
    </xf>
    <xf numFmtId="0" fontId="36" fillId="0" borderId="7" xfId="1" applyFont="1" applyBorder="1" applyAlignment="1">
      <alignment horizontal="justify" vertical="center"/>
    </xf>
    <xf numFmtId="0" fontId="36" fillId="0" borderId="17" xfId="1" applyFont="1" applyBorder="1" applyAlignment="1">
      <alignment horizontal="justify" vertical="center"/>
    </xf>
    <xf numFmtId="0" fontId="36" fillId="0" borderId="11" xfId="1" applyFont="1" applyBorder="1" applyAlignment="1">
      <alignment horizontal="justify" vertical="center"/>
    </xf>
    <xf numFmtId="0" fontId="36" fillId="0" borderId="13" xfId="1" applyFont="1" applyBorder="1" applyAlignment="1">
      <alignment horizontal="justify" vertical="center"/>
    </xf>
    <xf numFmtId="3" fontId="21" fillId="0" borderId="4" xfId="1" applyNumberFormat="1" applyFont="1" applyBorder="1" applyAlignment="1">
      <alignment horizontal="center" vertical="center" wrapText="1"/>
    </xf>
    <xf numFmtId="0" fontId="35" fillId="11" borderId="4" xfId="1" applyFont="1" applyFill="1" applyBorder="1" applyAlignment="1">
      <alignment horizontal="center" vertical="center" wrapText="1"/>
    </xf>
    <xf numFmtId="0" fontId="19" fillId="0" borderId="4" xfId="1" applyFont="1" applyBorder="1" applyAlignment="1">
      <alignment horizontal="left" vertical="center"/>
    </xf>
    <xf numFmtId="0" fontId="34" fillId="0" borderId="4" xfId="1" applyFont="1" applyBorder="1" applyAlignment="1">
      <alignment horizontal="left" vertical="center"/>
    </xf>
    <xf numFmtId="0" fontId="32" fillId="12" borderId="4" xfId="1" applyFont="1" applyFill="1" applyBorder="1" applyAlignment="1">
      <alignment horizontal="center" vertical="center" wrapText="1"/>
    </xf>
    <xf numFmtId="0" fontId="40" fillId="6" borderId="15" xfId="1" applyFont="1" applyFill="1" applyBorder="1" applyAlignment="1">
      <alignment horizontal="left" vertical="center"/>
    </xf>
    <xf numFmtId="0" fontId="40" fillId="6" borderId="19" xfId="1" applyFont="1" applyFill="1" applyBorder="1" applyAlignment="1">
      <alignment horizontal="left" vertical="center"/>
    </xf>
    <xf numFmtId="0" fontId="40" fillId="6" borderId="21" xfId="1" applyFont="1" applyFill="1" applyBorder="1" applyAlignment="1">
      <alignment horizontal="left" vertical="center"/>
    </xf>
    <xf numFmtId="0" fontId="40" fillId="6" borderId="7" xfId="1" applyFont="1" applyFill="1" applyBorder="1" applyAlignment="1">
      <alignment horizontal="left" vertical="center"/>
    </xf>
    <xf numFmtId="0" fontId="40" fillId="6" borderId="0" xfId="1" applyFont="1" applyFill="1" applyAlignment="1">
      <alignment horizontal="left" vertical="center"/>
    </xf>
    <xf numFmtId="0" fontId="40" fillId="6" borderId="17" xfId="1" applyFont="1" applyFill="1" applyBorder="1" applyAlignment="1">
      <alignment horizontal="left" vertical="center"/>
    </xf>
    <xf numFmtId="0" fontId="40" fillId="6" borderId="11" xfId="1" applyFont="1" applyFill="1" applyBorder="1" applyAlignment="1">
      <alignment horizontal="left" vertical="center"/>
    </xf>
    <xf numFmtId="0" fontId="40" fillId="6" borderId="12" xfId="1" applyFont="1" applyFill="1" applyBorder="1" applyAlignment="1">
      <alignment horizontal="left" vertical="center"/>
    </xf>
    <xf numFmtId="0" fontId="40" fillId="6" borderId="13" xfId="1" applyFont="1" applyFill="1" applyBorder="1" applyAlignment="1">
      <alignment horizontal="left" vertical="center"/>
    </xf>
    <xf numFmtId="0" fontId="6" fillId="4" borderId="14" xfId="1" applyFont="1" applyFill="1" applyBorder="1" applyAlignment="1">
      <alignment horizontal="center" vertical="center"/>
    </xf>
    <xf numFmtId="0" fontId="6" fillId="4" borderId="16" xfId="1" applyFont="1" applyFill="1" applyBorder="1" applyAlignment="1">
      <alignment horizontal="center" vertical="center"/>
    </xf>
    <xf numFmtId="0" fontId="6" fillId="4" borderId="18" xfId="1" applyFont="1" applyFill="1" applyBorder="1" applyAlignment="1">
      <alignment horizontal="center" vertical="center"/>
    </xf>
    <xf numFmtId="0" fontId="34" fillId="0" borderId="15" xfId="1" applyFont="1" applyBorder="1" applyAlignment="1">
      <alignment horizontal="left" vertical="center"/>
    </xf>
    <xf numFmtId="0" fontId="34" fillId="0" borderId="21" xfId="1" applyFont="1" applyBorder="1" applyAlignment="1">
      <alignment horizontal="left" vertical="center"/>
    </xf>
    <xf numFmtId="0" fontId="34" fillId="0" borderId="7" xfId="1" applyFont="1" applyBorder="1" applyAlignment="1">
      <alignment horizontal="left" vertical="center"/>
    </xf>
    <xf numFmtId="0" fontId="34" fillId="0" borderId="17" xfId="1" applyFont="1" applyBorder="1" applyAlignment="1">
      <alignment horizontal="left" vertical="center"/>
    </xf>
    <xf numFmtId="0" fontId="34" fillId="0" borderId="11" xfId="1" applyFont="1" applyBorder="1" applyAlignment="1">
      <alignment horizontal="left" vertical="center"/>
    </xf>
    <xf numFmtId="0" fontId="34" fillId="0" borderId="13" xfId="1" applyFont="1" applyBorder="1" applyAlignment="1">
      <alignment horizontal="left" vertical="center"/>
    </xf>
    <xf numFmtId="0" fontId="34" fillId="0" borderId="4" xfId="1" applyFont="1" applyBorder="1" applyAlignment="1">
      <alignment horizontal="justify" vertical="center"/>
    </xf>
    <xf numFmtId="0" fontId="37" fillId="6" borderId="15" xfId="1" applyFont="1" applyFill="1" applyBorder="1" applyAlignment="1">
      <alignment horizontal="justify" vertical="center"/>
    </xf>
    <xf numFmtId="0" fontId="37" fillId="6" borderId="19" xfId="1" applyFont="1" applyFill="1" applyBorder="1" applyAlignment="1">
      <alignment horizontal="justify" vertical="center"/>
    </xf>
    <xf numFmtId="0" fontId="37" fillId="6" borderId="21" xfId="1" applyFont="1" applyFill="1" applyBorder="1" applyAlignment="1">
      <alignment horizontal="justify" vertical="center"/>
    </xf>
    <xf numFmtId="0" fontId="37" fillId="6" borderId="7" xfId="1" applyFont="1" applyFill="1" applyBorder="1" applyAlignment="1">
      <alignment horizontal="justify" vertical="center"/>
    </xf>
    <xf numFmtId="0" fontId="37" fillId="6" borderId="0" xfId="1" applyFont="1" applyFill="1" applyAlignment="1">
      <alignment horizontal="justify" vertical="center"/>
    </xf>
    <xf numFmtId="0" fontId="37" fillId="6" borderId="17" xfId="1" applyFont="1" applyFill="1" applyBorder="1" applyAlignment="1">
      <alignment horizontal="justify" vertical="center"/>
    </xf>
    <xf numFmtId="0" fontId="37" fillId="6" borderId="11" xfId="1" applyFont="1" applyFill="1" applyBorder="1" applyAlignment="1">
      <alignment horizontal="justify" vertical="center"/>
    </xf>
    <xf numFmtId="0" fontId="37" fillId="6" borderId="12" xfId="1" applyFont="1" applyFill="1" applyBorder="1" applyAlignment="1">
      <alignment horizontal="justify" vertical="center"/>
    </xf>
    <xf numFmtId="0" fontId="37" fillId="6" borderId="13" xfId="1" applyFont="1" applyFill="1" applyBorder="1" applyAlignment="1">
      <alignment horizontal="justify" vertical="center"/>
    </xf>
    <xf numFmtId="3" fontId="6" fillId="12" borderId="4" xfId="1" applyNumberFormat="1" applyFont="1" applyFill="1" applyBorder="1" applyAlignment="1">
      <alignment horizontal="center" vertical="center"/>
    </xf>
    <xf numFmtId="0" fontId="38" fillId="0" borderId="4" xfId="1" applyFont="1" applyBorder="1" applyAlignment="1">
      <alignment horizontal="justify" vertical="center"/>
    </xf>
    <xf numFmtId="0" fontId="8" fillId="14" borderId="14" xfId="1" applyFont="1" applyFill="1" applyBorder="1" applyAlignment="1">
      <alignment horizontal="center" vertical="center"/>
    </xf>
    <xf numFmtId="0" fontId="8" fillId="14" borderId="16" xfId="1" applyFont="1" applyFill="1" applyBorder="1" applyAlignment="1">
      <alignment horizontal="center" vertical="center"/>
    </xf>
    <xf numFmtId="0" fontId="8" fillId="14" borderId="18" xfId="1" applyFont="1" applyFill="1" applyBorder="1" applyAlignment="1">
      <alignment horizontal="center" vertical="center"/>
    </xf>
    <xf numFmtId="3" fontId="39" fillId="0" borderId="14" xfId="1" applyNumberFormat="1" applyFont="1" applyBorder="1" applyAlignment="1">
      <alignment horizontal="center" vertical="center"/>
    </xf>
    <xf numFmtId="3" fontId="39" fillId="0" borderId="16" xfId="1" applyNumberFormat="1" applyFont="1" applyBorder="1" applyAlignment="1">
      <alignment horizontal="center" vertical="center"/>
    </xf>
    <xf numFmtId="3" fontId="39" fillId="0" borderId="18" xfId="1" applyNumberFormat="1" applyFont="1" applyBorder="1" applyAlignment="1">
      <alignment horizontal="center" vertical="center"/>
    </xf>
    <xf numFmtId="0" fontId="36" fillId="0" borderId="15" xfId="1" applyFont="1" applyBorder="1" applyAlignment="1">
      <alignment horizontal="left" vertical="center"/>
    </xf>
    <xf numFmtId="0" fontId="36" fillId="0" borderId="21" xfId="1" applyFont="1" applyBorder="1" applyAlignment="1">
      <alignment horizontal="left" vertical="center"/>
    </xf>
    <xf numFmtId="0" fontId="36" fillId="0" borderId="7" xfId="1" applyFont="1" applyBorder="1" applyAlignment="1">
      <alignment horizontal="left" vertical="center"/>
    </xf>
    <xf numFmtId="0" fontId="36" fillId="0" borderId="17" xfId="1" applyFont="1" applyBorder="1" applyAlignment="1">
      <alignment horizontal="left" vertical="center"/>
    </xf>
    <xf numFmtId="0" fontId="35" fillId="12" borderId="4" xfId="1" applyFont="1" applyFill="1" applyBorder="1" applyAlignment="1">
      <alignment horizontal="center" vertical="center" wrapText="1"/>
    </xf>
    <xf numFmtId="0" fontId="6" fillId="3" borderId="4" xfId="1" quotePrefix="1" applyFont="1" applyFill="1" applyBorder="1" applyAlignment="1">
      <alignment horizontal="center" vertical="center"/>
    </xf>
    <xf numFmtId="0" fontId="6" fillId="3" borderId="4" xfId="1" applyFont="1" applyFill="1" applyBorder="1" applyAlignment="1">
      <alignment horizontal="center" vertical="center"/>
    </xf>
    <xf numFmtId="0" fontId="7" fillId="11" borderId="4" xfId="1" applyFont="1" applyFill="1" applyBorder="1" applyAlignment="1">
      <alignment horizontal="center" vertical="center" wrapText="1"/>
    </xf>
    <xf numFmtId="0" fontId="20" fillId="6" borderId="15" xfId="1" applyFont="1" applyFill="1" applyBorder="1" applyAlignment="1">
      <alignment horizontal="left" vertical="center"/>
    </xf>
    <xf numFmtId="0" fontId="20" fillId="6" borderId="19" xfId="1" applyFont="1" applyFill="1" applyBorder="1" applyAlignment="1">
      <alignment horizontal="left" vertical="center"/>
    </xf>
    <xf numFmtId="0" fontId="20" fillId="6" borderId="21" xfId="1" applyFont="1" applyFill="1" applyBorder="1" applyAlignment="1">
      <alignment horizontal="left" vertical="center"/>
    </xf>
    <xf numFmtId="0" fontId="20" fillId="6" borderId="7" xfId="1" applyFont="1" applyFill="1" applyBorder="1" applyAlignment="1">
      <alignment horizontal="left" vertical="center"/>
    </xf>
    <xf numFmtId="0" fontId="20" fillId="6" borderId="0" xfId="1" applyFont="1" applyFill="1" applyAlignment="1">
      <alignment horizontal="left" vertical="center"/>
    </xf>
    <xf numFmtId="0" fontId="20" fillId="6" borderId="17" xfId="1" applyFont="1" applyFill="1" applyBorder="1" applyAlignment="1">
      <alignment horizontal="left" vertical="center"/>
    </xf>
    <xf numFmtId="0" fontId="20" fillId="6" borderId="11" xfId="1" applyFont="1" applyFill="1" applyBorder="1" applyAlignment="1">
      <alignment horizontal="left" vertical="center"/>
    </xf>
    <xf numFmtId="0" fontId="20" fillId="6" borderId="12" xfId="1" applyFont="1" applyFill="1" applyBorder="1" applyAlignment="1">
      <alignment horizontal="left" vertical="center"/>
    </xf>
    <xf numFmtId="0" fontId="20" fillId="6" borderId="13" xfId="1" applyFont="1" applyFill="1" applyBorder="1" applyAlignment="1">
      <alignment horizontal="left" vertical="center"/>
    </xf>
    <xf numFmtId="0" fontId="29" fillId="6" borderId="15" xfId="1" applyFont="1" applyFill="1" applyBorder="1" applyAlignment="1">
      <alignment horizontal="left" vertical="center"/>
    </xf>
    <xf numFmtId="0" fontId="29" fillId="6" borderId="19" xfId="1" applyFont="1" applyFill="1" applyBorder="1" applyAlignment="1">
      <alignment horizontal="left" vertical="center"/>
    </xf>
    <xf numFmtId="0" fontId="29" fillId="6" borderId="21" xfId="1" applyFont="1" applyFill="1" applyBorder="1" applyAlignment="1">
      <alignment horizontal="left" vertical="center"/>
    </xf>
    <xf numFmtId="0" fontId="29" fillId="6" borderId="7" xfId="1" applyFont="1" applyFill="1" applyBorder="1" applyAlignment="1">
      <alignment horizontal="left" vertical="center"/>
    </xf>
    <xf numFmtId="0" fontId="29" fillId="6" borderId="0" xfId="1" applyFont="1" applyFill="1" applyAlignment="1">
      <alignment horizontal="left" vertical="center"/>
    </xf>
    <xf numFmtId="0" fontId="29" fillId="6" borderId="17" xfId="1" applyFont="1" applyFill="1" applyBorder="1" applyAlignment="1">
      <alignment horizontal="left" vertical="center"/>
    </xf>
    <xf numFmtId="0" fontId="29" fillId="6" borderId="11" xfId="1" applyFont="1" applyFill="1" applyBorder="1" applyAlignment="1">
      <alignment horizontal="left" vertical="center"/>
    </xf>
    <xf numFmtId="0" fontId="29" fillId="6" borderId="12" xfId="1" applyFont="1" applyFill="1" applyBorder="1" applyAlignment="1">
      <alignment horizontal="left" vertical="center"/>
    </xf>
    <xf numFmtId="0" fontId="29" fillId="6" borderId="13" xfId="1" applyFont="1" applyFill="1" applyBorder="1" applyAlignment="1">
      <alignment horizontal="left" vertical="center"/>
    </xf>
    <xf numFmtId="3" fontId="26" fillId="12" borderId="4" xfId="1" applyNumberFormat="1" applyFont="1" applyFill="1" applyBorder="1" applyAlignment="1">
      <alignment horizontal="center" vertical="center"/>
    </xf>
    <xf numFmtId="0" fontId="32" fillId="12" borderId="14" xfId="1" applyFont="1" applyFill="1" applyBorder="1" applyAlignment="1">
      <alignment horizontal="center" vertical="center" wrapText="1"/>
    </xf>
    <xf numFmtId="0" fontId="32" fillId="12" borderId="16" xfId="1" applyFont="1" applyFill="1" applyBorder="1" applyAlignment="1">
      <alignment horizontal="center" vertical="center" wrapText="1"/>
    </xf>
    <xf numFmtId="0" fontId="32" fillId="12" borderId="18" xfId="1" applyFont="1" applyFill="1" applyBorder="1" applyAlignment="1">
      <alignment horizontal="center" vertical="center" wrapText="1"/>
    </xf>
    <xf numFmtId="3" fontId="26" fillId="12" borderId="14" xfId="1" applyNumberFormat="1" applyFont="1" applyFill="1" applyBorder="1" applyAlignment="1">
      <alignment horizontal="center" vertical="center"/>
    </xf>
    <xf numFmtId="3" fontId="26" fillId="12" borderId="16" xfId="1" applyNumberFormat="1" applyFont="1" applyFill="1" applyBorder="1" applyAlignment="1">
      <alignment horizontal="center" vertical="center"/>
    </xf>
    <xf numFmtId="3" fontId="26" fillId="12" borderId="18" xfId="1" applyNumberFormat="1" applyFont="1" applyFill="1" applyBorder="1" applyAlignment="1">
      <alignment horizontal="center" vertical="center"/>
    </xf>
    <xf numFmtId="0" fontId="33" fillId="6" borderId="15" xfId="1" applyFont="1" applyFill="1" applyBorder="1" applyAlignment="1">
      <alignment horizontal="left" vertical="center" wrapText="1"/>
    </xf>
    <xf numFmtId="0" fontId="33" fillId="6" borderId="19" xfId="1" applyFont="1" applyFill="1" applyBorder="1" applyAlignment="1">
      <alignment horizontal="left" vertical="center" wrapText="1"/>
    </xf>
    <xf numFmtId="0" fontId="33" fillId="6" borderId="21" xfId="1" applyFont="1" applyFill="1" applyBorder="1" applyAlignment="1">
      <alignment horizontal="left" vertical="center" wrapText="1"/>
    </xf>
    <xf numFmtId="0" fontId="33" fillId="6" borderId="7" xfId="1" applyFont="1" applyFill="1" applyBorder="1" applyAlignment="1">
      <alignment horizontal="left" vertical="center" wrapText="1"/>
    </xf>
    <xf numFmtId="0" fontId="33" fillId="6" borderId="0" xfId="1" applyFont="1" applyFill="1" applyAlignment="1">
      <alignment horizontal="left" vertical="center" wrapText="1"/>
    </xf>
    <xf numFmtId="0" fontId="33" fillId="6" borderId="17" xfId="1" applyFont="1" applyFill="1" applyBorder="1" applyAlignment="1">
      <alignment horizontal="left" vertical="center" wrapText="1"/>
    </xf>
    <xf numFmtId="0" fontId="33" fillId="6" borderId="11" xfId="1" applyFont="1" applyFill="1" applyBorder="1" applyAlignment="1">
      <alignment horizontal="left" vertical="center" wrapText="1"/>
    </xf>
    <xf numFmtId="0" fontId="33" fillId="6" borderId="12" xfId="1" applyFont="1" applyFill="1" applyBorder="1" applyAlignment="1">
      <alignment horizontal="left" vertical="center" wrapText="1"/>
    </xf>
    <xf numFmtId="0" fontId="33" fillId="6" borderId="13" xfId="1" applyFont="1" applyFill="1" applyBorder="1" applyAlignment="1">
      <alignment horizontal="left" vertical="center" wrapText="1"/>
    </xf>
    <xf numFmtId="3" fontId="21" fillId="0" borderId="18" xfId="1" applyNumberFormat="1" applyFont="1" applyBorder="1" applyAlignment="1">
      <alignment horizontal="center" vertical="center" wrapText="1"/>
    </xf>
    <xf numFmtId="0" fontId="31" fillId="0" borderId="21" xfId="1" applyFont="1" applyBorder="1" applyAlignment="1">
      <alignment horizontal="center" vertical="center" wrapText="1"/>
    </xf>
    <xf numFmtId="0" fontId="31" fillId="0" borderId="17" xfId="1" applyFont="1" applyBorder="1" applyAlignment="1">
      <alignment horizontal="center" vertical="center" wrapText="1"/>
    </xf>
    <xf numFmtId="0" fontId="31" fillId="0" borderId="13" xfId="1" applyFont="1" applyBorder="1" applyAlignment="1">
      <alignment horizontal="center" vertical="center" wrapText="1"/>
    </xf>
    <xf numFmtId="0" fontId="22" fillId="11" borderId="14" xfId="1" applyFont="1" applyFill="1" applyBorder="1" applyAlignment="1">
      <alignment horizontal="center" vertical="center" wrapText="1"/>
    </xf>
    <xf numFmtId="0" fontId="22" fillId="11" borderId="16" xfId="1" applyFont="1" applyFill="1" applyBorder="1" applyAlignment="1">
      <alignment horizontal="center" vertical="center" wrapText="1"/>
    </xf>
    <xf numFmtId="0" fontId="22" fillId="11" borderId="18" xfId="1" applyFont="1" applyFill="1" applyBorder="1" applyAlignment="1">
      <alignment horizontal="center" vertical="center" wrapText="1"/>
    </xf>
    <xf numFmtId="3" fontId="5" fillId="11" borderId="14" xfId="1" applyNumberFormat="1" applyFont="1" applyFill="1" applyBorder="1" applyAlignment="1">
      <alignment horizontal="center" vertical="center"/>
    </xf>
    <xf numFmtId="0" fontId="5" fillId="9" borderId="14" xfId="1" quotePrefix="1" applyFont="1" applyFill="1" applyBorder="1" applyAlignment="1">
      <alignment horizontal="center" vertical="center"/>
    </xf>
    <xf numFmtId="0" fontId="5" fillId="9" borderId="16" xfId="1" applyFont="1" applyFill="1" applyBorder="1" applyAlignment="1">
      <alignment horizontal="center" vertical="center"/>
    </xf>
    <xf numFmtId="0" fontId="5" fillId="9" borderId="18" xfId="1" applyFont="1" applyFill="1" applyBorder="1" applyAlignment="1">
      <alignment horizontal="center" vertical="center"/>
    </xf>
    <xf numFmtId="0" fontId="15" fillId="0" borderId="15" xfId="1" applyFont="1" applyBorder="1" applyAlignment="1">
      <alignment horizontal="left" vertical="center" wrapText="1"/>
    </xf>
    <xf numFmtId="0" fontId="15" fillId="0" borderId="19" xfId="1" applyFont="1" applyBorder="1" applyAlignment="1">
      <alignment horizontal="left" vertical="center" wrapText="1"/>
    </xf>
    <xf numFmtId="0" fontId="15" fillId="0" borderId="21" xfId="1" applyFont="1" applyBorder="1" applyAlignment="1">
      <alignment horizontal="left" vertical="center" wrapText="1"/>
    </xf>
    <xf numFmtId="0" fontId="15" fillId="0" borderId="7" xfId="1" applyFont="1" applyBorder="1" applyAlignment="1">
      <alignment horizontal="left" vertical="center" wrapText="1"/>
    </xf>
    <xf numFmtId="0" fontId="15" fillId="0" borderId="0" xfId="1" applyFont="1" applyAlignment="1">
      <alignment horizontal="left" vertical="center" wrapText="1"/>
    </xf>
    <xf numFmtId="0" fontId="15" fillId="0" borderId="17" xfId="1" applyFont="1" applyBorder="1" applyAlignment="1">
      <alignment horizontal="left" vertical="center" wrapText="1"/>
    </xf>
    <xf numFmtId="0" fontId="15" fillId="0" borderId="11" xfId="1" applyFont="1" applyBorder="1" applyAlignment="1">
      <alignment horizontal="left" vertical="center" wrapText="1"/>
    </xf>
    <xf numFmtId="0" fontId="15" fillId="0" borderId="12" xfId="1" applyFont="1" applyBorder="1" applyAlignment="1">
      <alignment horizontal="left" vertical="center" wrapText="1"/>
    </xf>
    <xf numFmtId="0" fontId="15" fillId="0" borderId="13" xfId="1" applyFont="1" applyBorder="1" applyAlignment="1">
      <alignment horizontal="left" vertical="center" wrapText="1"/>
    </xf>
    <xf numFmtId="3" fontId="26" fillId="10" borderId="14" xfId="1" applyNumberFormat="1" applyFont="1" applyFill="1" applyBorder="1" applyAlignment="1">
      <alignment horizontal="center" vertical="center" wrapText="1"/>
    </xf>
    <xf numFmtId="3" fontId="26" fillId="10" borderId="16" xfId="1" applyNumberFormat="1" applyFont="1" applyFill="1" applyBorder="1" applyAlignment="1">
      <alignment horizontal="center" vertical="center" wrapText="1"/>
    </xf>
    <xf numFmtId="3" fontId="26" fillId="10" borderId="18" xfId="1" applyNumberFormat="1" applyFont="1" applyFill="1" applyBorder="1" applyAlignment="1">
      <alignment horizontal="center" vertical="center" wrapText="1"/>
    </xf>
    <xf numFmtId="3" fontId="26" fillId="9" borderId="14" xfId="1" applyNumberFormat="1" applyFont="1" applyFill="1" applyBorder="1" applyAlignment="1">
      <alignment horizontal="center" vertical="center"/>
    </xf>
    <xf numFmtId="3" fontId="26" fillId="9" borderId="16" xfId="1" applyNumberFormat="1" applyFont="1" applyFill="1" applyBorder="1" applyAlignment="1">
      <alignment horizontal="center" vertical="center"/>
    </xf>
    <xf numFmtId="3" fontId="26" fillId="9" borderId="18" xfId="1" applyNumberFormat="1" applyFont="1" applyFill="1" applyBorder="1" applyAlignment="1">
      <alignment horizontal="center" vertical="center"/>
    </xf>
    <xf numFmtId="3" fontId="26" fillId="9" borderId="14" xfId="1" applyNumberFormat="1" applyFont="1" applyFill="1" applyBorder="1" applyAlignment="1">
      <alignment horizontal="center" vertical="center" wrapText="1"/>
    </xf>
    <xf numFmtId="3" fontId="26" fillId="9" borderId="16" xfId="1" applyNumberFormat="1" applyFont="1" applyFill="1" applyBorder="1" applyAlignment="1">
      <alignment horizontal="center" vertical="center" wrapText="1"/>
    </xf>
    <xf numFmtId="3" fontId="26" fillId="9" borderId="18" xfId="1" applyNumberFormat="1" applyFont="1" applyFill="1" applyBorder="1" applyAlignment="1">
      <alignment horizontal="center" vertical="center" wrapText="1"/>
    </xf>
    <xf numFmtId="0" fontId="29" fillId="0" borderId="15" xfId="1" applyFont="1" applyBorder="1" applyAlignment="1">
      <alignment horizontal="left" vertical="center" wrapText="1"/>
    </xf>
    <xf numFmtId="0" fontId="29" fillId="0" borderId="19" xfId="1" applyFont="1" applyBorder="1" applyAlignment="1">
      <alignment horizontal="left" vertical="center" wrapText="1"/>
    </xf>
    <xf numFmtId="0" fontId="29" fillId="0" borderId="21" xfId="1" applyFont="1" applyBorder="1" applyAlignment="1">
      <alignment horizontal="left" vertical="center" wrapText="1"/>
    </xf>
    <xf numFmtId="0" fontId="29" fillId="0" borderId="7" xfId="1" applyFont="1" applyBorder="1" applyAlignment="1">
      <alignment horizontal="left" vertical="center" wrapText="1"/>
    </xf>
    <xf numFmtId="0" fontId="29" fillId="0" borderId="0" xfId="1" applyFont="1" applyAlignment="1">
      <alignment horizontal="left" vertical="center" wrapText="1"/>
    </xf>
    <xf numFmtId="0" fontId="29" fillId="0" borderId="17" xfId="1" applyFont="1" applyBorder="1" applyAlignment="1">
      <alignment horizontal="left" vertical="center" wrapText="1"/>
    </xf>
    <xf numFmtId="0" fontId="29" fillId="0" borderId="11" xfId="1" applyFont="1" applyBorder="1" applyAlignment="1">
      <alignment horizontal="left" vertical="center" wrapText="1"/>
    </xf>
    <xf numFmtId="0" fontId="29" fillId="0" borderId="12" xfId="1" applyFont="1" applyBorder="1" applyAlignment="1">
      <alignment horizontal="left" vertical="center" wrapText="1"/>
    </xf>
    <xf numFmtId="0" fontId="29" fillId="0" borderId="13" xfId="1" applyFont="1" applyBorder="1" applyAlignment="1">
      <alignment horizontal="left" vertical="center" wrapText="1"/>
    </xf>
    <xf numFmtId="0" fontId="14" fillId="0" borderId="14" xfId="1" applyFont="1" applyBorder="1" applyAlignment="1">
      <alignment horizontal="center" vertical="center"/>
    </xf>
    <xf numFmtId="0" fontId="14" fillId="0" borderId="16" xfId="1" applyFont="1" applyBorder="1" applyAlignment="1">
      <alignment horizontal="center" vertical="center"/>
    </xf>
    <xf numFmtId="0" fontId="14" fillId="0" borderId="18" xfId="1" applyFont="1" applyBorder="1" applyAlignment="1">
      <alignment horizontal="center" vertical="center"/>
    </xf>
    <xf numFmtId="0" fontId="17" fillId="7" borderId="15" xfId="1" applyFont="1" applyFill="1" applyBorder="1" applyAlignment="1">
      <alignment horizontal="left" vertical="center" wrapText="1"/>
    </xf>
    <xf numFmtId="0" fontId="17" fillId="7" borderId="19" xfId="1" applyFont="1" applyFill="1" applyBorder="1" applyAlignment="1">
      <alignment horizontal="left" vertical="center" wrapText="1"/>
    </xf>
    <xf numFmtId="0" fontId="17" fillId="7" borderId="7" xfId="1" applyFont="1" applyFill="1" applyBorder="1" applyAlignment="1">
      <alignment horizontal="left" vertical="center" wrapText="1"/>
    </xf>
    <xf numFmtId="0" fontId="17" fillId="7" borderId="0" xfId="1" applyFont="1" applyFill="1" applyAlignment="1">
      <alignment horizontal="left" vertical="center" wrapText="1"/>
    </xf>
    <xf numFmtId="0" fontId="17" fillId="7" borderId="11" xfId="1" applyFont="1" applyFill="1" applyBorder="1" applyAlignment="1">
      <alignment horizontal="left" vertical="center" wrapText="1"/>
    </xf>
    <xf numFmtId="0" fontId="17" fillId="7" borderId="12" xfId="1" applyFont="1" applyFill="1" applyBorder="1" applyAlignment="1">
      <alignment horizontal="left" vertical="center" wrapText="1"/>
    </xf>
    <xf numFmtId="3" fontId="18" fillId="0" borderId="22" xfId="1" applyNumberFormat="1" applyFont="1" applyBorder="1" applyAlignment="1">
      <alignment horizontal="center" vertical="center" wrapText="1"/>
    </xf>
    <xf numFmtId="3" fontId="18" fillId="0" borderId="3" xfId="1" applyNumberFormat="1" applyFont="1" applyBorder="1" applyAlignment="1">
      <alignment horizontal="center" vertical="center" wrapText="1"/>
    </xf>
    <xf numFmtId="3" fontId="18" fillId="0" borderId="23" xfId="1" applyNumberFormat="1" applyFont="1" applyBorder="1" applyAlignment="1">
      <alignment horizontal="center" vertical="center" wrapText="1"/>
    </xf>
    <xf numFmtId="3" fontId="18" fillId="0" borderId="5" xfId="1" applyNumberFormat="1" applyFont="1" applyBorder="1" applyAlignment="1">
      <alignment horizontal="center" vertical="center" wrapText="1"/>
    </xf>
    <xf numFmtId="3" fontId="18" fillId="0" borderId="0" xfId="1" applyNumberFormat="1" applyFont="1" applyAlignment="1">
      <alignment horizontal="center" vertical="center" wrapText="1"/>
    </xf>
    <xf numFmtId="3" fontId="18" fillId="0" borderId="25" xfId="1" applyNumberFormat="1" applyFont="1" applyBorder="1" applyAlignment="1">
      <alignment horizontal="center" vertical="center" wrapText="1"/>
    </xf>
    <xf numFmtId="3" fontId="18" fillId="0" borderId="27" xfId="1" applyNumberFormat="1" applyFont="1" applyBorder="1" applyAlignment="1">
      <alignment horizontal="center" vertical="center" wrapText="1"/>
    </xf>
    <xf numFmtId="3" fontId="18" fillId="0" borderId="28" xfId="1" applyNumberFormat="1" applyFont="1" applyBorder="1" applyAlignment="1">
      <alignment horizontal="center" vertical="center" wrapText="1"/>
    </xf>
    <xf numFmtId="3" fontId="18" fillId="0" borderId="29" xfId="1" applyNumberFormat="1" applyFont="1" applyBorder="1" applyAlignment="1">
      <alignment horizontal="center" vertical="center" wrapText="1"/>
    </xf>
    <xf numFmtId="3" fontId="18" fillId="0" borderId="24" xfId="1" applyNumberFormat="1" applyFont="1" applyBorder="1" applyAlignment="1">
      <alignment horizontal="center" vertical="center"/>
    </xf>
    <xf numFmtId="3" fontId="18" fillId="0" borderId="26" xfId="1" applyNumberFormat="1" applyFont="1" applyBorder="1" applyAlignment="1">
      <alignment horizontal="center" vertical="center"/>
    </xf>
    <xf numFmtId="3" fontId="18" fillId="0" borderId="30" xfId="1" applyNumberFormat="1" applyFont="1" applyBorder="1" applyAlignment="1">
      <alignment horizontal="center" vertical="center"/>
    </xf>
    <xf numFmtId="0" fontId="14" fillId="8" borderId="14" xfId="1" applyFont="1" applyFill="1" applyBorder="1" applyAlignment="1">
      <alignment horizontal="center" vertical="center"/>
    </xf>
    <xf numFmtId="0" fontId="14" fillId="8" borderId="16" xfId="1" applyFont="1" applyFill="1" applyBorder="1" applyAlignment="1">
      <alignment horizontal="center" vertical="center"/>
    </xf>
    <xf numFmtId="0" fontId="14" fillId="8" borderId="18" xfId="1" applyFont="1" applyFill="1" applyBorder="1" applyAlignment="1">
      <alignment horizontal="center" vertical="center"/>
    </xf>
    <xf numFmtId="0" fontId="20" fillId="0" borderId="15" xfId="1" applyFont="1" applyBorder="1" applyAlignment="1">
      <alignment horizontal="left" vertical="center" wrapText="1"/>
    </xf>
    <xf numFmtId="0" fontId="20" fillId="0" borderId="19" xfId="1" applyFont="1" applyBorder="1" applyAlignment="1">
      <alignment horizontal="left" vertical="center" wrapText="1"/>
    </xf>
    <xf numFmtId="0" fontId="20" fillId="0" borderId="21" xfId="1" applyFont="1" applyBorder="1" applyAlignment="1">
      <alignment horizontal="left" vertical="center" wrapText="1"/>
    </xf>
    <xf numFmtId="0" fontId="20" fillId="0" borderId="7" xfId="1" applyFont="1" applyBorder="1" applyAlignment="1">
      <alignment horizontal="left" vertical="center" wrapText="1"/>
    </xf>
    <xf numFmtId="0" fontId="20" fillId="0" borderId="0" xfId="1" applyFont="1" applyAlignment="1">
      <alignment horizontal="left" vertical="center" wrapText="1"/>
    </xf>
    <xf numFmtId="0" fontId="20" fillId="0" borderId="17" xfId="1" applyFont="1" applyBorder="1" applyAlignment="1">
      <alignment horizontal="left" vertical="center" wrapText="1"/>
    </xf>
    <xf numFmtId="0" fontId="20" fillId="0" borderId="11" xfId="1" applyFont="1" applyBorder="1" applyAlignment="1">
      <alignment horizontal="left" vertical="center" wrapText="1"/>
    </xf>
    <xf numFmtId="0" fontId="20" fillId="0" borderId="12" xfId="1" applyFont="1" applyBorder="1" applyAlignment="1">
      <alignment horizontal="left" vertical="center" wrapText="1"/>
    </xf>
    <xf numFmtId="0" fontId="20" fillId="0" borderId="13" xfId="1" applyFont="1" applyBorder="1" applyAlignment="1">
      <alignment horizontal="left" vertical="center" wrapText="1"/>
    </xf>
    <xf numFmtId="0" fontId="22" fillId="0" borderId="14" xfId="1" applyFont="1" applyBorder="1" applyAlignment="1">
      <alignment horizontal="center" vertical="center" wrapText="1"/>
    </xf>
    <xf numFmtId="0" fontId="22" fillId="0" borderId="16" xfId="1" applyFont="1" applyBorder="1" applyAlignment="1">
      <alignment horizontal="center" vertical="center" wrapText="1"/>
    </xf>
    <xf numFmtId="0" fontId="22" fillId="0" borderId="18" xfId="1" applyFont="1" applyBorder="1" applyAlignment="1">
      <alignment horizontal="center" vertical="center" wrapText="1"/>
    </xf>
    <xf numFmtId="3" fontId="23" fillId="9" borderId="14" xfId="1" applyNumberFormat="1" applyFont="1" applyFill="1" applyBorder="1" applyAlignment="1">
      <alignment horizontal="center" vertical="center" wrapText="1"/>
    </xf>
    <xf numFmtId="0" fontId="23" fillId="9" borderId="16" xfId="1" applyFont="1" applyFill="1" applyBorder="1" applyAlignment="1">
      <alignment horizontal="center" vertical="center" wrapText="1"/>
    </xf>
    <xf numFmtId="0" fontId="23" fillId="9" borderId="18" xfId="1" applyFont="1" applyFill="1" applyBorder="1" applyAlignment="1">
      <alignment horizontal="center" vertical="center" wrapText="1"/>
    </xf>
    <xf numFmtId="3" fontId="24" fillId="9" borderId="14" xfId="1" applyNumberFormat="1" applyFont="1" applyFill="1" applyBorder="1" applyAlignment="1">
      <alignment horizontal="center" vertical="center"/>
    </xf>
    <xf numFmtId="0" fontId="24" fillId="9" borderId="16" xfId="1" applyFont="1" applyFill="1" applyBorder="1" applyAlignment="1">
      <alignment horizontal="center" vertical="center"/>
    </xf>
    <xf numFmtId="0" fontId="24" fillId="9" borderId="18" xfId="1" applyFont="1" applyFill="1" applyBorder="1" applyAlignment="1">
      <alignment horizontal="center" vertical="center"/>
    </xf>
    <xf numFmtId="0" fontId="6" fillId="0" borderId="8" xfId="1" applyFont="1" applyBorder="1" applyAlignment="1">
      <alignment horizontal="center"/>
    </xf>
    <xf numFmtId="0" fontId="6" fillId="0" borderId="9" xfId="1" applyFont="1" applyBorder="1" applyAlignment="1">
      <alignment horizontal="center"/>
    </xf>
    <xf numFmtId="0" fontId="6" fillId="0" borderId="10" xfId="1" applyFont="1" applyBorder="1" applyAlignment="1">
      <alignment horizontal="center"/>
    </xf>
    <xf numFmtId="0" fontId="8" fillId="3" borderId="4" xfId="1" applyFont="1" applyFill="1" applyBorder="1" applyAlignment="1">
      <alignment horizontal="center" vertical="center"/>
    </xf>
    <xf numFmtId="0" fontId="3" fillId="6" borderId="4" xfId="1" applyFont="1" applyFill="1" applyBorder="1" applyAlignment="1">
      <alignment horizontal="center" vertical="center"/>
    </xf>
    <xf numFmtId="0" fontId="11" fillId="6" borderId="14" xfId="1" applyFont="1" applyFill="1" applyBorder="1" applyAlignment="1">
      <alignment horizontal="center" vertical="center"/>
    </xf>
    <xf numFmtId="0" fontId="11" fillId="6" borderId="16" xfId="1" applyFont="1" applyFill="1" applyBorder="1" applyAlignment="1">
      <alignment horizontal="center" vertical="center"/>
    </xf>
    <xf numFmtId="0" fontId="11" fillId="6" borderId="18" xfId="1" applyFont="1" applyFill="1" applyBorder="1" applyAlignment="1">
      <alignment horizontal="center" vertical="center"/>
    </xf>
    <xf numFmtId="3" fontId="6" fillId="4" borderId="16" xfId="1" applyNumberFormat="1" applyFont="1" applyFill="1" applyBorder="1" applyAlignment="1">
      <alignment horizontal="center" vertical="center"/>
    </xf>
    <xf numFmtId="3" fontId="6" fillId="0" borderId="0" xfId="1" applyNumberFormat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3" fontId="6" fillId="0" borderId="17" xfId="1" applyNumberFormat="1" applyFont="1" applyBorder="1" applyAlignment="1">
      <alignment horizontal="center" vertical="center"/>
    </xf>
    <xf numFmtId="0" fontId="6" fillId="0" borderId="17" xfId="1" applyFont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5" fillId="0" borderId="8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</cellXfs>
  <cellStyles count="3">
    <cellStyle name="Normal" xfId="0" builtinId="0"/>
    <cellStyle name="Normal 2 3" xfId="1" xr:uid="{6DEE4479-DC69-4DD5-A83E-12E92340A975}"/>
    <cellStyle name="Normal 3 2" xfId="2" xr:uid="{76DE5E69-7AB3-4416-8CB5-FEAC599FD2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44839</xdr:colOff>
      <xdr:row>10</xdr:row>
      <xdr:rowOff>90117</xdr:rowOff>
    </xdr:from>
    <xdr:to>
      <xdr:col>14</xdr:col>
      <xdr:colOff>43854</xdr:colOff>
      <xdr:row>10</xdr:row>
      <xdr:rowOff>203711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C5D7C3AA-4465-4515-B3B5-56781E9536DD}"/>
            </a:ext>
          </a:extLst>
        </xdr:cNvPr>
        <xdr:cNvSpPr/>
      </xdr:nvSpPr>
      <xdr:spPr>
        <a:xfrm>
          <a:off x="11827264" y="2943225"/>
          <a:ext cx="103790" cy="0"/>
        </a:xfrm>
        <a:prstGeom prst="triangle">
          <a:avLst/>
        </a:prstGeom>
        <a:solidFill>
          <a:schemeClr val="tx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GB" b="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wafog/AppData/Local/Microsoft/Windows/INetCache/Content.Outlook/CWONQO6E/04b.%20Epic%20Response%20to%20Comment%20Resolution%20Sheet_Proposal%20from%20EpicAtlantic_T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 "/>
      <sheetName val="Comment sheet"/>
      <sheetName val="EA Response to Comment sheet"/>
      <sheetName val="Sheet1"/>
    </sheetNames>
    <sheetDataSet>
      <sheetData sheetId="0"/>
      <sheetData sheetId="1"/>
      <sheetData sheetId="2"/>
      <sheetData sheetId="3">
        <row r="5">
          <cell r="B5" t="str">
            <v>Open</v>
          </cell>
        </row>
        <row r="6">
          <cell r="B6" t="str">
            <v>Resolved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1BF76-211B-4DDA-86B5-8FA5F3F60360}">
  <sheetPr>
    <tabColor rgb="FF99FF99"/>
  </sheetPr>
  <dimension ref="B1:BI758"/>
  <sheetViews>
    <sheetView tabSelected="1" topLeftCell="I1" zoomScale="70" zoomScaleNormal="70" workbookViewId="0">
      <pane ySplit="7" topLeftCell="A8" activePane="bottomLeft" state="frozen"/>
      <selection activeCell="B1" sqref="B1"/>
      <selection pane="bottomLeft" activeCell="M4" sqref="M4:BH4"/>
    </sheetView>
  </sheetViews>
  <sheetFormatPr defaultColWidth="9.1796875" defaultRowHeight="14.5" x14ac:dyDescent="0.35"/>
  <cols>
    <col min="1" max="1" width="2.7265625" style="1" customWidth="1"/>
    <col min="2" max="2" width="5.54296875" style="1" customWidth="1"/>
    <col min="3" max="5" width="6.54296875" style="1" customWidth="1"/>
    <col min="6" max="6" width="84" style="1" customWidth="1"/>
    <col min="7" max="7" width="10.7265625" style="1" customWidth="1"/>
    <col min="8" max="8" width="6.54296875" style="1" customWidth="1"/>
    <col min="9" max="9" width="8.54296875" style="1" customWidth="1"/>
    <col min="10" max="10" width="9.7265625" style="1" customWidth="1"/>
    <col min="11" max="11" width="11" style="1" customWidth="1"/>
    <col min="12" max="12" width="16.54296875" style="1" customWidth="1"/>
    <col min="13" max="60" width="1.54296875" style="1" customWidth="1"/>
    <col min="61" max="61" width="2.7265625" style="1" customWidth="1"/>
    <col min="62" max="16384" width="9.1796875" style="1"/>
  </cols>
  <sheetData>
    <row r="1" spans="2:60" ht="15" customHeight="1" thickBot="1" x14ac:dyDescent="0.4"/>
    <row r="2" spans="2:60" ht="45" customHeight="1" thickBot="1" x14ac:dyDescent="0.4">
      <c r="B2" s="425" t="s">
        <v>0</v>
      </c>
      <c r="C2" s="426"/>
      <c r="D2" s="426"/>
      <c r="E2" s="426"/>
      <c r="F2" s="426"/>
      <c r="G2" s="426"/>
      <c r="H2" s="426"/>
      <c r="I2" s="426"/>
      <c r="J2" s="426"/>
      <c r="K2" s="426"/>
      <c r="L2" s="426"/>
      <c r="M2" s="427"/>
      <c r="N2" s="427"/>
      <c r="O2" s="427"/>
      <c r="P2" s="427"/>
      <c r="Q2" s="427"/>
      <c r="R2" s="427"/>
      <c r="S2" s="427"/>
      <c r="T2" s="427"/>
      <c r="U2" s="427"/>
      <c r="V2" s="427"/>
      <c r="W2" s="427"/>
      <c r="X2" s="427"/>
      <c r="Y2" s="427"/>
      <c r="Z2" s="427"/>
      <c r="AA2" s="427"/>
      <c r="AB2" s="427"/>
      <c r="AC2" s="427"/>
      <c r="AD2" s="427"/>
      <c r="AE2" s="427"/>
      <c r="AF2" s="427"/>
      <c r="AG2" s="427"/>
      <c r="AH2" s="427"/>
      <c r="AI2" s="427"/>
      <c r="AJ2" s="427"/>
      <c r="AK2" s="427"/>
      <c r="AL2" s="427"/>
      <c r="AM2" s="427"/>
      <c r="AN2" s="427"/>
      <c r="AO2" s="427"/>
      <c r="AP2" s="427"/>
      <c r="AQ2" s="427"/>
      <c r="AR2" s="427"/>
      <c r="AS2" s="427"/>
      <c r="AT2" s="427"/>
      <c r="AU2" s="427"/>
      <c r="AV2" s="427"/>
      <c r="AW2" s="427"/>
      <c r="AX2" s="427"/>
      <c r="AY2" s="427"/>
      <c r="AZ2" s="427"/>
      <c r="BA2" s="427"/>
      <c r="BB2" s="427"/>
      <c r="BC2" s="427"/>
      <c r="BD2" s="427"/>
      <c r="BE2" s="427"/>
      <c r="BF2" s="427"/>
      <c r="BG2" s="427"/>
      <c r="BH2" s="427"/>
    </row>
    <row r="3" spans="2:60" ht="25" customHeight="1" x14ac:dyDescent="0.4">
      <c r="B3" s="2"/>
      <c r="C3" s="3"/>
      <c r="D3" s="3"/>
      <c r="E3" s="3"/>
      <c r="F3" s="4"/>
      <c r="G3" s="4"/>
      <c r="H3" s="3"/>
      <c r="I3" s="3"/>
      <c r="J3" s="3"/>
      <c r="K3" s="3"/>
      <c r="L3" s="3"/>
      <c r="M3" s="196" t="s">
        <v>1</v>
      </c>
      <c r="N3" s="196"/>
      <c r="O3" s="196"/>
      <c r="P3" s="196"/>
      <c r="Q3" s="196"/>
      <c r="R3" s="196"/>
      <c r="S3" s="196"/>
      <c r="T3" s="196"/>
      <c r="U3" s="196"/>
      <c r="V3" s="196"/>
      <c r="W3" s="196"/>
      <c r="X3" s="196"/>
      <c r="Y3" s="196"/>
      <c r="Z3" s="196"/>
      <c r="AA3" s="196"/>
      <c r="AB3" s="196"/>
      <c r="AC3" s="196"/>
      <c r="AD3" s="196"/>
      <c r="AE3" s="196"/>
      <c r="AF3" s="196"/>
      <c r="AG3" s="196"/>
      <c r="AH3" s="196"/>
      <c r="AI3" s="196"/>
      <c r="AJ3" s="196"/>
      <c r="AK3" s="196"/>
      <c r="AL3" s="196"/>
      <c r="AM3" s="196"/>
      <c r="AN3" s="196"/>
      <c r="AO3" s="196"/>
      <c r="AP3" s="196"/>
      <c r="AQ3" s="196"/>
      <c r="AR3" s="196"/>
      <c r="AS3" s="196"/>
      <c r="AT3" s="196"/>
      <c r="AU3" s="196"/>
      <c r="AV3" s="196"/>
      <c r="AW3" s="196"/>
      <c r="AX3" s="196"/>
      <c r="AY3" s="196"/>
      <c r="AZ3" s="196"/>
      <c r="BA3" s="196"/>
      <c r="BB3" s="196"/>
      <c r="BC3" s="196"/>
      <c r="BD3" s="196"/>
      <c r="BE3" s="196"/>
      <c r="BF3" s="196"/>
      <c r="BG3" s="196"/>
      <c r="BH3" s="196"/>
    </row>
    <row r="4" spans="2:60" ht="24" customHeight="1" x14ac:dyDescent="0.4">
      <c r="B4" s="2"/>
      <c r="C4" s="3"/>
      <c r="D4" s="3"/>
      <c r="E4" s="3"/>
      <c r="F4" s="5"/>
      <c r="G4" s="5"/>
      <c r="H4" s="3"/>
      <c r="I4" s="3"/>
      <c r="J4" s="3"/>
      <c r="K4" s="3"/>
      <c r="L4" s="3"/>
      <c r="M4" s="428">
        <v>2026</v>
      </c>
      <c r="N4" s="429"/>
      <c r="O4" s="429"/>
      <c r="P4" s="429"/>
      <c r="Q4" s="429"/>
      <c r="R4" s="429"/>
      <c r="S4" s="429"/>
      <c r="T4" s="429"/>
      <c r="U4" s="429"/>
      <c r="V4" s="429"/>
      <c r="W4" s="429"/>
      <c r="X4" s="429"/>
      <c r="Y4" s="429"/>
      <c r="Z4" s="429"/>
      <c r="AA4" s="429"/>
      <c r="AB4" s="429"/>
      <c r="AC4" s="429"/>
      <c r="AD4" s="429"/>
      <c r="AE4" s="429"/>
      <c r="AF4" s="429"/>
      <c r="AG4" s="429"/>
      <c r="AH4" s="429"/>
      <c r="AI4" s="429"/>
      <c r="AJ4" s="429"/>
      <c r="AK4" s="429"/>
      <c r="AL4" s="429"/>
      <c r="AM4" s="429"/>
      <c r="AN4" s="429"/>
      <c r="AO4" s="429"/>
      <c r="AP4" s="429"/>
      <c r="AQ4" s="429"/>
      <c r="AR4" s="429"/>
      <c r="AS4" s="429"/>
      <c r="AT4" s="429"/>
      <c r="AU4" s="429"/>
      <c r="AV4" s="429"/>
      <c r="AW4" s="429"/>
      <c r="AX4" s="429"/>
      <c r="AY4" s="429"/>
      <c r="AZ4" s="429"/>
      <c r="BA4" s="429"/>
      <c r="BB4" s="429"/>
      <c r="BC4" s="429"/>
      <c r="BD4" s="429"/>
      <c r="BE4" s="429"/>
      <c r="BF4" s="429"/>
      <c r="BG4" s="429"/>
      <c r="BH4" s="430"/>
    </row>
    <row r="5" spans="2:60" ht="24" customHeight="1" x14ac:dyDescent="0.4">
      <c r="B5" s="2"/>
      <c r="C5" s="3"/>
      <c r="D5" s="3"/>
      <c r="E5" s="3"/>
      <c r="F5" s="5"/>
      <c r="G5" s="5"/>
      <c r="H5" s="3"/>
      <c r="I5" s="3"/>
      <c r="J5" s="3"/>
      <c r="K5" s="3"/>
      <c r="L5" s="3"/>
      <c r="M5" s="412" t="s">
        <v>5</v>
      </c>
      <c r="N5" s="413"/>
      <c r="O5" s="413"/>
      <c r="P5" s="414"/>
      <c r="Q5" s="412" t="s">
        <v>6</v>
      </c>
      <c r="R5" s="413"/>
      <c r="S5" s="413"/>
      <c r="T5" s="414"/>
      <c r="U5" s="412" t="s">
        <v>7</v>
      </c>
      <c r="V5" s="413"/>
      <c r="W5" s="413"/>
      <c r="X5" s="414"/>
      <c r="Y5" s="412" t="s">
        <v>8</v>
      </c>
      <c r="Z5" s="413"/>
      <c r="AA5" s="413"/>
      <c r="AB5" s="414"/>
      <c r="AC5" s="412" t="s">
        <v>9</v>
      </c>
      <c r="AD5" s="413"/>
      <c r="AE5" s="413"/>
      <c r="AF5" s="414"/>
      <c r="AG5" s="412" t="s">
        <v>10</v>
      </c>
      <c r="AH5" s="413"/>
      <c r="AI5" s="413"/>
      <c r="AJ5" s="414"/>
      <c r="AK5" s="412" t="s">
        <v>11</v>
      </c>
      <c r="AL5" s="413"/>
      <c r="AM5" s="413"/>
      <c r="AN5" s="414"/>
      <c r="AO5" s="412" t="s">
        <v>12</v>
      </c>
      <c r="AP5" s="413"/>
      <c r="AQ5" s="413"/>
      <c r="AR5" s="414"/>
      <c r="AS5" s="412" t="s">
        <v>13</v>
      </c>
      <c r="AT5" s="413"/>
      <c r="AU5" s="413"/>
      <c r="AV5" s="414"/>
      <c r="AW5" s="412" t="s">
        <v>2</v>
      </c>
      <c r="AX5" s="413"/>
      <c r="AY5" s="413"/>
      <c r="AZ5" s="414"/>
      <c r="BA5" s="412" t="s">
        <v>3</v>
      </c>
      <c r="BB5" s="413"/>
      <c r="BC5" s="413"/>
      <c r="BD5" s="414"/>
      <c r="BE5" s="412" t="s">
        <v>4</v>
      </c>
      <c r="BF5" s="413"/>
      <c r="BG5" s="413"/>
      <c r="BH5" s="414"/>
    </row>
    <row r="6" spans="2:60" ht="24" customHeight="1" x14ac:dyDescent="0.4">
      <c r="B6" s="2"/>
      <c r="C6" s="3"/>
      <c r="D6" s="3"/>
      <c r="E6" s="3"/>
      <c r="F6" s="6"/>
      <c r="G6" s="6"/>
      <c r="H6" s="7"/>
      <c r="I6" s="7"/>
      <c r="J6" s="7"/>
      <c r="K6" s="7"/>
      <c r="L6" s="8"/>
      <c r="M6" s="412">
        <v>1</v>
      </c>
      <c r="N6" s="413"/>
      <c r="O6" s="413"/>
      <c r="P6" s="414"/>
      <c r="Q6" s="412">
        <v>2</v>
      </c>
      <c r="R6" s="413"/>
      <c r="S6" s="413"/>
      <c r="T6" s="414"/>
      <c r="U6" s="412">
        <v>3</v>
      </c>
      <c r="V6" s="413"/>
      <c r="W6" s="413"/>
      <c r="X6" s="414"/>
      <c r="Y6" s="412">
        <v>4</v>
      </c>
      <c r="Z6" s="413"/>
      <c r="AA6" s="413"/>
      <c r="AB6" s="414"/>
      <c r="AC6" s="412">
        <v>5</v>
      </c>
      <c r="AD6" s="413"/>
      <c r="AE6" s="413"/>
      <c r="AF6" s="414"/>
      <c r="AG6" s="412">
        <v>6</v>
      </c>
      <c r="AH6" s="413"/>
      <c r="AI6" s="413"/>
      <c r="AJ6" s="414"/>
      <c r="AK6" s="412">
        <v>7</v>
      </c>
      <c r="AL6" s="413"/>
      <c r="AM6" s="413"/>
      <c r="AN6" s="414"/>
      <c r="AO6" s="412">
        <v>8</v>
      </c>
      <c r="AP6" s="413"/>
      <c r="AQ6" s="413"/>
      <c r="AR6" s="414"/>
      <c r="AS6" s="412">
        <v>9</v>
      </c>
      <c r="AT6" s="413"/>
      <c r="AU6" s="413"/>
      <c r="AV6" s="414"/>
      <c r="AW6" s="412">
        <v>10</v>
      </c>
      <c r="AX6" s="413"/>
      <c r="AY6" s="413"/>
      <c r="AZ6" s="414"/>
      <c r="BA6" s="412">
        <v>11</v>
      </c>
      <c r="BB6" s="413"/>
      <c r="BC6" s="413"/>
      <c r="BD6" s="414"/>
      <c r="BE6" s="412">
        <v>12</v>
      </c>
      <c r="BF6" s="413"/>
      <c r="BG6" s="413"/>
      <c r="BH6" s="414"/>
    </row>
    <row r="7" spans="2:60" ht="36" customHeight="1" x14ac:dyDescent="0.4">
      <c r="B7" s="2"/>
      <c r="C7" s="3"/>
      <c r="D7" s="3"/>
      <c r="E7" s="9" t="s">
        <v>14</v>
      </c>
      <c r="F7" s="10">
        <v>46106</v>
      </c>
      <c r="G7" s="415" t="s">
        <v>15</v>
      </c>
      <c r="H7" s="415"/>
      <c r="I7" s="415"/>
      <c r="J7" s="11" t="s">
        <v>16</v>
      </c>
      <c r="K7" s="11" t="s">
        <v>17</v>
      </c>
      <c r="L7" s="12" t="s">
        <v>18</v>
      </c>
      <c r="M7" s="416" t="s">
        <v>19</v>
      </c>
      <c r="N7" s="416"/>
      <c r="O7" s="416"/>
      <c r="P7" s="416"/>
      <c r="Q7" s="416"/>
      <c r="R7" s="416"/>
      <c r="S7" s="416"/>
      <c r="T7" s="416"/>
      <c r="U7" s="416"/>
      <c r="V7" s="416"/>
      <c r="W7" s="416"/>
      <c r="X7" s="416"/>
      <c r="Y7" s="416"/>
      <c r="Z7" s="416"/>
      <c r="AA7" s="416"/>
      <c r="AB7" s="416"/>
      <c r="AC7" s="416"/>
      <c r="AD7" s="416"/>
      <c r="AE7" s="416"/>
      <c r="AF7" s="416"/>
      <c r="AG7" s="416"/>
      <c r="AH7" s="416"/>
      <c r="AI7" s="416"/>
      <c r="AJ7" s="416"/>
      <c r="AK7" s="416"/>
      <c r="AL7" s="416"/>
      <c r="AM7" s="416"/>
      <c r="AN7" s="416"/>
      <c r="AO7" s="416"/>
      <c r="AP7" s="416"/>
      <c r="AQ7" s="416"/>
      <c r="AR7" s="416"/>
      <c r="AS7" s="416"/>
      <c r="AT7" s="416"/>
      <c r="AU7" s="416"/>
      <c r="AV7" s="416"/>
      <c r="AW7" s="416"/>
      <c r="AX7" s="416"/>
      <c r="AY7" s="416"/>
      <c r="AZ7" s="416"/>
      <c r="BA7" s="416"/>
      <c r="BB7" s="416"/>
      <c r="BC7" s="416"/>
      <c r="BD7" s="416"/>
      <c r="BE7" s="416"/>
      <c r="BF7" s="416"/>
      <c r="BG7" s="416"/>
      <c r="BH7" s="416"/>
    </row>
    <row r="8" spans="2:60" ht="12" customHeight="1" x14ac:dyDescent="0.4">
      <c r="B8" s="2"/>
      <c r="C8" s="3"/>
      <c r="D8" s="3"/>
      <c r="E8" s="3"/>
      <c r="F8" s="417" t="s">
        <v>20</v>
      </c>
      <c r="G8" s="13"/>
      <c r="H8" s="3"/>
      <c r="I8" s="3"/>
      <c r="J8" s="420">
        <v>281.375</v>
      </c>
      <c r="K8" s="421"/>
      <c r="L8" s="423"/>
      <c r="M8" s="5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O8" s="3"/>
      <c r="AP8" s="3"/>
      <c r="AQ8" s="3"/>
      <c r="AR8" s="3"/>
      <c r="AS8" s="3"/>
      <c r="AT8" s="3"/>
      <c r="AU8" s="3"/>
      <c r="AV8" s="3"/>
      <c r="BA8" s="3"/>
      <c r="BB8" s="3"/>
      <c r="BC8" s="3"/>
      <c r="BD8" s="3"/>
      <c r="BE8" s="3"/>
      <c r="BF8" s="3"/>
      <c r="BG8" s="3"/>
      <c r="BH8" s="3"/>
    </row>
    <row r="9" spans="2:60" ht="12" customHeight="1" x14ac:dyDescent="0.4">
      <c r="B9" s="2"/>
      <c r="C9" s="3"/>
      <c r="D9" s="3"/>
      <c r="E9" s="3"/>
      <c r="F9" s="418"/>
      <c r="G9" s="5"/>
      <c r="H9" s="3"/>
      <c r="I9" s="3"/>
      <c r="J9" s="265"/>
      <c r="K9" s="422"/>
      <c r="L9" s="424"/>
      <c r="M9" s="14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O9" s="15"/>
      <c r="AP9" s="15"/>
      <c r="AQ9" s="15"/>
      <c r="AR9" s="15"/>
      <c r="AS9" s="15"/>
      <c r="AT9" s="15"/>
      <c r="AU9" s="15"/>
      <c r="AV9" s="15"/>
      <c r="BA9" s="15"/>
      <c r="BB9" s="15"/>
      <c r="BC9" s="15"/>
      <c r="BD9" s="15"/>
      <c r="BE9" s="15"/>
      <c r="BF9" s="15"/>
      <c r="BG9" s="15"/>
      <c r="BH9" s="15"/>
    </row>
    <row r="10" spans="2:60" ht="15" customHeight="1" thickBot="1" x14ac:dyDescent="0.45">
      <c r="B10" s="2"/>
      <c r="C10" s="3"/>
      <c r="D10" s="3"/>
      <c r="E10" s="3"/>
      <c r="F10" s="419"/>
      <c r="G10" s="6"/>
      <c r="H10" s="3"/>
      <c r="I10" s="3"/>
      <c r="J10" s="16">
        <f>J8*500</f>
        <v>140687.5</v>
      </c>
      <c r="K10" s="17"/>
      <c r="L10" s="18"/>
      <c r="M10" s="19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1"/>
      <c r="AL10" s="21"/>
      <c r="AM10" s="21"/>
      <c r="AN10" s="21"/>
      <c r="AO10" s="20"/>
      <c r="AP10" s="20"/>
      <c r="AQ10" s="20"/>
      <c r="AR10" s="20"/>
      <c r="AS10" s="20"/>
      <c r="AT10" s="20"/>
      <c r="AU10" s="20"/>
      <c r="AV10" s="20"/>
      <c r="AW10" s="21"/>
      <c r="AX10" s="21"/>
      <c r="AY10" s="21"/>
      <c r="AZ10" s="21"/>
      <c r="BA10" s="20"/>
      <c r="BB10" s="20"/>
      <c r="BC10" s="20"/>
      <c r="BD10" s="20"/>
      <c r="BE10" s="20"/>
      <c r="BF10" s="20"/>
      <c r="BG10" s="20"/>
      <c r="BH10" s="20"/>
    </row>
    <row r="11" spans="2:60" ht="24" hidden="1" customHeight="1" thickBot="1" x14ac:dyDescent="0.45">
      <c r="B11" s="22">
        <v>0</v>
      </c>
      <c r="C11" s="23" t="s">
        <v>21</v>
      </c>
      <c r="D11" s="24"/>
      <c r="E11" s="25"/>
      <c r="F11" s="26"/>
      <c r="G11" s="27"/>
      <c r="H11" s="28"/>
      <c r="I11" s="29"/>
      <c r="J11" s="30"/>
      <c r="K11" s="30"/>
      <c r="L11" s="31"/>
      <c r="M11" s="14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O11" s="15"/>
      <c r="AP11" s="15"/>
      <c r="AQ11" s="15"/>
      <c r="AR11" s="15"/>
      <c r="AS11" s="15"/>
      <c r="AT11" s="15"/>
      <c r="AU11" s="15"/>
      <c r="AV11" s="15"/>
      <c r="BA11" s="15"/>
      <c r="BB11" s="15"/>
      <c r="BC11" s="15"/>
      <c r="BD11" s="15"/>
      <c r="BE11" s="15"/>
      <c r="BF11" s="15"/>
      <c r="BG11" s="15"/>
      <c r="BH11" s="15"/>
    </row>
    <row r="12" spans="2:60" ht="15" customHeight="1" x14ac:dyDescent="0.4">
      <c r="B12" s="370"/>
      <c r="C12" s="373" t="s">
        <v>22</v>
      </c>
      <c r="D12" s="374"/>
      <c r="E12" s="374"/>
      <c r="F12" s="374"/>
      <c r="G12" s="379">
        <f>I748</f>
        <v>6816</v>
      </c>
      <c r="H12" s="380"/>
      <c r="I12" s="381"/>
      <c r="J12" s="32"/>
      <c r="K12" s="32"/>
      <c r="L12" s="388">
        <f>L748</f>
        <v>1992852</v>
      </c>
      <c r="M12" s="14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</row>
    <row r="13" spans="2:60" ht="15" customHeight="1" x14ac:dyDescent="0.4">
      <c r="B13" s="371"/>
      <c r="C13" s="375"/>
      <c r="D13" s="376"/>
      <c r="E13" s="376"/>
      <c r="F13" s="376"/>
      <c r="G13" s="382"/>
      <c r="H13" s="383"/>
      <c r="I13" s="384"/>
      <c r="J13" s="33"/>
      <c r="K13" s="33"/>
      <c r="L13" s="389"/>
      <c r="M13" s="14"/>
      <c r="N13" s="15"/>
      <c r="O13" s="15"/>
      <c r="P13" s="15"/>
      <c r="Y13" s="34"/>
      <c r="Z13" s="34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6"/>
      <c r="AW13" s="36"/>
      <c r="AX13" s="36"/>
      <c r="AY13" s="36"/>
      <c r="AZ13" s="36"/>
      <c r="BA13" s="36"/>
      <c r="BB13" s="36"/>
      <c r="BC13" s="36"/>
      <c r="BD13" s="36"/>
      <c r="BE13" s="15"/>
      <c r="BF13" s="15"/>
      <c r="BG13" s="15"/>
      <c r="BH13" s="15"/>
    </row>
    <row r="14" spans="2:60" ht="15" customHeight="1" thickBot="1" x14ac:dyDescent="0.45">
      <c r="B14" s="372"/>
      <c r="C14" s="377"/>
      <c r="D14" s="378"/>
      <c r="E14" s="378"/>
      <c r="F14" s="378"/>
      <c r="G14" s="385"/>
      <c r="H14" s="386"/>
      <c r="I14" s="387"/>
      <c r="J14" s="33"/>
      <c r="K14" s="33"/>
      <c r="L14" s="390"/>
      <c r="M14" s="14"/>
      <c r="N14" s="15"/>
      <c r="O14" s="15"/>
      <c r="P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</row>
    <row r="15" spans="2:60" ht="12" customHeight="1" x14ac:dyDescent="0.4">
      <c r="B15" s="37"/>
      <c r="C15" s="38"/>
      <c r="D15" s="39"/>
      <c r="E15" s="39"/>
      <c r="F15" s="39"/>
      <c r="G15" s="40"/>
      <c r="H15" s="40"/>
      <c r="I15" s="18"/>
      <c r="J15" s="41"/>
      <c r="K15" s="41"/>
      <c r="L15" s="18"/>
      <c r="M15" s="14"/>
      <c r="N15" s="15"/>
      <c r="O15" s="15"/>
      <c r="P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</row>
    <row r="16" spans="2:60" ht="15" customHeight="1" x14ac:dyDescent="0.4">
      <c r="B16" s="391" t="s">
        <v>23</v>
      </c>
      <c r="C16" s="394" t="s">
        <v>24</v>
      </c>
      <c r="D16" s="395"/>
      <c r="E16" s="395"/>
      <c r="F16" s="396"/>
      <c r="G16" s="182">
        <f>I16*250+K37</f>
        <v>142500</v>
      </c>
      <c r="H16" s="403"/>
      <c r="I16" s="406">
        <f>SUM(H19:H42)</f>
        <v>470</v>
      </c>
      <c r="J16" s="32"/>
      <c r="K16" s="32"/>
      <c r="L16" s="409">
        <f>SUM(K19:K42)</f>
        <v>157246.25</v>
      </c>
      <c r="M16" s="14"/>
      <c r="N16" s="15"/>
      <c r="O16" s="15"/>
      <c r="P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</row>
    <row r="17" spans="2:60" ht="15" customHeight="1" x14ac:dyDescent="0.4">
      <c r="B17" s="392"/>
      <c r="C17" s="397"/>
      <c r="D17" s="398"/>
      <c r="E17" s="398"/>
      <c r="F17" s="399"/>
      <c r="G17" s="183"/>
      <c r="H17" s="404"/>
      <c r="I17" s="407"/>
      <c r="J17" s="33"/>
      <c r="K17" s="33"/>
      <c r="L17" s="410"/>
      <c r="M17" s="14"/>
      <c r="N17" s="15"/>
      <c r="O17" s="15"/>
      <c r="P17" s="15"/>
      <c r="Y17" s="42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4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</row>
    <row r="18" spans="2:60" ht="15" customHeight="1" x14ac:dyDescent="0.4">
      <c r="B18" s="393"/>
      <c r="C18" s="400"/>
      <c r="D18" s="401"/>
      <c r="E18" s="401"/>
      <c r="F18" s="402"/>
      <c r="G18" s="183"/>
      <c r="H18" s="405"/>
      <c r="I18" s="408"/>
      <c r="J18" s="33"/>
      <c r="K18" s="33"/>
      <c r="L18" s="411"/>
      <c r="M18" s="14"/>
      <c r="N18" s="15"/>
      <c r="O18" s="15"/>
      <c r="P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</row>
    <row r="19" spans="2:60" ht="15" customHeight="1" x14ac:dyDescent="0.4">
      <c r="B19" s="106"/>
      <c r="C19" s="340" t="s">
        <v>25</v>
      </c>
      <c r="D19" s="343" t="s">
        <v>26</v>
      </c>
      <c r="E19" s="344"/>
      <c r="F19" s="345"/>
      <c r="G19" s="45"/>
      <c r="H19" s="358">
        <v>50</v>
      </c>
      <c r="I19" s="46"/>
      <c r="J19" s="46"/>
      <c r="K19" s="355">
        <f>H19*$J$8</f>
        <v>14068.75</v>
      </c>
      <c r="M19" s="14"/>
      <c r="N19" s="3"/>
      <c r="O19" s="15"/>
      <c r="P19" s="15"/>
      <c r="Y19" s="15"/>
      <c r="Z19" s="15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15"/>
      <c r="AM19" s="15"/>
      <c r="AN19" s="15"/>
      <c r="AO19" s="3"/>
      <c r="AP19" s="3"/>
      <c r="AQ19" s="3"/>
      <c r="AR19" s="3"/>
      <c r="AW19" s="3"/>
      <c r="AX19" s="15"/>
      <c r="AY19" s="15"/>
      <c r="AZ19" s="15"/>
      <c r="BA19" s="3"/>
      <c r="BB19" s="3"/>
      <c r="BC19" s="15"/>
      <c r="BD19" s="15"/>
      <c r="BE19" s="3"/>
      <c r="BF19" s="3"/>
      <c r="BG19" s="3"/>
      <c r="BH19" s="3"/>
    </row>
    <row r="20" spans="2:60" ht="15" customHeight="1" x14ac:dyDescent="0.4">
      <c r="B20" s="156"/>
      <c r="C20" s="341"/>
      <c r="D20" s="346"/>
      <c r="E20" s="347"/>
      <c r="F20" s="348"/>
      <c r="G20" s="47"/>
      <c r="H20" s="359"/>
      <c r="I20" s="46"/>
      <c r="J20" s="46"/>
      <c r="K20" s="356"/>
      <c r="M20" s="14"/>
      <c r="N20" s="15"/>
      <c r="O20" s="15"/>
      <c r="P20" s="15"/>
      <c r="Y20" s="48"/>
      <c r="Z20" s="49"/>
      <c r="AA20" s="49"/>
      <c r="AB20" s="50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3"/>
      <c r="BB20" s="3"/>
    </row>
    <row r="21" spans="2:60" ht="15" customHeight="1" x14ac:dyDescent="0.4">
      <c r="B21" s="157"/>
      <c r="C21" s="342"/>
      <c r="D21" s="349"/>
      <c r="E21" s="350"/>
      <c r="F21" s="351"/>
      <c r="G21" s="51"/>
      <c r="H21" s="360"/>
      <c r="I21" s="46"/>
      <c r="J21" s="46"/>
      <c r="K21" s="357"/>
      <c r="M21" s="14"/>
      <c r="N21" s="15"/>
      <c r="O21" s="15"/>
      <c r="P21" s="15"/>
      <c r="Y21" s="15"/>
      <c r="Z21" s="15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15"/>
      <c r="AM21" s="15"/>
      <c r="AN21" s="15"/>
      <c r="AO21" s="3"/>
      <c r="AP21" s="3"/>
      <c r="AQ21" s="3"/>
      <c r="AR21" s="3"/>
      <c r="AW21" s="3"/>
      <c r="AX21" s="15"/>
      <c r="AY21" s="15"/>
      <c r="AZ21" s="15"/>
      <c r="BA21" s="3"/>
      <c r="BB21" s="3"/>
      <c r="BC21" s="15"/>
      <c r="BD21" s="15"/>
      <c r="BE21" s="3"/>
      <c r="BF21" s="3"/>
      <c r="BG21" s="3"/>
      <c r="BH21" s="15"/>
    </row>
    <row r="22" spans="2:60" ht="15" customHeight="1" x14ac:dyDescent="0.4">
      <c r="B22" s="106"/>
      <c r="C22" s="340" t="s">
        <v>27</v>
      </c>
      <c r="D22" s="343" t="s">
        <v>28</v>
      </c>
      <c r="E22" s="344"/>
      <c r="F22" s="345"/>
      <c r="G22" s="45"/>
      <c r="H22" s="358">
        <v>50</v>
      </c>
      <c r="I22" s="46"/>
      <c r="J22" s="46"/>
      <c r="K22" s="355">
        <f t="shared" ref="K22" si="0">H22*$J$8</f>
        <v>14068.75</v>
      </c>
      <c r="M22" s="14"/>
      <c r="N22" s="3"/>
      <c r="O22" s="15"/>
      <c r="P22" s="15"/>
      <c r="Y22" s="15"/>
      <c r="Z22" s="15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15"/>
      <c r="AM22" s="15"/>
      <c r="AN22" s="15"/>
      <c r="AO22" s="3"/>
      <c r="AP22" s="3"/>
      <c r="AQ22" s="3"/>
      <c r="AR22" s="3"/>
      <c r="AW22" s="3"/>
      <c r="AX22" s="15"/>
      <c r="AY22" s="15"/>
      <c r="AZ22" s="15"/>
      <c r="BA22" s="3"/>
      <c r="BB22" s="3"/>
      <c r="BC22" s="15"/>
      <c r="BD22" s="15"/>
      <c r="BE22" s="3"/>
      <c r="BF22" s="3"/>
      <c r="BG22" s="3"/>
      <c r="BH22" s="3"/>
    </row>
    <row r="23" spans="2:60" ht="15" customHeight="1" x14ac:dyDescent="0.4">
      <c r="B23" s="156"/>
      <c r="C23" s="341"/>
      <c r="D23" s="346"/>
      <c r="E23" s="347"/>
      <c r="F23" s="348"/>
      <c r="G23" s="51"/>
      <c r="H23" s="359"/>
      <c r="I23" s="46"/>
      <c r="J23" s="46"/>
      <c r="K23" s="356"/>
      <c r="M23" s="14"/>
      <c r="N23" s="15"/>
      <c r="O23" s="15"/>
      <c r="P23" s="15"/>
      <c r="Y23" s="48"/>
      <c r="Z23" s="49"/>
      <c r="AA23" s="49"/>
      <c r="AB23" s="50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3"/>
      <c r="BB23" s="3"/>
    </row>
    <row r="24" spans="2:60" ht="15" customHeight="1" x14ac:dyDescent="0.4">
      <c r="B24" s="157"/>
      <c r="C24" s="342"/>
      <c r="D24" s="349"/>
      <c r="E24" s="350"/>
      <c r="F24" s="351"/>
      <c r="G24" s="51"/>
      <c r="H24" s="360"/>
      <c r="I24" s="46"/>
      <c r="J24" s="46"/>
      <c r="K24" s="357"/>
      <c r="M24" s="14"/>
      <c r="N24" s="15"/>
      <c r="O24" s="15"/>
      <c r="P24" s="15"/>
      <c r="Y24" s="15"/>
      <c r="Z24" s="15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15"/>
      <c r="AM24" s="15"/>
      <c r="AN24" s="15"/>
      <c r="AO24" s="3"/>
      <c r="AP24" s="3"/>
      <c r="AQ24" s="3"/>
      <c r="AR24" s="3"/>
      <c r="AW24" s="3"/>
      <c r="AX24" s="15"/>
      <c r="AY24" s="15"/>
      <c r="AZ24" s="15"/>
      <c r="BA24" s="3"/>
      <c r="BB24" s="3"/>
      <c r="BC24" s="15"/>
      <c r="BD24" s="15"/>
      <c r="BE24" s="3"/>
      <c r="BF24" s="3"/>
      <c r="BG24" s="3"/>
      <c r="BH24" s="15"/>
    </row>
    <row r="25" spans="2:60" ht="15" customHeight="1" x14ac:dyDescent="0.4">
      <c r="B25" s="106"/>
      <c r="C25" s="340" t="s">
        <v>29</v>
      </c>
      <c r="D25" s="343" t="s">
        <v>30</v>
      </c>
      <c r="E25" s="344"/>
      <c r="F25" s="345"/>
      <c r="G25" s="45"/>
      <c r="H25" s="358">
        <v>50</v>
      </c>
      <c r="I25" s="46"/>
      <c r="J25" s="46"/>
      <c r="K25" s="355">
        <f t="shared" ref="K25" si="1">H25*$J$8</f>
        <v>14068.75</v>
      </c>
      <c r="M25" s="14"/>
      <c r="N25" s="3"/>
      <c r="O25" s="15"/>
      <c r="P25" s="15"/>
      <c r="Y25" s="15"/>
      <c r="Z25" s="15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15"/>
      <c r="AM25" s="15"/>
      <c r="AN25" s="15"/>
      <c r="AO25" s="3"/>
      <c r="AP25" s="3"/>
      <c r="AQ25" s="3"/>
      <c r="AR25" s="3"/>
      <c r="AW25" s="3"/>
      <c r="AX25" s="15"/>
      <c r="AY25" s="15"/>
      <c r="AZ25" s="15"/>
      <c r="BA25" s="3"/>
      <c r="BB25" s="3"/>
      <c r="BC25" s="15"/>
      <c r="BD25" s="15"/>
      <c r="BE25" s="3"/>
      <c r="BF25" s="3"/>
      <c r="BG25" s="3"/>
      <c r="BH25" s="3"/>
    </row>
    <row r="26" spans="2:60" ht="15" customHeight="1" x14ac:dyDescent="0.4">
      <c r="B26" s="156"/>
      <c r="C26" s="341"/>
      <c r="D26" s="346"/>
      <c r="E26" s="347"/>
      <c r="F26" s="348"/>
      <c r="G26" s="51"/>
      <c r="H26" s="359"/>
      <c r="I26" s="46"/>
      <c r="J26" s="46"/>
      <c r="K26" s="356"/>
      <c r="M26" s="14"/>
      <c r="N26" s="15"/>
      <c r="O26" s="15"/>
      <c r="P26" s="15"/>
      <c r="AB26" s="48"/>
      <c r="AC26" s="49"/>
      <c r="AD26" s="49"/>
      <c r="AE26" s="50"/>
    </row>
    <row r="27" spans="2:60" ht="15" customHeight="1" x14ac:dyDescent="0.4">
      <c r="B27" s="157"/>
      <c r="C27" s="342"/>
      <c r="D27" s="349"/>
      <c r="E27" s="350"/>
      <c r="F27" s="351"/>
      <c r="G27" s="51"/>
      <c r="H27" s="360"/>
      <c r="I27" s="46"/>
      <c r="J27" s="46"/>
      <c r="K27" s="357"/>
      <c r="M27" s="14"/>
      <c r="N27" s="15"/>
      <c r="O27" s="15"/>
      <c r="P27" s="15"/>
      <c r="Y27" s="15"/>
      <c r="Z27" s="15"/>
      <c r="AA27" s="15"/>
      <c r="AB27" s="15"/>
      <c r="AC27" s="15"/>
      <c r="AD27" s="3"/>
      <c r="AE27" s="3"/>
      <c r="AF27" s="3"/>
      <c r="AG27" s="3"/>
      <c r="AH27" s="3"/>
      <c r="AI27" s="3"/>
      <c r="AJ27" s="3"/>
      <c r="AK27" s="3"/>
      <c r="AL27" s="15"/>
      <c r="AM27" s="15"/>
      <c r="AN27" s="15"/>
      <c r="AO27" s="3"/>
      <c r="AP27" s="3"/>
      <c r="AQ27" s="3"/>
      <c r="AR27" s="15"/>
      <c r="AW27" s="3"/>
      <c r="AX27" s="15"/>
      <c r="AY27" s="15"/>
      <c r="AZ27" s="15"/>
      <c r="BA27" s="3"/>
      <c r="BB27" s="3"/>
      <c r="BC27" s="15"/>
      <c r="BD27" s="15"/>
      <c r="BE27" s="3"/>
      <c r="BF27" s="3"/>
      <c r="BG27" s="3"/>
      <c r="BH27" s="3"/>
    </row>
    <row r="28" spans="2:60" ht="15" customHeight="1" x14ac:dyDescent="0.4">
      <c r="B28" s="106"/>
      <c r="C28" s="340" t="s">
        <v>31</v>
      </c>
      <c r="D28" s="361" t="s">
        <v>32</v>
      </c>
      <c r="E28" s="362"/>
      <c r="F28" s="363"/>
      <c r="G28" s="45"/>
      <c r="H28" s="358">
        <v>50</v>
      </c>
      <c r="I28" s="46"/>
      <c r="J28" s="46"/>
      <c r="K28" s="355">
        <f t="shared" ref="K28" si="2">H28*$J$8</f>
        <v>14068.75</v>
      </c>
      <c r="M28" s="14"/>
      <c r="N28" s="3"/>
      <c r="O28" s="15"/>
      <c r="P28" s="15"/>
      <c r="Y28" s="15"/>
      <c r="Z28" s="15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15"/>
      <c r="AM28" s="15"/>
      <c r="AN28" s="15"/>
      <c r="AO28" s="3"/>
      <c r="AP28" s="3"/>
      <c r="AQ28" s="3"/>
      <c r="AR28" s="3"/>
      <c r="AW28" s="3"/>
      <c r="AX28" s="15"/>
      <c r="AY28" s="15"/>
      <c r="AZ28" s="15"/>
      <c r="BA28" s="3"/>
      <c r="BB28" s="3"/>
      <c r="BC28" s="15"/>
      <c r="BD28" s="15"/>
      <c r="BE28" s="3"/>
      <c r="BF28" s="3"/>
      <c r="BG28" s="3"/>
      <c r="BH28" s="3"/>
    </row>
    <row r="29" spans="2:60" ht="15" customHeight="1" x14ac:dyDescent="0.4">
      <c r="B29" s="156"/>
      <c r="C29" s="341"/>
      <c r="D29" s="364"/>
      <c r="E29" s="365"/>
      <c r="F29" s="366"/>
      <c r="G29" s="51"/>
      <c r="H29" s="359"/>
      <c r="I29" s="46"/>
      <c r="J29" s="46"/>
      <c r="K29" s="356"/>
      <c r="M29" s="14"/>
      <c r="N29" s="15"/>
      <c r="O29" s="15"/>
      <c r="P29" s="15"/>
      <c r="Y29" s="15"/>
      <c r="Z29" s="15"/>
      <c r="AB29" s="48"/>
      <c r="AC29" s="49"/>
      <c r="AD29" s="49"/>
      <c r="AE29" s="50"/>
      <c r="AF29" s="3"/>
      <c r="AG29" s="3"/>
      <c r="AH29" s="3"/>
      <c r="AI29" s="3"/>
      <c r="AJ29" s="3"/>
      <c r="AK29" s="3"/>
      <c r="AL29" s="15"/>
      <c r="AM29" s="15"/>
      <c r="AN29" s="15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</row>
    <row r="30" spans="2:60" ht="15" customHeight="1" x14ac:dyDescent="0.4">
      <c r="B30" s="157"/>
      <c r="C30" s="342"/>
      <c r="D30" s="367"/>
      <c r="E30" s="368"/>
      <c r="F30" s="369"/>
      <c r="G30" s="51"/>
      <c r="H30" s="360"/>
      <c r="I30" s="46"/>
      <c r="J30" s="46"/>
      <c r="K30" s="357"/>
      <c r="M30" s="14"/>
      <c r="N30" s="15"/>
      <c r="O30" s="15"/>
      <c r="P30" s="15"/>
      <c r="Y30" s="15"/>
      <c r="Z30" s="15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15"/>
      <c r="AM30" s="15"/>
      <c r="AN30" s="15"/>
      <c r="AO30" s="3"/>
      <c r="AP30" s="3"/>
      <c r="AQ30" s="3"/>
      <c r="AR30" s="15"/>
      <c r="AW30" s="3"/>
      <c r="AX30" s="15"/>
      <c r="AY30" s="15"/>
      <c r="AZ30" s="15"/>
      <c r="BA30" s="3"/>
      <c r="BB30" s="3"/>
      <c r="BC30" s="15"/>
      <c r="BD30" s="15"/>
      <c r="BE30" s="3"/>
      <c r="BF30" s="3"/>
      <c r="BG30" s="3"/>
      <c r="BH30" s="15"/>
    </row>
    <row r="31" spans="2:60" ht="15" customHeight="1" x14ac:dyDescent="0.4">
      <c r="B31" s="106"/>
      <c r="C31" s="340" t="s">
        <v>33</v>
      </c>
      <c r="D31" s="343" t="s">
        <v>34</v>
      </c>
      <c r="E31" s="344"/>
      <c r="F31" s="345"/>
      <c r="G31" s="45"/>
      <c r="H31" s="358">
        <v>50</v>
      </c>
      <c r="I31" s="46"/>
      <c r="J31" s="46"/>
      <c r="K31" s="355">
        <f t="shared" ref="K31" si="3">H31*$J$8</f>
        <v>14068.75</v>
      </c>
      <c r="M31" s="14"/>
      <c r="N31" s="3"/>
      <c r="O31" s="15"/>
      <c r="P31" s="15"/>
    </row>
    <row r="32" spans="2:60" ht="15" customHeight="1" x14ac:dyDescent="0.4">
      <c r="B32" s="156"/>
      <c r="C32" s="341"/>
      <c r="D32" s="346"/>
      <c r="E32" s="347"/>
      <c r="F32" s="348"/>
      <c r="G32" s="51"/>
      <c r="H32" s="359"/>
      <c r="I32" s="46"/>
      <c r="J32" s="46"/>
      <c r="K32" s="356"/>
      <c r="M32" s="14"/>
      <c r="N32" s="15"/>
      <c r="O32" s="15"/>
      <c r="P32" s="15"/>
      <c r="Z32" s="15"/>
      <c r="AA32" s="3"/>
      <c r="AB32" s="3"/>
      <c r="AC32" s="48"/>
      <c r="AD32" s="49"/>
      <c r="AE32" s="49"/>
      <c r="AF32" s="50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</row>
    <row r="33" spans="2:61" ht="15" customHeight="1" x14ac:dyDescent="0.4">
      <c r="B33" s="157"/>
      <c r="C33" s="342"/>
      <c r="D33" s="349"/>
      <c r="E33" s="350"/>
      <c r="F33" s="351"/>
      <c r="G33" s="51"/>
      <c r="H33" s="360"/>
      <c r="I33" s="46"/>
      <c r="J33" s="46"/>
      <c r="K33" s="357"/>
      <c r="M33" s="14"/>
      <c r="N33" s="15"/>
      <c r="O33" s="15"/>
      <c r="P33" s="15"/>
      <c r="Y33" s="15"/>
      <c r="Z33" s="15"/>
      <c r="AA33" s="15"/>
      <c r="AB33" s="15"/>
      <c r="AC33" s="15"/>
      <c r="AD33" s="3"/>
      <c r="AE33" s="3"/>
      <c r="AF33" s="3"/>
      <c r="AG33" s="3"/>
      <c r="AH33" s="3"/>
      <c r="AI33" s="3"/>
      <c r="AJ33" s="3"/>
      <c r="AK33" s="3"/>
      <c r="AL33" s="15"/>
      <c r="AM33" s="15"/>
      <c r="AN33" s="15"/>
      <c r="AO33" s="3"/>
      <c r="AP33" s="3"/>
      <c r="AQ33" s="3"/>
      <c r="AR33" s="15"/>
      <c r="AW33" s="3"/>
      <c r="AX33" s="15"/>
      <c r="AY33" s="15"/>
      <c r="AZ33" s="15"/>
      <c r="BA33" s="3"/>
      <c r="BB33" s="3"/>
      <c r="BC33" s="15"/>
      <c r="BD33" s="15"/>
      <c r="BE33" s="3"/>
      <c r="BF33" s="3"/>
      <c r="BG33" s="3"/>
      <c r="BH33" s="15"/>
    </row>
    <row r="34" spans="2:61" ht="15" customHeight="1" x14ac:dyDescent="0.4">
      <c r="B34" s="106"/>
      <c r="C34" s="340" t="s">
        <v>35</v>
      </c>
      <c r="D34" s="343" t="s">
        <v>36</v>
      </c>
      <c r="E34" s="344"/>
      <c r="F34" s="345"/>
      <c r="G34" s="45"/>
      <c r="H34" s="358">
        <v>20</v>
      </c>
      <c r="I34" s="46"/>
      <c r="J34" s="46"/>
      <c r="K34" s="355">
        <f t="shared" ref="K34" si="4">H34*$J$8</f>
        <v>5627.5</v>
      </c>
      <c r="M34" s="14"/>
      <c r="N34" s="3"/>
      <c r="O34" s="15"/>
      <c r="P34" s="15"/>
    </row>
    <row r="35" spans="2:61" ht="15" customHeight="1" x14ac:dyDescent="0.4">
      <c r="B35" s="156"/>
      <c r="C35" s="341"/>
      <c r="D35" s="346"/>
      <c r="E35" s="347"/>
      <c r="F35" s="348"/>
      <c r="G35" s="51"/>
      <c r="H35" s="359"/>
      <c r="I35" s="46"/>
      <c r="J35" s="46"/>
      <c r="K35" s="356"/>
      <c r="M35" s="14"/>
      <c r="N35" s="15"/>
      <c r="O35" s="15"/>
      <c r="P35" s="15"/>
      <c r="AC35" s="48"/>
      <c r="AD35" s="49"/>
      <c r="AE35" s="49"/>
      <c r="AF35" s="50"/>
      <c r="AM35" s="15"/>
      <c r="AN35" s="15"/>
      <c r="AO35" s="3"/>
      <c r="AP35" s="3"/>
      <c r="AQ35" s="3"/>
      <c r="AR35" s="3"/>
    </row>
    <row r="36" spans="2:61" ht="15" customHeight="1" x14ac:dyDescent="0.4">
      <c r="B36" s="157"/>
      <c r="C36" s="342"/>
      <c r="D36" s="349"/>
      <c r="E36" s="350"/>
      <c r="F36" s="351"/>
      <c r="G36" s="51"/>
      <c r="H36" s="360"/>
      <c r="I36" s="46"/>
      <c r="J36" s="46"/>
      <c r="K36" s="357"/>
      <c r="M36" s="14"/>
      <c r="N36" s="15"/>
      <c r="O36" s="15"/>
      <c r="P36" s="15"/>
      <c r="AM36" s="15"/>
      <c r="AN36" s="15"/>
      <c r="AO36" s="3"/>
      <c r="AP36" s="3"/>
      <c r="AQ36" s="3"/>
      <c r="AR36" s="15"/>
      <c r="AW36" s="3"/>
      <c r="AX36" s="15"/>
      <c r="AY36" s="15"/>
      <c r="AZ36" s="15"/>
      <c r="BA36" s="3"/>
      <c r="BB36" s="3"/>
      <c r="BC36" s="15"/>
      <c r="BD36" s="15"/>
      <c r="BE36" s="3"/>
      <c r="BF36" s="3"/>
      <c r="BG36" s="3"/>
      <c r="BH36" s="15"/>
    </row>
    <row r="37" spans="2:61" ht="16" customHeight="1" x14ac:dyDescent="0.4">
      <c r="B37" s="106"/>
      <c r="C37" s="340" t="s">
        <v>37</v>
      </c>
      <c r="D37" s="343" t="s">
        <v>38</v>
      </c>
      <c r="E37" s="344"/>
      <c r="F37" s="345"/>
      <c r="G37" s="45"/>
      <c r="H37" s="352"/>
      <c r="I37" s="46"/>
      <c r="J37" s="46"/>
      <c r="K37" s="355">
        <v>25000</v>
      </c>
      <c r="M37" s="14"/>
      <c r="N37" s="3"/>
      <c r="O37" s="15"/>
      <c r="P37" s="15"/>
    </row>
    <row r="38" spans="2:61" ht="16" customHeight="1" x14ac:dyDescent="0.4">
      <c r="B38" s="156"/>
      <c r="C38" s="341"/>
      <c r="D38" s="346"/>
      <c r="E38" s="347"/>
      <c r="F38" s="348"/>
      <c r="G38" s="51"/>
      <c r="H38" s="353"/>
      <c r="I38" s="46"/>
      <c r="J38" s="46"/>
      <c r="K38" s="356"/>
      <c r="M38" s="14"/>
      <c r="N38" s="15"/>
      <c r="O38" s="15"/>
      <c r="P38" s="15"/>
      <c r="Y38" s="48"/>
      <c r="Z38" s="49"/>
      <c r="AA38" s="49"/>
      <c r="AB38" s="49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3"/>
    </row>
    <row r="39" spans="2:61" ht="16" customHeight="1" x14ac:dyDescent="0.4">
      <c r="B39" s="157"/>
      <c r="C39" s="342"/>
      <c r="D39" s="349"/>
      <c r="E39" s="350"/>
      <c r="F39" s="351"/>
      <c r="G39" s="51"/>
      <c r="H39" s="354"/>
      <c r="I39" s="46"/>
      <c r="J39" s="46"/>
      <c r="K39" s="357"/>
      <c r="M39" s="14"/>
      <c r="N39" s="15"/>
      <c r="O39" s="15"/>
      <c r="P39" s="15"/>
      <c r="Y39" s="15"/>
      <c r="Z39" s="15"/>
      <c r="AA39" s="15"/>
      <c r="AB39" s="15"/>
      <c r="AC39" s="15"/>
      <c r="AD39" s="3"/>
      <c r="AE39" s="3"/>
      <c r="AF39" s="3"/>
      <c r="AG39" s="3"/>
      <c r="AH39" s="3"/>
      <c r="AI39" s="3"/>
      <c r="AJ39" s="3"/>
      <c r="AK39" s="3"/>
      <c r="AL39" s="15"/>
      <c r="AM39" s="15"/>
      <c r="AN39" s="15"/>
      <c r="AO39" s="3"/>
      <c r="AP39" s="3"/>
      <c r="AQ39" s="3"/>
      <c r="AR39" s="15"/>
      <c r="AY39" s="15"/>
      <c r="AZ39" s="15"/>
      <c r="BA39" s="3"/>
      <c r="BB39" s="3"/>
      <c r="BC39" s="15"/>
      <c r="BD39" s="15"/>
      <c r="BE39" s="3"/>
      <c r="BF39" s="3"/>
      <c r="BG39" s="3"/>
      <c r="BH39" s="15"/>
    </row>
    <row r="40" spans="2:61" ht="15" customHeight="1" x14ac:dyDescent="0.4">
      <c r="B40" s="106"/>
      <c r="C40" s="340" t="s">
        <v>39</v>
      </c>
      <c r="D40" s="343" t="s">
        <v>40</v>
      </c>
      <c r="E40" s="344"/>
      <c r="F40" s="345"/>
      <c r="G40" s="45"/>
      <c r="H40" s="358">
        <v>200</v>
      </c>
      <c r="I40" s="46"/>
      <c r="J40" s="46"/>
      <c r="K40" s="355">
        <f t="shared" ref="K40" si="5">H40*$J$8</f>
        <v>56275</v>
      </c>
      <c r="M40" s="14"/>
      <c r="N40" s="3"/>
      <c r="O40" s="15"/>
      <c r="P40" s="15"/>
      <c r="AF40" s="3"/>
      <c r="AG40" s="3"/>
      <c r="AH40" s="3"/>
      <c r="AI40" s="3"/>
      <c r="AJ40" s="3"/>
      <c r="AK40" s="3"/>
      <c r="AL40" s="15"/>
      <c r="AM40" s="15"/>
      <c r="AN40" s="15"/>
      <c r="AO40" s="3"/>
      <c r="AP40" s="3"/>
      <c r="AQ40" s="3"/>
      <c r="AR40" s="15"/>
    </row>
    <row r="41" spans="2:61" ht="15" customHeight="1" x14ac:dyDescent="0.4">
      <c r="B41" s="156"/>
      <c r="C41" s="341"/>
      <c r="D41" s="346"/>
      <c r="E41" s="347"/>
      <c r="F41" s="348"/>
      <c r="G41" s="51"/>
      <c r="H41" s="359"/>
      <c r="I41" s="46"/>
      <c r="J41" s="46"/>
      <c r="K41" s="356"/>
      <c r="M41" s="14"/>
      <c r="N41" s="15"/>
      <c r="O41" s="15"/>
      <c r="P41" s="15"/>
      <c r="Y41" s="54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3"/>
    </row>
    <row r="42" spans="2:61" ht="15" customHeight="1" x14ac:dyDescent="0.4">
      <c r="B42" s="157"/>
      <c r="C42" s="342"/>
      <c r="D42" s="349"/>
      <c r="E42" s="350"/>
      <c r="F42" s="351"/>
      <c r="G42" s="55"/>
      <c r="H42" s="360"/>
      <c r="I42" s="46"/>
      <c r="J42" s="46"/>
      <c r="K42" s="357"/>
      <c r="M42" s="14"/>
      <c r="N42" s="15"/>
      <c r="O42" s="15"/>
      <c r="P42" s="15"/>
      <c r="Y42" s="15"/>
      <c r="Z42" s="15"/>
      <c r="AA42" s="15"/>
      <c r="AB42" s="15"/>
      <c r="AC42" s="15"/>
      <c r="AD42" s="3"/>
      <c r="AE42" s="3"/>
      <c r="AF42" s="3"/>
      <c r="AG42" s="3"/>
      <c r="AH42" s="3"/>
      <c r="AI42" s="3"/>
      <c r="AJ42" s="3"/>
      <c r="AK42" s="3"/>
      <c r="AL42" s="15"/>
      <c r="AM42" s="15"/>
      <c r="AN42" s="15"/>
      <c r="AO42" s="3"/>
      <c r="AP42" s="3"/>
      <c r="AQ42" s="3"/>
      <c r="AR42" s="15"/>
      <c r="AW42" s="3"/>
      <c r="AX42" s="15"/>
      <c r="AY42" s="15"/>
      <c r="AZ42" s="15"/>
      <c r="BA42" s="3"/>
      <c r="BB42" s="3"/>
      <c r="BC42" s="15"/>
      <c r="BD42" s="15"/>
      <c r="BE42" s="3"/>
      <c r="BF42" s="3"/>
      <c r="BG42" s="3"/>
      <c r="BH42" s="15"/>
    </row>
    <row r="43" spans="2:61" ht="15" customHeight="1" x14ac:dyDescent="0.4">
      <c r="B43" s="125" t="s">
        <v>41</v>
      </c>
      <c r="C43" s="173" t="s">
        <v>42</v>
      </c>
      <c r="D43" s="174"/>
      <c r="E43" s="174"/>
      <c r="F43" s="175"/>
      <c r="G43" s="182">
        <f>I43*250</f>
        <v>310000</v>
      </c>
      <c r="H43" s="333"/>
      <c r="I43" s="336">
        <f>SUM(H46:H141)</f>
        <v>1240</v>
      </c>
      <c r="J43" s="33"/>
      <c r="K43" s="33"/>
      <c r="L43" s="339">
        <f>SUM(K46:K141)</f>
        <v>348905</v>
      </c>
      <c r="M43" s="14"/>
      <c r="N43" s="15"/>
      <c r="O43" s="15"/>
      <c r="P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</row>
    <row r="44" spans="2:61" ht="15" customHeight="1" x14ac:dyDescent="0.4">
      <c r="B44" s="126"/>
      <c r="C44" s="176"/>
      <c r="D44" s="177"/>
      <c r="E44" s="177"/>
      <c r="F44" s="178"/>
      <c r="G44" s="183"/>
      <c r="H44" s="334"/>
      <c r="I44" s="337"/>
      <c r="J44" s="33"/>
      <c r="K44" s="33"/>
      <c r="L44" s="201"/>
      <c r="M44" s="14"/>
      <c r="N44" s="15"/>
      <c r="O44" s="15"/>
      <c r="P44" s="15"/>
      <c r="Y44" s="56"/>
      <c r="Z44" s="57"/>
      <c r="AA44" s="57"/>
      <c r="AB44" s="57"/>
      <c r="AC44" s="57"/>
      <c r="AD44" s="57"/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7"/>
      <c r="AP44" s="57"/>
      <c r="AQ44" s="57"/>
      <c r="AR44" s="58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</row>
    <row r="45" spans="2:61" ht="15" customHeight="1" x14ac:dyDescent="0.4">
      <c r="B45" s="127"/>
      <c r="C45" s="179"/>
      <c r="D45" s="180"/>
      <c r="E45" s="180"/>
      <c r="F45" s="181"/>
      <c r="G45" s="332"/>
      <c r="H45" s="335"/>
      <c r="I45" s="338"/>
      <c r="J45" s="33"/>
      <c r="K45" s="33"/>
      <c r="L45" s="202"/>
      <c r="M45" s="14"/>
      <c r="N45" s="15"/>
      <c r="O45" s="15"/>
      <c r="P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</row>
    <row r="46" spans="2:61" ht="15" customHeight="1" x14ac:dyDescent="0.4">
      <c r="B46" s="106"/>
      <c r="C46" s="109" t="s">
        <v>25</v>
      </c>
      <c r="D46" s="187" t="s">
        <v>43</v>
      </c>
      <c r="E46" s="188"/>
      <c r="F46" s="189"/>
      <c r="G46" s="51"/>
      <c r="H46" s="253">
        <v>130</v>
      </c>
      <c r="J46" s="33"/>
      <c r="K46" s="316">
        <f>H46*$J$8</f>
        <v>36578.75</v>
      </c>
      <c r="M46" s="14"/>
      <c r="N46" s="3"/>
      <c r="O46" s="15"/>
      <c r="P46" s="15"/>
      <c r="Y46" s="15"/>
      <c r="Z46" s="15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15"/>
      <c r="AM46" s="15"/>
      <c r="AN46" s="15"/>
      <c r="AO46" s="3"/>
      <c r="AP46" s="3"/>
      <c r="AQ46" s="3"/>
      <c r="AR46" s="3"/>
      <c r="AW46" s="3"/>
      <c r="AX46" s="15"/>
      <c r="AY46" s="15"/>
      <c r="AZ46" s="15"/>
      <c r="BA46" s="3"/>
      <c r="BB46" s="3"/>
      <c r="BC46" s="15"/>
      <c r="BD46" s="15"/>
      <c r="BE46" s="3"/>
      <c r="BF46" s="3"/>
      <c r="BG46" s="3"/>
      <c r="BH46" s="3"/>
    </row>
    <row r="47" spans="2:61" ht="15" customHeight="1" x14ac:dyDescent="0.4">
      <c r="B47" s="156"/>
      <c r="C47" s="153"/>
      <c r="D47" s="190"/>
      <c r="E47" s="191"/>
      <c r="F47" s="192"/>
      <c r="G47" s="51"/>
      <c r="H47" s="253"/>
      <c r="J47" s="33"/>
      <c r="K47" s="316"/>
      <c r="M47" s="14"/>
      <c r="N47" s="15"/>
      <c r="O47" s="15"/>
      <c r="P47" s="15"/>
      <c r="Y47" s="59"/>
      <c r="Z47" s="60"/>
      <c r="AA47" s="60"/>
      <c r="AB47" s="61"/>
    </row>
    <row r="48" spans="2:61" ht="15" customHeight="1" x14ac:dyDescent="0.4">
      <c r="B48" s="157"/>
      <c r="C48" s="154"/>
      <c r="D48" s="193"/>
      <c r="E48" s="194"/>
      <c r="F48" s="195"/>
      <c r="G48" s="51"/>
      <c r="H48" s="253"/>
      <c r="J48" s="33"/>
      <c r="K48" s="316"/>
      <c r="M48" s="14"/>
      <c r="N48" s="15"/>
      <c r="O48" s="15"/>
      <c r="P48" s="15"/>
      <c r="Y48" s="15"/>
      <c r="Z48" s="15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15"/>
      <c r="AM48" s="15"/>
      <c r="AN48" s="15"/>
      <c r="AO48" s="3"/>
      <c r="AP48" s="3"/>
      <c r="AQ48" s="3"/>
      <c r="AR48" s="15"/>
      <c r="AW48" s="3"/>
      <c r="AX48" s="15"/>
      <c r="AY48" s="15"/>
      <c r="AZ48" s="15"/>
      <c r="BA48" s="3"/>
      <c r="BB48" s="3"/>
      <c r="BC48" s="15"/>
      <c r="BD48" s="15"/>
      <c r="BE48" s="3"/>
      <c r="BF48" s="3"/>
      <c r="BG48" s="3"/>
      <c r="BH48" s="15"/>
    </row>
    <row r="49" spans="2:60" ht="15" customHeight="1" x14ac:dyDescent="0.4">
      <c r="B49" s="106"/>
      <c r="C49" s="109" t="s">
        <v>27</v>
      </c>
      <c r="D49" s="187" t="s">
        <v>44</v>
      </c>
      <c r="E49" s="188"/>
      <c r="F49" s="189"/>
      <c r="G49" s="45"/>
      <c r="H49" s="253">
        <v>70</v>
      </c>
      <c r="J49" s="33"/>
      <c r="K49" s="316">
        <f>H49*$J$8</f>
        <v>19696.25</v>
      </c>
      <c r="M49" s="14"/>
      <c r="N49" s="3"/>
      <c r="O49" s="15"/>
      <c r="P49" s="15"/>
      <c r="Y49" s="15"/>
      <c r="Z49" s="15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15"/>
      <c r="AM49" s="15"/>
      <c r="AN49" s="15"/>
      <c r="AO49" s="3"/>
      <c r="AP49" s="3"/>
      <c r="AQ49" s="3"/>
      <c r="AR49" s="3"/>
      <c r="AW49" s="3"/>
      <c r="AX49" s="15"/>
      <c r="AY49" s="15"/>
      <c r="AZ49" s="15"/>
      <c r="BA49" s="3"/>
      <c r="BB49" s="3"/>
      <c r="BC49" s="15"/>
      <c r="BD49" s="15"/>
      <c r="BE49" s="3"/>
      <c r="BF49" s="3"/>
      <c r="BG49" s="3"/>
      <c r="BH49" s="3"/>
    </row>
    <row r="50" spans="2:60" ht="15" customHeight="1" x14ac:dyDescent="0.4">
      <c r="B50" s="156"/>
      <c r="C50" s="153"/>
      <c r="D50" s="190"/>
      <c r="E50" s="191"/>
      <c r="F50" s="192"/>
      <c r="G50" s="51"/>
      <c r="H50" s="253"/>
      <c r="J50" s="33"/>
      <c r="K50" s="316"/>
      <c r="M50" s="14"/>
      <c r="N50" s="15"/>
      <c r="O50" s="15"/>
      <c r="P50" s="15"/>
      <c r="Y50" s="59"/>
      <c r="Z50" s="60"/>
      <c r="AA50" s="60"/>
      <c r="AB50" s="61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</row>
    <row r="51" spans="2:60" ht="15" customHeight="1" x14ac:dyDescent="0.4">
      <c r="B51" s="157"/>
      <c r="C51" s="154"/>
      <c r="D51" s="193"/>
      <c r="E51" s="194"/>
      <c r="F51" s="195"/>
      <c r="G51" s="51"/>
      <c r="H51" s="253"/>
      <c r="J51" s="33"/>
      <c r="K51" s="316"/>
      <c r="M51" s="14"/>
      <c r="N51" s="15"/>
      <c r="O51" s="15"/>
      <c r="P51" s="15"/>
      <c r="Y51" s="15"/>
      <c r="AG51" s="15"/>
      <c r="AH51" s="15"/>
      <c r="AI51" s="15"/>
      <c r="AJ51" s="15"/>
      <c r="AK51" s="3"/>
      <c r="AL51" s="3"/>
      <c r="AM51" s="3"/>
      <c r="AN51" s="3"/>
      <c r="AO51" s="3"/>
      <c r="AP51" s="3"/>
      <c r="AQ51" s="3"/>
      <c r="AR51" s="3"/>
      <c r="AS51" s="15"/>
      <c r="AT51" s="15"/>
      <c r="AU51" s="15"/>
      <c r="AV51" s="3"/>
      <c r="AW51" s="3"/>
      <c r="AX51" s="3"/>
      <c r="AY51" s="15"/>
      <c r="AZ51" s="15"/>
      <c r="BA51" s="3"/>
      <c r="BB51" s="3"/>
      <c r="BC51" s="15"/>
      <c r="BD51" s="15"/>
      <c r="BE51" s="3"/>
      <c r="BF51" s="3"/>
      <c r="BG51" s="3"/>
      <c r="BH51" s="15"/>
    </row>
    <row r="52" spans="2:60" ht="15" customHeight="1" x14ac:dyDescent="0.4">
      <c r="B52" s="106"/>
      <c r="C52" s="109" t="s">
        <v>29</v>
      </c>
      <c r="D52" s="187" t="s">
        <v>45</v>
      </c>
      <c r="E52" s="188"/>
      <c r="F52" s="189"/>
      <c r="G52" s="45"/>
      <c r="H52" s="253">
        <v>70</v>
      </c>
      <c r="J52" s="33"/>
      <c r="K52" s="316">
        <f>H52*$J$8</f>
        <v>19696.25</v>
      </c>
      <c r="M52" s="14"/>
      <c r="N52" s="3"/>
      <c r="O52" s="15"/>
      <c r="P52" s="15"/>
      <c r="Y52" s="15"/>
      <c r="AG52" s="15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15"/>
      <c r="AT52" s="15"/>
      <c r="AU52" s="15"/>
      <c r="AV52" s="3"/>
      <c r="AW52" s="3"/>
      <c r="AX52" s="3"/>
      <c r="AY52" s="3"/>
      <c r="AZ52" s="15"/>
      <c r="BA52" s="3"/>
      <c r="BB52" s="3"/>
      <c r="BC52" s="15"/>
      <c r="BD52" s="15"/>
      <c r="BE52" s="3"/>
      <c r="BF52" s="3"/>
      <c r="BG52" s="3"/>
      <c r="BH52" s="3"/>
    </row>
    <row r="53" spans="2:60" ht="15" customHeight="1" x14ac:dyDescent="0.4">
      <c r="B53" s="156"/>
      <c r="C53" s="110"/>
      <c r="D53" s="190"/>
      <c r="E53" s="191"/>
      <c r="F53" s="192"/>
      <c r="G53" s="51"/>
      <c r="H53" s="253"/>
      <c r="J53" s="33"/>
      <c r="K53" s="316"/>
      <c r="M53" s="14"/>
      <c r="N53" s="15"/>
      <c r="O53" s="15"/>
      <c r="P53" s="15"/>
      <c r="Y53" s="15"/>
      <c r="AC53" s="59"/>
      <c r="AD53" s="60"/>
      <c r="AE53" s="60"/>
      <c r="AF53" s="61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</row>
    <row r="54" spans="2:60" ht="15" customHeight="1" x14ac:dyDescent="0.4">
      <c r="B54" s="157"/>
      <c r="C54" s="111"/>
      <c r="D54" s="193"/>
      <c r="E54" s="194"/>
      <c r="F54" s="195"/>
      <c r="G54" s="51"/>
      <c r="H54" s="253"/>
      <c r="J54" s="33"/>
      <c r="K54" s="316"/>
      <c r="M54" s="14"/>
      <c r="N54" s="15"/>
      <c r="O54" s="15"/>
      <c r="P54" s="15"/>
      <c r="Y54" s="15"/>
      <c r="AG54" s="15"/>
      <c r="AH54" s="15"/>
      <c r="AI54" s="15"/>
      <c r="AJ54" s="15"/>
      <c r="AK54" s="3"/>
      <c r="AL54" s="3"/>
      <c r="AM54" s="3"/>
      <c r="AN54" s="3"/>
      <c r="AO54" s="3"/>
      <c r="AP54" s="3"/>
      <c r="AQ54" s="3"/>
      <c r="AR54" s="3"/>
      <c r="AS54" s="15"/>
      <c r="AT54" s="15"/>
      <c r="AU54" s="15"/>
      <c r="AV54" s="3"/>
      <c r="AW54" s="3"/>
      <c r="AX54" s="3"/>
      <c r="AY54" s="15"/>
      <c r="AZ54" s="15"/>
      <c r="BA54" s="3"/>
      <c r="BB54" s="3"/>
      <c r="BC54" s="15"/>
      <c r="BD54" s="15"/>
      <c r="BE54" s="3"/>
      <c r="BF54" s="3"/>
      <c r="BG54" s="3"/>
      <c r="BH54" s="15"/>
    </row>
    <row r="55" spans="2:60" ht="15" customHeight="1" x14ac:dyDescent="0.4">
      <c r="B55" s="106"/>
      <c r="C55" s="109" t="s">
        <v>31</v>
      </c>
      <c r="D55" s="307" t="s">
        <v>46</v>
      </c>
      <c r="E55" s="308"/>
      <c r="F55" s="309"/>
      <c r="G55" s="45"/>
      <c r="H55" s="253">
        <v>30</v>
      </c>
      <c r="J55" s="33"/>
      <c r="K55" s="316">
        <f>H55*$J$8</f>
        <v>8441.25</v>
      </c>
      <c r="M55" s="14"/>
      <c r="N55" s="3"/>
      <c r="O55" s="15"/>
      <c r="P55" s="15"/>
      <c r="Y55" s="15"/>
      <c r="AG55" s="15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15"/>
      <c r="AT55" s="15"/>
      <c r="AU55" s="15"/>
      <c r="AV55" s="3"/>
      <c r="AW55" s="3"/>
      <c r="AX55" s="3"/>
      <c r="AY55" s="3"/>
      <c r="AZ55" s="15"/>
      <c r="BA55" s="3"/>
      <c r="BB55" s="3"/>
      <c r="BC55" s="15"/>
      <c r="BD55" s="15"/>
      <c r="BE55" s="3"/>
      <c r="BF55" s="3"/>
      <c r="BG55" s="3"/>
      <c r="BH55" s="3"/>
    </row>
    <row r="56" spans="2:60" ht="15" customHeight="1" x14ac:dyDescent="0.4">
      <c r="B56" s="156"/>
      <c r="C56" s="110"/>
      <c r="D56" s="310"/>
      <c r="E56" s="311"/>
      <c r="F56" s="312"/>
      <c r="G56" s="51"/>
      <c r="H56" s="253"/>
      <c r="J56" s="33"/>
      <c r="K56" s="316"/>
      <c r="M56" s="14"/>
      <c r="N56" s="15"/>
      <c r="O56" s="15"/>
      <c r="P56" s="15"/>
      <c r="Y56" s="15"/>
      <c r="AC56" s="59"/>
      <c r="AD56" s="60"/>
      <c r="AE56" s="60"/>
      <c r="AF56" s="61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</row>
    <row r="57" spans="2:60" ht="15" customHeight="1" x14ac:dyDescent="0.4">
      <c r="B57" s="157"/>
      <c r="C57" s="111"/>
      <c r="D57" s="313"/>
      <c r="E57" s="314"/>
      <c r="F57" s="315"/>
      <c r="G57" s="51"/>
      <c r="H57" s="253"/>
      <c r="J57" s="33"/>
      <c r="K57" s="316"/>
      <c r="M57" s="14"/>
      <c r="N57" s="15"/>
      <c r="O57" s="15"/>
      <c r="P57" s="15"/>
      <c r="Y57" s="15"/>
      <c r="Z57" s="15"/>
      <c r="AA57" s="15"/>
      <c r="AB57" s="15"/>
      <c r="AC57" s="15"/>
      <c r="AD57" s="3"/>
      <c r="AE57" s="3"/>
      <c r="AF57" s="3"/>
      <c r="AG57" s="3"/>
      <c r="AH57" s="3"/>
      <c r="AI57" s="3"/>
      <c r="AJ57" s="3"/>
      <c r="AK57" s="3"/>
      <c r="AL57" s="15"/>
      <c r="AM57" s="15"/>
      <c r="AN57" s="15"/>
      <c r="AO57" s="3"/>
      <c r="AP57" s="3"/>
      <c r="AQ57" s="3"/>
      <c r="AR57" s="15"/>
      <c r="AW57" s="3"/>
      <c r="AX57" s="15"/>
      <c r="AY57" s="15"/>
      <c r="AZ57" s="15"/>
      <c r="BA57" s="3"/>
      <c r="BB57" s="3"/>
      <c r="BC57" s="15"/>
      <c r="BD57" s="15"/>
      <c r="BE57" s="3"/>
      <c r="BF57" s="3"/>
      <c r="BG57" s="3"/>
      <c r="BH57" s="15"/>
    </row>
    <row r="58" spans="2:60" ht="15" customHeight="1" x14ac:dyDescent="0.4">
      <c r="B58" s="106"/>
      <c r="C58" s="109" t="s">
        <v>33</v>
      </c>
      <c r="D58" s="187" t="s">
        <v>47</v>
      </c>
      <c r="E58" s="188"/>
      <c r="F58" s="189"/>
      <c r="G58" s="45"/>
      <c r="H58" s="253">
        <v>60</v>
      </c>
      <c r="J58" s="33"/>
      <c r="K58" s="316">
        <f>H58*$J$8</f>
        <v>16882.5</v>
      </c>
      <c r="M58" s="14"/>
      <c r="N58" s="3"/>
      <c r="O58" s="15"/>
      <c r="P58" s="15"/>
      <c r="Y58" s="15"/>
      <c r="Z58" s="15"/>
      <c r="AA58" s="3"/>
      <c r="AB58" s="3"/>
      <c r="AC58" s="3"/>
      <c r="AD58" s="3"/>
      <c r="AE58" s="3"/>
      <c r="AJ58" s="3"/>
      <c r="AK58" s="3"/>
      <c r="AL58" s="3"/>
      <c r="AM58" s="3"/>
      <c r="AN58" s="3"/>
      <c r="AO58" s="3"/>
      <c r="AP58" s="3"/>
      <c r="AQ58" s="3"/>
      <c r="AR58" s="3"/>
      <c r="AW58" s="3"/>
      <c r="AX58" s="15"/>
      <c r="AY58" s="15"/>
      <c r="AZ58" s="15"/>
      <c r="BA58" s="3"/>
      <c r="BB58" s="3"/>
      <c r="BC58" s="15"/>
      <c r="BD58" s="15"/>
      <c r="BE58" s="3"/>
      <c r="BF58" s="3"/>
      <c r="BG58" s="3"/>
      <c r="BH58" s="3"/>
    </row>
    <row r="59" spans="2:60" ht="15" customHeight="1" x14ac:dyDescent="0.4">
      <c r="B59" s="156"/>
      <c r="C59" s="110"/>
      <c r="D59" s="190"/>
      <c r="E59" s="191"/>
      <c r="F59" s="192"/>
      <c r="G59" s="51"/>
      <c r="H59" s="253"/>
      <c r="J59" s="33"/>
      <c r="K59" s="316"/>
      <c r="M59" s="14"/>
      <c r="N59" s="15"/>
      <c r="O59" s="15"/>
      <c r="P59" s="15"/>
      <c r="Y59" s="15"/>
      <c r="Z59" s="15"/>
      <c r="AA59" s="15"/>
      <c r="AB59" s="15"/>
      <c r="AC59" s="15"/>
      <c r="AD59" s="15"/>
      <c r="AE59" s="15"/>
      <c r="AF59" s="59"/>
      <c r="AG59" s="60"/>
      <c r="AH59" s="60"/>
      <c r="AI59" s="61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BC59" s="15"/>
      <c r="BD59" s="15"/>
      <c r="BE59" s="3"/>
      <c r="BF59" s="3"/>
      <c r="BG59" s="3"/>
      <c r="BH59" s="3"/>
    </row>
    <row r="60" spans="2:60" ht="15" customHeight="1" x14ac:dyDescent="0.4">
      <c r="B60" s="157"/>
      <c r="C60" s="111"/>
      <c r="D60" s="193"/>
      <c r="E60" s="194"/>
      <c r="F60" s="195"/>
      <c r="G60" s="51"/>
      <c r="H60" s="253"/>
      <c r="J60" s="33"/>
      <c r="K60" s="316"/>
      <c r="M60" s="14"/>
      <c r="N60" s="15"/>
      <c r="O60" s="15"/>
      <c r="P60" s="15"/>
      <c r="Y60" s="15"/>
      <c r="Z60" s="15"/>
      <c r="AA60" s="15"/>
      <c r="AB60" s="15"/>
      <c r="AC60" s="15"/>
      <c r="AD60" s="3"/>
      <c r="AE60" s="3"/>
      <c r="AF60" s="3"/>
      <c r="AG60" s="3"/>
      <c r="AH60" s="3"/>
      <c r="AI60" s="3"/>
      <c r="AJ60" s="3"/>
      <c r="AK60" s="3"/>
      <c r="AL60" s="15"/>
      <c r="AM60" s="15"/>
      <c r="AN60" s="15"/>
      <c r="AO60" s="3"/>
      <c r="AP60" s="3"/>
      <c r="AQ60" s="3"/>
      <c r="AR60" s="15"/>
      <c r="AW60" s="3"/>
      <c r="AX60" s="15"/>
      <c r="AY60" s="15"/>
      <c r="AZ60" s="15"/>
      <c r="BA60" s="3"/>
      <c r="BB60" s="3"/>
      <c r="BC60" s="15"/>
      <c r="BD60" s="15"/>
      <c r="BE60" s="3"/>
      <c r="BF60" s="3"/>
      <c r="BG60" s="3"/>
      <c r="BH60" s="15"/>
    </row>
    <row r="61" spans="2:60" ht="14.15" customHeight="1" x14ac:dyDescent="0.4">
      <c r="B61" s="106"/>
      <c r="C61" s="109" t="s">
        <v>35</v>
      </c>
      <c r="D61" s="323" t="s">
        <v>48</v>
      </c>
      <c r="E61" s="324"/>
      <c r="F61" s="325"/>
      <c r="G61" s="45"/>
      <c r="H61" s="253">
        <v>50</v>
      </c>
      <c r="J61" s="33"/>
      <c r="K61" s="316">
        <f>H61*$J$8</f>
        <v>14068.75</v>
      </c>
      <c r="M61" s="14"/>
      <c r="N61" s="3"/>
      <c r="O61" s="15"/>
      <c r="P61" s="15"/>
      <c r="Y61" s="15"/>
      <c r="Z61" s="15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15"/>
      <c r="AM61" s="15"/>
      <c r="AN61" s="15"/>
      <c r="AO61" s="3"/>
      <c r="AP61" s="3"/>
      <c r="AQ61" s="3"/>
      <c r="AR61" s="3"/>
      <c r="AW61" s="3"/>
      <c r="AX61" s="15"/>
      <c r="AY61" s="15"/>
      <c r="AZ61" s="15"/>
      <c r="BA61" s="3"/>
      <c r="BB61" s="3"/>
      <c r="BC61" s="15"/>
      <c r="BD61" s="15"/>
      <c r="BE61" s="3"/>
      <c r="BF61" s="3"/>
      <c r="BG61" s="3"/>
      <c r="BH61" s="3"/>
    </row>
    <row r="62" spans="2:60" ht="14.15" customHeight="1" x14ac:dyDescent="0.4">
      <c r="B62" s="156"/>
      <c r="C62" s="110"/>
      <c r="D62" s="326"/>
      <c r="E62" s="327"/>
      <c r="F62" s="328"/>
      <c r="G62" s="51"/>
      <c r="H62" s="253"/>
      <c r="J62" s="33"/>
      <c r="K62" s="316"/>
      <c r="M62" s="14"/>
      <c r="N62" s="15"/>
      <c r="O62" s="15"/>
      <c r="P62" s="15"/>
      <c r="Y62" s="15"/>
      <c r="AG62" s="59"/>
      <c r="AH62" s="60"/>
      <c r="AI62" s="60"/>
      <c r="AJ62" s="61"/>
      <c r="BC62" s="3"/>
      <c r="BD62" s="3"/>
      <c r="BE62" s="3"/>
      <c r="BF62" s="3"/>
      <c r="BG62" s="3"/>
      <c r="BH62" s="3"/>
    </row>
    <row r="63" spans="2:60" ht="21.75" customHeight="1" x14ac:dyDescent="0.4">
      <c r="B63" s="157"/>
      <c r="C63" s="111"/>
      <c r="D63" s="329"/>
      <c r="E63" s="330"/>
      <c r="F63" s="331"/>
      <c r="G63" s="51"/>
      <c r="H63" s="253"/>
      <c r="J63" s="33"/>
      <c r="K63" s="316"/>
      <c r="M63" s="14"/>
      <c r="N63" s="15"/>
      <c r="O63" s="15"/>
      <c r="P63" s="15"/>
      <c r="Y63" s="15"/>
      <c r="Z63" s="15"/>
      <c r="AA63" s="15"/>
      <c r="AB63" s="15"/>
      <c r="AC63" s="15"/>
      <c r="AD63" s="3"/>
      <c r="AE63" s="3"/>
      <c r="AF63" s="3"/>
      <c r="AG63" s="3"/>
      <c r="AH63" s="3"/>
      <c r="AI63" s="3"/>
      <c r="AJ63" s="3"/>
      <c r="AK63" s="3"/>
      <c r="AL63" s="15"/>
      <c r="AM63" s="15"/>
      <c r="AN63" s="15"/>
      <c r="AO63" s="3"/>
      <c r="AP63" s="3"/>
      <c r="AQ63" s="3"/>
      <c r="AR63" s="15"/>
      <c r="AW63" s="3"/>
      <c r="AX63" s="15"/>
      <c r="AY63" s="15"/>
      <c r="AZ63" s="15"/>
      <c r="BA63" s="3"/>
      <c r="BB63" s="3"/>
      <c r="BC63" s="15"/>
      <c r="BD63" s="15"/>
      <c r="BE63" s="3"/>
      <c r="BF63" s="3"/>
      <c r="BG63" s="3"/>
      <c r="BH63" s="15"/>
    </row>
    <row r="64" spans="2:60" ht="14.15" customHeight="1" x14ac:dyDescent="0.4">
      <c r="B64" s="106"/>
      <c r="C64" s="109" t="s">
        <v>37</v>
      </c>
      <c r="D64" s="323" t="s">
        <v>49</v>
      </c>
      <c r="E64" s="324"/>
      <c r="F64" s="325"/>
      <c r="G64" s="45"/>
      <c r="H64" s="253">
        <v>50</v>
      </c>
      <c r="J64" s="33"/>
      <c r="K64" s="316">
        <f>H64*$J$8</f>
        <v>14068.75</v>
      </c>
      <c r="M64" s="14"/>
      <c r="N64" s="3"/>
      <c r="O64" s="15"/>
      <c r="P64" s="15"/>
      <c r="Y64" s="15"/>
      <c r="Z64" s="15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15"/>
      <c r="AM64" s="15"/>
      <c r="AN64" s="15"/>
      <c r="AO64" s="3"/>
      <c r="AP64" s="3"/>
      <c r="AQ64" s="3"/>
      <c r="AR64" s="3"/>
      <c r="AW64" s="3"/>
      <c r="AX64" s="15"/>
      <c r="AY64" s="15"/>
      <c r="AZ64" s="15"/>
      <c r="BA64" s="3"/>
      <c r="BB64" s="3"/>
      <c r="BC64" s="15"/>
      <c r="BD64" s="15"/>
      <c r="BE64" s="3"/>
      <c r="BF64" s="3"/>
      <c r="BG64" s="3"/>
      <c r="BH64" s="3"/>
    </row>
    <row r="65" spans="2:60" ht="14.15" customHeight="1" x14ac:dyDescent="0.4">
      <c r="B65" s="156"/>
      <c r="C65" s="110"/>
      <c r="D65" s="326"/>
      <c r="E65" s="327"/>
      <c r="F65" s="328"/>
      <c r="G65" s="51"/>
      <c r="H65" s="253"/>
      <c r="J65" s="33"/>
      <c r="K65" s="316"/>
      <c r="M65" s="14"/>
      <c r="N65" s="15"/>
      <c r="O65" s="15"/>
      <c r="P65" s="15"/>
      <c r="Y65" s="15"/>
      <c r="Z65" s="15"/>
      <c r="AA65" s="15"/>
      <c r="AB65" s="15"/>
      <c r="AC65" s="15"/>
      <c r="AD65" s="15"/>
      <c r="AE65" s="15"/>
      <c r="AF65" s="15"/>
      <c r="AG65" s="59"/>
      <c r="AH65" s="60"/>
      <c r="AI65" s="60"/>
      <c r="AJ65" s="61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3"/>
      <c r="BF65" s="3"/>
      <c r="BG65" s="3"/>
      <c r="BH65" s="3"/>
    </row>
    <row r="66" spans="2:60" ht="14.15" customHeight="1" x14ac:dyDescent="0.4">
      <c r="B66" s="157"/>
      <c r="C66" s="111"/>
      <c r="D66" s="329"/>
      <c r="E66" s="330"/>
      <c r="F66" s="331"/>
      <c r="G66" s="51"/>
      <c r="H66" s="253"/>
      <c r="J66" s="33"/>
      <c r="K66" s="316"/>
      <c r="M66" s="14"/>
      <c r="N66" s="15"/>
      <c r="O66" s="15"/>
      <c r="P66" s="15"/>
      <c r="Y66" s="15"/>
      <c r="Z66" s="15"/>
      <c r="AA66" s="15"/>
      <c r="AB66" s="15"/>
      <c r="AC66" s="15"/>
      <c r="AD66" s="3"/>
      <c r="AE66" s="3"/>
      <c r="AF66" s="3"/>
      <c r="AG66" s="3"/>
      <c r="AH66" s="3"/>
      <c r="AI66" s="3"/>
      <c r="AJ66" s="3"/>
      <c r="AK66" s="3"/>
      <c r="AL66" s="15"/>
      <c r="AM66" s="15"/>
      <c r="AN66" s="15"/>
      <c r="AO66" s="3"/>
      <c r="AP66" s="3"/>
      <c r="AQ66" s="3"/>
      <c r="AR66" s="15"/>
      <c r="AW66" s="3"/>
      <c r="AX66" s="15"/>
      <c r="AY66" s="15"/>
      <c r="AZ66" s="15"/>
      <c r="BA66" s="3"/>
      <c r="BB66" s="3"/>
      <c r="BC66" s="15"/>
      <c r="BD66" s="15"/>
      <c r="BE66" s="3"/>
      <c r="BF66" s="3"/>
      <c r="BG66" s="3"/>
      <c r="BH66" s="15"/>
    </row>
    <row r="67" spans="2:60" ht="14.15" customHeight="1" x14ac:dyDescent="0.4">
      <c r="B67" s="106"/>
      <c r="C67" s="109" t="s">
        <v>39</v>
      </c>
      <c r="D67" s="323" t="s">
        <v>50</v>
      </c>
      <c r="E67" s="324"/>
      <c r="F67" s="325"/>
      <c r="G67" s="45"/>
      <c r="H67" s="253">
        <v>60</v>
      </c>
      <c r="J67" s="33"/>
      <c r="K67" s="316">
        <f>H67*$J$8</f>
        <v>16882.5</v>
      </c>
      <c r="M67" s="14"/>
      <c r="N67" s="3"/>
      <c r="O67" s="15"/>
      <c r="P67" s="15"/>
      <c r="Y67" s="15"/>
      <c r="Z67" s="15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15"/>
      <c r="AM67" s="15"/>
      <c r="AN67" s="15"/>
      <c r="AO67" s="3"/>
      <c r="AP67" s="3"/>
      <c r="AQ67" s="3"/>
      <c r="AR67" s="3"/>
      <c r="AW67" s="3"/>
      <c r="AX67" s="15"/>
      <c r="AY67" s="15"/>
      <c r="AZ67" s="15"/>
      <c r="BA67" s="3"/>
      <c r="BB67" s="3"/>
      <c r="BC67" s="15"/>
      <c r="BD67" s="15"/>
      <c r="BE67" s="3"/>
      <c r="BF67" s="3"/>
      <c r="BG67" s="3"/>
      <c r="BH67" s="3"/>
    </row>
    <row r="68" spans="2:60" ht="14.15" customHeight="1" x14ac:dyDescent="0.4">
      <c r="B68" s="156"/>
      <c r="C68" s="110"/>
      <c r="D68" s="326"/>
      <c r="E68" s="327"/>
      <c r="F68" s="328"/>
      <c r="G68" s="51"/>
      <c r="H68" s="253"/>
      <c r="J68" s="33"/>
      <c r="K68" s="316"/>
      <c r="M68" s="14"/>
      <c r="N68" s="15"/>
      <c r="O68" s="15"/>
      <c r="P68" s="15"/>
      <c r="Y68" s="15"/>
      <c r="Z68" s="15"/>
      <c r="AA68" s="15"/>
      <c r="AB68" s="15"/>
      <c r="AC68" s="15"/>
      <c r="AD68" s="15"/>
      <c r="AE68" s="15"/>
      <c r="AF68" s="15"/>
      <c r="AG68" s="59"/>
      <c r="AH68" s="60"/>
      <c r="AI68" s="60"/>
      <c r="AJ68" s="61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3"/>
      <c r="BG68" s="3"/>
      <c r="BH68" s="3"/>
    </row>
    <row r="69" spans="2:60" ht="14.15" customHeight="1" x14ac:dyDescent="0.4">
      <c r="B69" s="157"/>
      <c r="C69" s="111"/>
      <c r="D69" s="329"/>
      <c r="E69" s="330"/>
      <c r="F69" s="331"/>
      <c r="G69" s="51"/>
      <c r="H69" s="253"/>
      <c r="J69" s="33"/>
      <c r="K69" s="316"/>
      <c r="M69" s="14"/>
      <c r="N69" s="15"/>
      <c r="O69" s="15"/>
      <c r="P69" s="15"/>
      <c r="Y69" s="15"/>
      <c r="Z69" s="15"/>
      <c r="AA69" s="15"/>
      <c r="AB69" s="15"/>
      <c r="AC69" s="15"/>
      <c r="AD69" s="3"/>
      <c r="AE69" s="3"/>
      <c r="AF69" s="3"/>
      <c r="AG69" s="3"/>
      <c r="AH69" s="3"/>
      <c r="AI69" s="3"/>
      <c r="AJ69" s="3"/>
      <c r="AK69" s="3"/>
      <c r="AL69" s="15"/>
      <c r="AM69" s="15"/>
      <c r="AN69" s="15"/>
      <c r="AO69" s="3"/>
      <c r="AP69" s="3"/>
      <c r="AQ69" s="3"/>
      <c r="AR69" s="15"/>
      <c r="AW69" s="3"/>
      <c r="AX69" s="15"/>
      <c r="AY69" s="15"/>
      <c r="AZ69" s="15"/>
      <c r="BA69" s="3"/>
      <c r="BB69" s="3"/>
      <c r="BC69" s="15"/>
      <c r="BD69" s="15"/>
      <c r="BE69" s="3"/>
      <c r="BF69" s="3"/>
      <c r="BG69" s="3"/>
      <c r="BH69" s="15"/>
    </row>
    <row r="70" spans="2:60" ht="14.15" customHeight="1" x14ac:dyDescent="0.4">
      <c r="B70" s="106"/>
      <c r="C70" s="109" t="s">
        <v>51</v>
      </c>
      <c r="D70" s="323" t="s">
        <v>52</v>
      </c>
      <c r="E70" s="324"/>
      <c r="F70" s="325"/>
      <c r="G70" s="45"/>
      <c r="H70" s="253">
        <v>30</v>
      </c>
      <c r="J70" s="33"/>
      <c r="K70" s="316">
        <f>H70*$J$8</f>
        <v>8441.25</v>
      </c>
      <c r="M70" s="14"/>
      <c r="N70" s="3"/>
      <c r="O70" s="15"/>
      <c r="P70" s="15"/>
      <c r="Y70" s="15"/>
      <c r="Z70" s="15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15"/>
      <c r="AM70" s="15"/>
      <c r="AN70" s="15"/>
      <c r="AO70" s="3"/>
      <c r="AP70" s="3"/>
      <c r="AQ70" s="3"/>
      <c r="AR70" s="3"/>
      <c r="AW70" s="3"/>
      <c r="AX70" s="15"/>
      <c r="AY70" s="15"/>
      <c r="AZ70" s="15"/>
      <c r="BA70" s="3"/>
      <c r="BB70" s="3"/>
      <c r="BC70" s="15"/>
      <c r="BD70" s="15"/>
      <c r="BE70" s="3"/>
      <c r="BF70" s="3"/>
      <c r="BG70" s="3"/>
      <c r="BH70" s="3"/>
    </row>
    <row r="71" spans="2:60" ht="14.15" customHeight="1" x14ac:dyDescent="0.4">
      <c r="B71" s="156"/>
      <c r="C71" s="110"/>
      <c r="D71" s="326"/>
      <c r="E71" s="327"/>
      <c r="F71" s="328"/>
      <c r="G71" s="51"/>
      <c r="H71" s="253"/>
      <c r="J71" s="33"/>
      <c r="K71" s="316"/>
      <c r="M71" s="14"/>
      <c r="N71" s="15"/>
      <c r="O71" s="15"/>
      <c r="P71" s="15"/>
      <c r="Y71" s="15"/>
      <c r="Z71" s="15"/>
      <c r="AA71" s="15"/>
      <c r="AB71" s="15"/>
      <c r="AC71" s="15"/>
      <c r="AD71" s="15"/>
      <c r="AE71" s="15"/>
      <c r="AF71" s="15"/>
      <c r="AG71" s="59"/>
      <c r="AH71" s="60"/>
      <c r="AI71" s="60"/>
      <c r="AJ71" s="61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3"/>
      <c r="BF71" s="3"/>
      <c r="BG71" s="3"/>
      <c r="BH71" s="3"/>
    </row>
    <row r="72" spans="2:60" ht="14.15" customHeight="1" x14ac:dyDescent="0.4">
      <c r="B72" s="157"/>
      <c r="C72" s="111"/>
      <c r="D72" s="329"/>
      <c r="E72" s="330"/>
      <c r="F72" s="331"/>
      <c r="G72" s="51"/>
      <c r="H72" s="253"/>
      <c r="J72" s="33"/>
      <c r="K72" s="316"/>
      <c r="M72" s="14"/>
      <c r="N72" s="15"/>
      <c r="O72" s="15"/>
      <c r="P72" s="15"/>
      <c r="Y72" s="15"/>
      <c r="Z72" s="15"/>
      <c r="AA72" s="15"/>
      <c r="AB72" s="15"/>
      <c r="AC72" s="15"/>
      <c r="AD72" s="3"/>
      <c r="AE72" s="3"/>
      <c r="AF72" s="3"/>
      <c r="AG72" s="3"/>
      <c r="AH72" s="3"/>
      <c r="AI72" s="3"/>
      <c r="AJ72" s="3"/>
      <c r="AK72" s="3"/>
      <c r="AL72" s="15"/>
      <c r="AM72" s="15"/>
      <c r="AN72" s="15"/>
      <c r="AO72" s="3"/>
      <c r="AP72" s="3"/>
      <c r="AQ72" s="3"/>
      <c r="AR72" s="15"/>
      <c r="AW72" s="3"/>
      <c r="AX72" s="15"/>
      <c r="AY72" s="15"/>
      <c r="AZ72" s="15"/>
      <c r="BA72" s="3"/>
      <c r="BB72" s="3"/>
      <c r="BC72" s="15"/>
      <c r="BD72" s="15"/>
      <c r="BE72" s="3"/>
      <c r="BF72" s="3"/>
      <c r="BG72" s="3"/>
      <c r="BH72" s="15"/>
    </row>
    <row r="73" spans="2:60" ht="14.15" customHeight="1" x14ac:dyDescent="0.4">
      <c r="B73" s="106"/>
      <c r="C73" s="109" t="s">
        <v>53</v>
      </c>
      <c r="D73" s="323" t="s">
        <v>54</v>
      </c>
      <c r="E73" s="324"/>
      <c r="F73" s="325"/>
      <c r="G73" s="45"/>
      <c r="H73" s="253">
        <v>30</v>
      </c>
      <c r="J73" s="33"/>
      <c r="K73" s="316">
        <f>H73*$J$8</f>
        <v>8441.25</v>
      </c>
      <c r="M73" s="14"/>
      <c r="N73" s="3"/>
      <c r="O73" s="15"/>
      <c r="P73" s="15"/>
      <c r="Y73" s="15"/>
      <c r="Z73" s="15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15"/>
      <c r="AM73" s="15"/>
      <c r="AN73" s="15"/>
      <c r="AO73" s="3"/>
      <c r="AP73" s="3"/>
      <c r="AQ73" s="3"/>
      <c r="AR73" s="3"/>
      <c r="AW73" s="3"/>
      <c r="AX73" s="15"/>
      <c r="AY73" s="15"/>
      <c r="AZ73" s="15"/>
      <c r="BA73" s="3"/>
      <c r="BB73" s="3"/>
      <c r="BC73" s="15"/>
      <c r="BD73" s="15"/>
      <c r="BE73" s="3"/>
      <c r="BF73" s="3"/>
      <c r="BG73" s="3"/>
      <c r="BH73" s="3"/>
    </row>
    <row r="74" spans="2:60" ht="14.15" customHeight="1" x14ac:dyDescent="0.4">
      <c r="B74" s="156"/>
      <c r="C74" s="110"/>
      <c r="D74" s="326"/>
      <c r="E74" s="327"/>
      <c r="F74" s="328"/>
      <c r="G74" s="51"/>
      <c r="H74" s="253"/>
      <c r="J74" s="33"/>
      <c r="K74" s="316"/>
      <c r="M74" s="14"/>
      <c r="N74" s="15"/>
      <c r="O74" s="15"/>
      <c r="P74" s="15"/>
      <c r="Y74" s="15"/>
      <c r="AG74" s="59"/>
      <c r="AH74" s="60"/>
      <c r="AI74" s="60"/>
      <c r="AJ74" s="61"/>
      <c r="BE74" s="3"/>
      <c r="BF74" s="3"/>
      <c r="BG74" s="3"/>
      <c r="BH74" s="3"/>
    </row>
    <row r="75" spans="2:60" ht="14.15" customHeight="1" x14ac:dyDescent="0.4">
      <c r="B75" s="157"/>
      <c r="C75" s="111"/>
      <c r="D75" s="329"/>
      <c r="E75" s="330"/>
      <c r="F75" s="331"/>
      <c r="G75" s="51"/>
      <c r="H75" s="253"/>
      <c r="J75" s="33"/>
      <c r="K75" s="316"/>
      <c r="M75" s="14"/>
      <c r="N75" s="15"/>
      <c r="O75" s="15"/>
      <c r="P75" s="15"/>
      <c r="Y75" s="15"/>
      <c r="Z75" s="15"/>
      <c r="AA75" s="15"/>
      <c r="AB75" s="15"/>
      <c r="AC75" s="15"/>
      <c r="AD75" s="3"/>
      <c r="AE75" s="3"/>
      <c r="AF75" s="3"/>
      <c r="AG75" s="3"/>
      <c r="AH75" s="3"/>
      <c r="AI75" s="3"/>
      <c r="AJ75" s="3"/>
      <c r="AK75" s="3"/>
      <c r="AL75" s="15"/>
      <c r="AM75" s="15"/>
      <c r="AN75" s="15"/>
      <c r="AO75" s="3"/>
      <c r="AP75" s="3"/>
      <c r="AQ75" s="3"/>
      <c r="AR75" s="15"/>
      <c r="AW75" s="3"/>
      <c r="AX75" s="15"/>
      <c r="AY75" s="15"/>
      <c r="AZ75" s="15"/>
      <c r="BA75" s="3"/>
      <c r="BB75" s="3"/>
      <c r="BC75" s="15"/>
      <c r="BD75" s="15"/>
      <c r="BE75" s="3"/>
      <c r="BF75" s="3"/>
      <c r="BG75" s="3"/>
      <c r="BH75" s="15"/>
    </row>
    <row r="76" spans="2:60" ht="14.15" customHeight="1" x14ac:dyDescent="0.4">
      <c r="B76" s="106"/>
      <c r="C76" s="109" t="s">
        <v>55</v>
      </c>
      <c r="D76" s="323" t="s">
        <v>56</v>
      </c>
      <c r="E76" s="324"/>
      <c r="F76" s="325"/>
      <c r="G76" s="45"/>
      <c r="H76" s="253">
        <v>70</v>
      </c>
      <c r="J76" s="33"/>
      <c r="K76" s="316">
        <f>H76*$J$8</f>
        <v>19696.25</v>
      </c>
      <c r="M76" s="14"/>
      <c r="N76" s="3"/>
      <c r="O76" s="15"/>
      <c r="P76" s="15"/>
      <c r="Y76" s="15"/>
      <c r="Z76" s="15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15"/>
      <c r="AM76" s="15"/>
      <c r="AN76" s="15"/>
      <c r="AO76" s="3"/>
      <c r="AP76" s="3"/>
      <c r="AQ76" s="3"/>
      <c r="AR76" s="3"/>
      <c r="AW76" s="3"/>
      <c r="AX76" s="15"/>
      <c r="AY76" s="15"/>
      <c r="AZ76" s="15"/>
      <c r="BA76" s="3"/>
      <c r="BB76" s="3"/>
      <c r="BC76" s="15"/>
      <c r="BD76" s="15"/>
      <c r="BE76" s="3"/>
      <c r="BF76" s="3"/>
      <c r="BG76" s="3"/>
      <c r="BH76" s="3"/>
    </row>
    <row r="77" spans="2:60" ht="14.15" customHeight="1" x14ac:dyDescent="0.4">
      <c r="B77" s="156"/>
      <c r="C77" s="110"/>
      <c r="D77" s="326"/>
      <c r="E77" s="327"/>
      <c r="F77" s="328"/>
      <c r="G77" s="51"/>
      <c r="H77" s="253"/>
      <c r="J77" s="33"/>
      <c r="K77" s="316"/>
      <c r="M77" s="14"/>
      <c r="N77" s="15"/>
      <c r="O77" s="15"/>
      <c r="P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59"/>
      <c r="AK77" s="60"/>
      <c r="AL77" s="60"/>
      <c r="AM77" s="61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3"/>
      <c r="BF77" s="3"/>
      <c r="BG77" s="3"/>
      <c r="BH77" s="3"/>
    </row>
    <row r="78" spans="2:60" ht="14.15" customHeight="1" x14ac:dyDescent="0.4">
      <c r="B78" s="157"/>
      <c r="C78" s="111"/>
      <c r="D78" s="329"/>
      <c r="E78" s="330"/>
      <c r="F78" s="331"/>
      <c r="G78" s="51"/>
      <c r="H78" s="253"/>
      <c r="J78" s="33"/>
      <c r="K78" s="316"/>
      <c r="M78" s="14"/>
      <c r="N78" s="15"/>
      <c r="O78" s="15"/>
      <c r="P78" s="15"/>
      <c r="Y78" s="15"/>
      <c r="Z78" s="15"/>
      <c r="AA78" s="15"/>
      <c r="AB78" s="15"/>
      <c r="AC78" s="15"/>
      <c r="AD78" s="3"/>
      <c r="AE78" s="3"/>
      <c r="AF78" s="3"/>
      <c r="AG78" s="3"/>
      <c r="AH78" s="3"/>
      <c r="AI78" s="3"/>
      <c r="AJ78" s="3"/>
      <c r="AK78" s="3"/>
      <c r="AL78" s="15"/>
      <c r="AM78" s="15"/>
      <c r="AN78" s="15"/>
      <c r="AO78" s="3"/>
      <c r="AP78" s="3"/>
      <c r="AQ78" s="3"/>
      <c r="AR78" s="15"/>
      <c r="AW78" s="3"/>
      <c r="AX78" s="15"/>
      <c r="AY78" s="15"/>
      <c r="AZ78" s="15"/>
      <c r="BA78" s="3"/>
      <c r="BB78" s="3"/>
      <c r="BC78" s="15"/>
      <c r="BD78" s="15"/>
      <c r="BE78" s="3"/>
      <c r="BF78" s="3"/>
      <c r="BG78" s="3"/>
      <c r="BH78" s="15"/>
    </row>
    <row r="79" spans="2:60" ht="15" customHeight="1" x14ac:dyDescent="0.4">
      <c r="B79" s="106"/>
      <c r="C79" s="109" t="s">
        <v>57</v>
      </c>
      <c r="D79" s="307" t="s">
        <v>58</v>
      </c>
      <c r="E79" s="308"/>
      <c r="F79" s="309"/>
      <c r="G79" s="45"/>
      <c r="H79" s="253">
        <v>60</v>
      </c>
      <c r="J79" s="33"/>
      <c r="K79" s="316">
        <f>H79*$J$8</f>
        <v>16882.5</v>
      </c>
      <c r="M79" s="14"/>
      <c r="N79" s="3"/>
      <c r="O79" s="15"/>
      <c r="P79" s="15"/>
      <c r="Y79" s="15"/>
      <c r="Z79" s="15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15"/>
      <c r="AM79" s="15"/>
      <c r="AN79" s="15"/>
      <c r="AO79" s="3"/>
      <c r="AP79" s="3"/>
      <c r="AQ79" s="3"/>
      <c r="AR79" s="3"/>
      <c r="AW79" s="3"/>
      <c r="AX79" s="15"/>
      <c r="AY79" s="15"/>
      <c r="AZ79" s="15"/>
      <c r="BA79" s="3"/>
      <c r="BB79" s="3"/>
      <c r="BC79" s="15"/>
      <c r="BD79" s="15"/>
      <c r="BE79" s="3"/>
      <c r="BF79" s="3"/>
      <c r="BG79" s="3"/>
      <c r="BH79" s="3"/>
    </row>
    <row r="80" spans="2:60" ht="15" customHeight="1" x14ac:dyDescent="0.4">
      <c r="B80" s="107"/>
      <c r="C80" s="110"/>
      <c r="D80" s="310"/>
      <c r="E80" s="311"/>
      <c r="F80" s="312"/>
      <c r="G80" s="51"/>
      <c r="H80" s="253"/>
      <c r="J80" s="33"/>
      <c r="K80" s="316"/>
      <c r="M80" s="14"/>
      <c r="N80" s="15"/>
      <c r="O80" s="15"/>
      <c r="P80" s="15"/>
      <c r="Y80" s="15"/>
      <c r="AK80" s="59"/>
      <c r="AL80" s="60"/>
      <c r="AM80" s="60"/>
      <c r="AN80" s="61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</row>
    <row r="81" spans="2:60" ht="15" customHeight="1" x14ac:dyDescent="0.4">
      <c r="B81" s="108"/>
      <c r="C81" s="111"/>
      <c r="D81" s="313"/>
      <c r="E81" s="314"/>
      <c r="F81" s="315"/>
      <c r="G81" s="51"/>
      <c r="H81" s="253"/>
      <c r="J81" s="33"/>
      <c r="K81" s="316"/>
      <c r="M81" s="14"/>
      <c r="N81" s="15"/>
      <c r="O81" s="15"/>
      <c r="P81" s="15"/>
      <c r="Y81" s="15"/>
      <c r="Z81" s="15"/>
      <c r="AA81" s="15"/>
      <c r="AB81" s="15"/>
      <c r="AC81" s="15"/>
      <c r="AD81" s="3"/>
      <c r="AE81" s="3"/>
      <c r="AF81" s="3"/>
      <c r="AG81" s="3"/>
      <c r="AH81" s="3"/>
      <c r="AI81" s="3"/>
      <c r="AJ81" s="3"/>
      <c r="AK81" s="3"/>
      <c r="AL81" s="15"/>
      <c r="AM81" s="15"/>
      <c r="AN81" s="15"/>
      <c r="AO81" s="3"/>
      <c r="AP81" s="3"/>
      <c r="AQ81" s="3"/>
      <c r="AR81" s="15"/>
      <c r="AW81" s="3"/>
      <c r="AX81" s="15"/>
      <c r="AY81" s="15"/>
      <c r="AZ81" s="15"/>
      <c r="BA81" s="3"/>
      <c r="BB81" s="3"/>
      <c r="BC81" s="15"/>
      <c r="BD81" s="15"/>
      <c r="BE81" s="3"/>
      <c r="BF81" s="3"/>
      <c r="BG81" s="3"/>
      <c r="BH81" s="15"/>
    </row>
    <row r="82" spans="2:60" ht="15" customHeight="1" x14ac:dyDescent="0.4">
      <c r="B82" s="106"/>
      <c r="C82" s="109" t="s">
        <v>59</v>
      </c>
      <c r="D82" s="187" t="s">
        <v>60</v>
      </c>
      <c r="E82" s="188"/>
      <c r="F82" s="189"/>
      <c r="G82" s="45"/>
      <c r="H82" s="317">
        <v>80</v>
      </c>
      <c r="J82" s="33"/>
      <c r="K82" s="320">
        <f>H82*$J$8</f>
        <v>22510</v>
      </c>
      <c r="M82" s="14"/>
      <c r="N82" s="3"/>
      <c r="O82" s="15"/>
      <c r="P82" s="15"/>
      <c r="Y82" s="15"/>
      <c r="Z82" s="15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15"/>
      <c r="AM82" s="15"/>
      <c r="AN82" s="15"/>
      <c r="AO82" s="3"/>
      <c r="AP82" s="3"/>
      <c r="AQ82" s="3"/>
      <c r="AR82" s="3"/>
      <c r="AW82" s="3"/>
      <c r="AX82" s="15"/>
      <c r="AY82" s="15"/>
      <c r="AZ82" s="15"/>
      <c r="BA82" s="3"/>
      <c r="BB82" s="3"/>
      <c r="BC82" s="15"/>
      <c r="BD82" s="15"/>
      <c r="BE82" s="3"/>
      <c r="BF82" s="3"/>
      <c r="BG82" s="3"/>
      <c r="BH82" s="3"/>
    </row>
    <row r="83" spans="2:60" ht="15" customHeight="1" x14ac:dyDescent="0.4">
      <c r="B83" s="107"/>
      <c r="C83" s="110"/>
      <c r="D83" s="190"/>
      <c r="E83" s="191"/>
      <c r="F83" s="192"/>
      <c r="G83" s="51"/>
      <c r="H83" s="318"/>
      <c r="J83" s="33"/>
      <c r="K83" s="321"/>
      <c r="M83" s="14"/>
      <c r="N83" s="15"/>
      <c r="O83" s="15"/>
      <c r="P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59"/>
      <c r="AL83" s="60"/>
      <c r="AM83" s="60"/>
      <c r="AN83" s="61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3"/>
      <c r="BH83" s="3"/>
    </row>
    <row r="84" spans="2:60" ht="15" customHeight="1" x14ac:dyDescent="0.4">
      <c r="B84" s="108"/>
      <c r="C84" s="111"/>
      <c r="D84" s="193"/>
      <c r="E84" s="194"/>
      <c r="F84" s="195"/>
      <c r="G84" s="51"/>
      <c r="H84" s="319"/>
      <c r="J84" s="33"/>
      <c r="K84" s="322"/>
      <c r="M84" s="14"/>
      <c r="N84" s="15"/>
      <c r="O84" s="15"/>
      <c r="P84" s="15"/>
      <c r="Y84" s="15"/>
      <c r="Z84" s="15"/>
      <c r="AA84" s="15"/>
      <c r="AB84" s="15"/>
      <c r="AC84" s="15"/>
      <c r="AD84" s="3"/>
      <c r="AE84" s="3"/>
      <c r="AF84" s="3"/>
      <c r="AG84" s="3"/>
      <c r="AH84" s="3"/>
      <c r="AI84" s="3"/>
      <c r="AJ84" s="3"/>
      <c r="AK84" s="3"/>
      <c r="AL84" s="15"/>
      <c r="AM84" s="15"/>
      <c r="AN84" s="15"/>
      <c r="AO84" s="3"/>
      <c r="AP84" s="3"/>
      <c r="AQ84" s="3"/>
      <c r="AR84" s="15"/>
      <c r="BG84" s="3"/>
      <c r="BH84" s="15"/>
    </row>
    <row r="85" spans="2:60" ht="15" customHeight="1" x14ac:dyDescent="0.4">
      <c r="B85" s="106"/>
      <c r="C85" s="109" t="s">
        <v>61</v>
      </c>
      <c r="D85" s="307" t="s">
        <v>62</v>
      </c>
      <c r="E85" s="308"/>
      <c r="F85" s="309"/>
      <c r="G85" s="45"/>
      <c r="H85" s="253">
        <v>50</v>
      </c>
      <c r="J85" s="33"/>
      <c r="K85" s="316">
        <f>H85*$J$8</f>
        <v>14068.75</v>
      </c>
      <c r="M85" s="14"/>
      <c r="N85" s="3"/>
      <c r="O85" s="15"/>
      <c r="P85" s="15"/>
      <c r="Y85" s="15"/>
      <c r="Z85" s="15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15"/>
      <c r="AM85" s="15"/>
      <c r="AN85" s="15"/>
      <c r="AO85" s="3"/>
      <c r="AP85" s="3"/>
      <c r="AQ85" s="3"/>
      <c r="AR85" s="3"/>
      <c r="BG85" s="3"/>
      <c r="BH85" s="3"/>
    </row>
    <row r="86" spans="2:60" ht="15" customHeight="1" x14ac:dyDescent="0.4">
      <c r="B86" s="156"/>
      <c r="C86" s="110"/>
      <c r="D86" s="310"/>
      <c r="E86" s="311"/>
      <c r="F86" s="312"/>
      <c r="G86" s="51"/>
      <c r="H86" s="253"/>
      <c r="J86" s="33"/>
      <c r="K86" s="316"/>
      <c r="M86" s="14"/>
      <c r="N86" s="15"/>
      <c r="O86" s="15"/>
      <c r="P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59"/>
      <c r="AL86" s="60"/>
      <c r="AM86" s="60"/>
      <c r="AN86" s="61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3"/>
      <c r="BH86" s="3"/>
    </row>
    <row r="87" spans="2:60" ht="15" customHeight="1" x14ac:dyDescent="0.4">
      <c r="B87" s="157"/>
      <c r="C87" s="111"/>
      <c r="D87" s="313"/>
      <c r="E87" s="314"/>
      <c r="F87" s="315"/>
      <c r="G87" s="51"/>
      <c r="H87" s="253"/>
      <c r="J87" s="33"/>
      <c r="K87" s="316"/>
      <c r="M87" s="14"/>
      <c r="N87" s="15"/>
      <c r="O87" s="15"/>
      <c r="P87" s="15"/>
      <c r="Y87" s="15"/>
      <c r="Z87" s="15"/>
      <c r="AA87" s="15"/>
      <c r="AB87" s="15"/>
      <c r="AC87" s="15"/>
      <c r="AD87" s="3"/>
      <c r="AE87" s="3"/>
      <c r="AF87" s="3"/>
      <c r="AG87" s="3"/>
      <c r="AH87" s="3"/>
      <c r="AI87" s="3"/>
      <c r="AJ87" s="3"/>
      <c r="AK87" s="3"/>
      <c r="AL87" s="15"/>
      <c r="AM87" s="15"/>
      <c r="AN87" s="15"/>
      <c r="AO87" s="3"/>
      <c r="AP87" s="3"/>
      <c r="AQ87" s="3"/>
      <c r="AR87" s="15"/>
      <c r="BG87" s="3"/>
      <c r="BH87" s="15"/>
    </row>
    <row r="88" spans="2:60" ht="15" customHeight="1" x14ac:dyDescent="0.4">
      <c r="B88" s="106"/>
      <c r="C88" s="109" t="s">
        <v>63</v>
      </c>
      <c r="D88" s="307" t="s">
        <v>64</v>
      </c>
      <c r="E88" s="308"/>
      <c r="F88" s="309"/>
      <c r="G88" s="45"/>
      <c r="H88" s="253">
        <f>SUM(G91:G102)</f>
        <v>60</v>
      </c>
      <c r="J88" s="33"/>
      <c r="K88" s="316">
        <f>H88*$J$8</f>
        <v>16882.5</v>
      </c>
      <c r="M88" s="14"/>
      <c r="N88" s="3"/>
      <c r="O88" s="15"/>
      <c r="P88" s="15"/>
      <c r="Y88" s="15"/>
      <c r="Z88" s="15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15"/>
      <c r="AM88" s="15"/>
      <c r="AN88" s="15"/>
      <c r="AO88" s="3"/>
      <c r="AP88" s="3"/>
      <c r="AQ88" s="3"/>
      <c r="AR88" s="3"/>
      <c r="BG88" s="3"/>
      <c r="BH88" s="3"/>
    </row>
    <row r="89" spans="2:60" ht="15" customHeight="1" x14ac:dyDescent="0.4">
      <c r="B89" s="156"/>
      <c r="C89" s="110"/>
      <c r="D89" s="310"/>
      <c r="E89" s="311"/>
      <c r="F89" s="312"/>
      <c r="G89" s="51"/>
      <c r="H89" s="253"/>
      <c r="J89" s="33"/>
      <c r="K89" s="316"/>
      <c r="M89" s="14"/>
      <c r="N89" s="15"/>
      <c r="O89" s="15"/>
      <c r="P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59"/>
      <c r="AO89" s="60"/>
      <c r="AP89" s="60"/>
      <c r="AQ89" s="61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3"/>
      <c r="BH89" s="3"/>
    </row>
    <row r="90" spans="2:60" ht="15" customHeight="1" x14ac:dyDescent="0.4">
      <c r="B90" s="157"/>
      <c r="C90" s="111"/>
      <c r="D90" s="313"/>
      <c r="E90" s="314"/>
      <c r="F90" s="315"/>
      <c r="G90" s="51"/>
      <c r="H90" s="253"/>
      <c r="J90" s="33"/>
      <c r="K90" s="316"/>
      <c r="M90" s="14"/>
      <c r="N90" s="15"/>
      <c r="O90" s="15"/>
      <c r="P90" s="15"/>
      <c r="Y90" s="15"/>
      <c r="Z90" s="15"/>
      <c r="AA90" s="15"/>
      <c r="AB90" s="15"/>
      <c r="AC90" s="15"/>
      <c r="AD90" s="3"/>
      <c r="AE90" s="3"/>
      <c r="AF90" s="3"/>
      <c r="AG90" s="3"/>
      <c r="AH90" s="3"/>
      <c r="AI90" s="3"/>
      <c r="AJ90" s="3"/>
      <c r="AK90" s="3"/>
      <c r="AL90" s="15"/>
      <c r="AM90" s="15"/>
      <c r="AN90" s="15"/>
      <c r="AO90" s="3"/>
      <c r="AP90" s="3"/>
      <c r="AQ90" s="3"/>
      <c r="AR90" s="15"/>
      <c r="AW90" s="3"/>
      <c r="AX90" s="15"/>
      <c r="AY90" s="15"/>
      <c r="AZ90" s="15"/>
      <c r="BA90" s="3"/>
      <c r="BB90" s="3"/>
      <c r="BC90" s="15"/>
      <c r="BD90" s="15"/>
      <c r="BE90" s="3"/>
      <c r="BF90" s="3"/>
      <c r="BG90" s="3"/>
      <c r="BH90" s="15"/>
    </row>
    <row r="91" spans="2:60" ht="15" customHeight="1" x14ac:dyDescent="0.4">
      <c r="B91" s="196"/>
      <c r="C91" s="196"/>
      <c r="D91" s="295" t="s">
        <v>65</v>
      </c>
      <c r="E91" s="199" t="s">
        <v>66</v>
      </c>
      <c r="F91" s="199"/>
      <c r="G91" s="170">
        <v>15</v>
      </c>
      <c r="I91" s="63"/>
      <c r="J91" s="64"/>
      <c r="K91" s="64"/>
      <c r="L91" s="33"/>
      <c r="M91" s="14"/>
      <c r="N91" s="15"/>
      <c r="O91" s="15"/>
      <c r="P91" s="15"/>
      <c r="Y91" s="15"/>
      <c r="Z91" s="15"/>
      <c r="AA91" s="15"/>
      <c r="AB91" s="15"/>
      <c r="AC91" s="15"/>
      <c r="AD91" s="15"/>
      <c r="AE91" s="15"/>
      <c r="AF91" s="15"/>
      <c r="AG91" s="15"/>
      <c r="AH91" s="3"/>
      <c r="AI91" s="3"/>
      <c r="AJ91" s="3"/>
      <c r="AK91" s="15"/>
      <c r="AL91" s="3"/>
      <c r="AM91" s="3"/>
      <c r="AN91" s="3"/>
      <c r="AO91" s="3"/>
      <c r="AP91" s="3"/>
      <c r="AQ91" s="3"/>
      <c r="AR91" s="15"/>
      <c r="AW91" s="15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15"/>
    </row>
    <row r="92" spans="2:60" ht="15" customHeight="1" x14ac:dyDescent="0.4">
      <c r="B92" s="196"/>
      <c r="C92" s="196"/>
      <c r="D92" s="296"/>
      <c r="E92" s="199"/>
      <c r="F92" s="199"/>
      <c r="G92" s="171"/>
      <c r="I92" s="63"/>
      <c r="J92" s="63"/>
      <c r="K92" s="63"/>
      <c r="L92" s="33"/>
      <c r="M92" s="14"/>
      <c r="N92" s="15"/>
      <c r="O92" s="15"/>
      <c r="P92" s="15"/>
      <c r="AN92" s="65"/>
      <c r="AO92" s="66"/>
      <c r="AP92" s="67"/>
      <c r="BC92" s="3"/>
      <c r="BD92" s="3"/>
      <c r="BE92" s="3"/>
      <c r="BF92" s="3"/>
      <c r="BG92" s="3"/>
      <c r="BH92" s="15"/>
    </row>
    <row r="93" spans="2:60" ht="15" customHeight="1" x14ac:dyDescent="0.4">
      <c r="B93" s="196"/>
      <c r="C93" s="196"/>
      <c r="D93" s="296"/>
      <c r="E93" s="199"/>
      <c r="F93" s="199"/>
      <c r="G93" s="172"/>
      <c r="I93" s="63"/>
      <c r="J93" s="63"/>
      <c r="K93" s="63"/>
      <c r="L93" s="33"/>
      <c r="M93" s="14"/>
      <c r="N93" s="15"/>
      <c r="O93" s="15"/>
      <c r="P93" s="15"/>
      <c r="Y93" s="15"/>
      <c r="Z93" s="15"/>
      <c r="AA93" s="15"/>
      <c r="AB93" s="15"/>
      <c r="AC93" s="15"/>
      <c r="AD93" s="15"/>
      <c r="AE93" s="15"/>
      <c r="AF93" s="15"/>
      <c r="AG93" s="15"/>
      <c r="AH93" s="3"/>
      <c r="AI93" s="3"/>
      <c r="AJ93" s="3"/>
      <c r="AK93" s="15"/>
      <c r="AL93" s="3"/>
      <c r="AM93" s="3"/>
      <c r="AN93" s="3"/>
      <c r="AO93" s="3"/>
      <c r="AP93" s="3"/>
      <c r="AQ93" s="3"/>
      <c r="AR93" s="15"/>
      <c r="AW93" s="15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15"/>
    </row>
    <row r="94" spans="2:60" ht="15" customHeight="1" x14ac:dyDescent="0.4">
      <c r="B94" s="68"/>
      <c r="C94" s="69"/>
      <c r="D94" s="295" t="s">
        <v>67</v>
      </c>
      <c r="E94" s="199" t="s">
        <v>68</v>
      </c>
      <c r="F94" s="199"/>
      <c r="G94" s="170">
        <v>15</v>
      </c>
      <c r="I94" s="33"/>
      <c r="J94" s="33"/>
      <c r="K94" s="33"/>
      <c r="L94" s="63"/>
      <c r="M94" s="14"/>
      <c r="N94" s="15"/>
      <c r="O94" s="15"/>
      <c r="P94" s="15"/>
      <c r="Y94" s="15"/>
      <c r="Z94" s="15"/>
      <c r="AA94" s="15"/>
      <c r="AB94" s="15"/>
      <c r="AC94" s="15"/>
      <c r="AD94" s="15"/>
      <c r="AE94" s="15"/>
      <c r="AF94" s="15"/>
      <c r="AG94" s="15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15"/>
      <c r="BD94" s="3"/>
      <c r="BE94" s="3"/>
      <c r="BF94" s="3"/>
      <c r="BG94" s="3"/>
      <c r="BH94" s="15"/>
    </row>
    <row r="95" spans="2:60" ht="15" customHeight="1" x14ac:dyDescent="0.4">
      <c r="B95" s="68"/>
      <c r="C95" s="69"/>
      <c r="D95" s="296"/>
      <c r="E95" s="199"/>
      <c r="F95" s="199"/>
      <c r="G95" s="171"/>
      <c r="I95" s="33"/>
      <c r="J95" s="33"/>
      <c r="K95" s="33"/>
      <c r="L95" s="63"/>
      <c r="M95" s="14"/>
      <c r="N95" s="15"/>
      <c r="O95" s="15"/>
      <c r="P95" s="15"/>
      <c r="Y95" s="15"/>
      <c r="Z95" s="15"/>
      <c r="AA95" s="15"/>
      <c r="AB95" s="15"/>
      <c r="AC95" s="15"/>
      <c r="AD95" s="15"/>
      <c r="AE95" s="15"/>
      <c r="AF95" s="15"/>
      <c r="AG95" s="15"/>
      <c r="AH95" s="3"/>
      <c r="AI95" s="3"/>
      <c r="AJ95" s="3"/>
      <c r="AK95" s="3"/>
      <c r="AL95" s="3"/>
      <c r="AM95" s="3"/>
      <c r="AN95" s="3"/>
      <c r="AO95" s="70"/>
      <c r="AP95" s="71"/>
      <c r="BD95" s="3"/>
      <c r="BE95" s="3"/>
      <c r="BF95" s="3"/>
      <c r="BG95" s="3"/>
      <c r="BH95" s="15"/>
    </row>
    <row r="96" spans="2:60" ht="15" customHeight="1" x14ac:dyDescent="0.4">
      <c r="B96" s="68"/>
      <c r="C96" s="69"/>
      <c r="D96" s="296"/>
      <c r="E96" s="199"/>
      <c r="F96" s="199"/>
      <c r="G96" s="172"/>
      <c r="I96" s="33"/>
      <c r="J96" s="33"/>
      <c r="K96" s="33"/>
      <c r="L96" s="33"/>
      <c r="M96" s="14"/>
      <c r="N96" s="15"/>
      <c r="O96" s="15"/>
      <c r="P96" s="15"/>
      <c r="Y96" s="15"/>
      <c r="Z96" s="15"/>
      <c r="AA96" s="15"/>
      <c r="AB96" s="15"/>
      <c r="AC96" s="15"/>
      <c r="AD96" s="15"/>
      <c r="AE96" s="15"/>
      <c r="AF96" s="15"/>
      <c r="AG96" s="15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15"/>
      <c r="AW96" s="3"/>
      <c r="AX96" s="3"/>
      <c r="AY96" s="3"/>
      <c r="AZ96" s="3"/>
      <c r="BD96" s="3"/>
      <c r="BE96" s="3"/>
      <c r="BF96" s="3"/>
      <c r="BG96" s="3"/>
      <c r="BH96" s="15"/>
    </row>
    <row r="97" spans="2:60" ht="15" customHeight="1" x14ac:dyDescent="0.4">
      <c r="B97" s="68"/>
      <c r="C97" s="69"/>
      <c r="D97" s="295" t="s">
        <v>69</v>
      </c>
      <c r="E97" s="199" t="s">
        <v>70</v>
      </c>
      <c r="F97" s="199"/>
      <c r="G97" s="170">
        <v>15</v>
      </c>
      <c r="I97" s="33"/>
      <c r="J97" s="33"/>
      <c r="K97" s="33"/>
      <c r="L97" s="63"/>
      <c r="M97" s="14"/>
      <c r="N97" s="15"/>
      <c r="O97" s="15"/>
      <c r="P97" s="15"/>
      <c r="Y97" s="15"/>
      <c r="Z97" s="15"/>
      <c r="AA97" s="15"/>
      <c r="AB97" s="15"/>
      <c r="AC97" s="15"/>
      <c r="AD97" s="15"/>
      <c r="AE97" s="15"/>
      <c r="AF97" s="15"/>
      <c r="AG97" s="15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15"/>
      <c r="BC97" s="3"/>
      <c r="BD97" s="3"/>
      <c r="BE97" s="3"/>
      <c r="BF97" s="3"/>
      <c r="BG97" s="3"/>
      <c r="BH97" s="15"/>
    </row>
    <row r="98" spans="2:60" ht="15" customHeight="1" x14ac:dyDescent="0.4">
      <c r="B98" s="68"/>
      <c r="C98" s="69"/>
      <c r="D98" s="296"/>
      <c r="E98" s="199"/>
      <c r="F98" s="199"/>
      <c r="G98" s="171"/>
      <c r="I98" s="33"/>
      <c r="J98" s="33"/>
      <c r="K98" s="33"/>
      <c r="L98" s="63"/>
      <c r="M98" s="14"/>
      <c r="N98" s="15"/>
      <c r="O98" s="15"/>
      <c r="P98" s="15"/>
      <c r="Y98" s="15"/>
      <c r="Z98" s="15"/>
      <c r="AA98" s="15"/>
      <c r="AB98" s="15"/>
      <c r="AC98" s="15"/>
      <c r="AD98" s="15"/>
      <c r="AE98" s="15"/>
      <c r="AF98" s="15"/>
      <c r="AG98" s="15"/>
      <c r="AH98" s="3"/>
      <c r="AI98" s="3"/>
      <c r="AJ98" s="3"/>
      <c r="AK98" s="3"/>
      <c r="AL98" s="3"/>
      <c r="AM98" s="3"/>
      <c r="AN98" s="3"/>
      <c r="AP98" s="70"/>
      <c r="AQ98" s="71"/>
      <c r="AR98" s="15"/>
      <c r="BG98" s="3"/>
      <c r="BH98" s="15"/>
    </row>
    <row r="99" spans="2:60" ht="15" customHeight="1" x14ac:dyDescent="0.4">
      <c r="B99" s="68"/>
      <c r="C99" s="69"/>
      <c r="D99" s="296"/>
      <c r="E99" s="199"/>
      <c r="F99" s="199"/>
      <c r="G99" s="172"/>
      <c r="I99" s="33"/>
      <c r="J99" s="33"/>
      <c r="K99" s="33"/>
      <c r="L99" s="33"/>
      <c r="M99" s="14"/>
      <c r="N99" s="15"/>
      <c r="O99" s="15"/>
      <c r="P99" s="15"/>
      <c r="Y99" s="15"/>
      <c r="Z99" s="15"/>
      <c r="AA99" s="15"/>
      <c r="AB99" s="15"/>
      <c r="AC99" s="15"/>
      <c r="AD99" s="15"/>
      <c r="AE99" s="15"/>
      <c r="AF99" s="15"/>
      <c r="AG99" s="15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15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15"/>
    </row>
    <row r="100" spans="2:60" ht="15" customHeight="1" x14ac:dyDescent="0.4">
      <c r="B100" s="68"/>
      <c r="C100" s="69"/>
      <c r="D100" s="295" t="s">
        <v>71</v>
      </c>
      <c r="E100" s="199" t="s">
        <v>72</v>
      </c>
      <c r="F100" s="199"/>
      <c r="G100" s="170">
        <v>15</v>
      </c>
      <c r="I100" s="33"/>
      <c r="J100" s="33"/>
      <c r="K100" s="33"/>
      <c r="L100" s="63"/>
      <c r="M100" s="14"/>
      <c r="N100" s="15"/>
      <c r="O100" s="15"/>
      <c r="P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15"/>
      <c r="BC100" s="3"/>
      <c r="BD100" s="3"/>
      <c r="BE100" s="3"/>
      <c r="BF100" s="3"/>
      <c r="BG100" s="3"/>
      <c r="BH100" s="15"/>
    </row>
    <row r="101" spans="2:60" ht="15" customHeight="1" x14ac:dyDescent="0.4">
      <c r="B101" s="68"/>
      <c r="C101" s="69"/>
      <c r="D101" s="296"/>
      <c r="E101" s="199"/>
      <c r="F101" s="199"/>
      <c r="G101" s="171"/>
      <c r="I101" s="33"/>
      <c r="J101" s="33"/>
      <c r="K101" s="33"/>
      <c r="L101" s="63"/>
      <c r="M101" s="14"/>
      <c r="N101" s="15"/>
      <c r="O101" s="15"/>
      <c r="P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3"/>
      <c r="AI101" s="3"/>
      <c r="AJ101" s="3"/>
      <c r="AK101" s="3"/>
      <c r="AL101" s="3"/>
      <c r="AM101" s="3"/>
      <c r="AN101" s="3"/>
      <c r="AO101" s="3"/>
      <c r="AP101" s="70"/>
      <c r="AQ101" s="71"/>
      <c r="AR101" s="15"/>
      <c r="BF101" s="3"/>
      <c r="BG101" s="3"/>
      <c r="BH101" s="15"/>
    </row>
    <row r="102" spans="2:60" ht="15" customHeight="1" x14ac:dyDescent="0.4">
      <c r="B102" s="68"/>
      <c r="C102" s="69"/>
      <c r="D102" s="296"/>
      <c r="E102" s="199"/>
      <c r="F102" s="199"/>
      <c r="G102" s="172"/>
      <c r="I102" s="33"/>
      <c r="J102" s="33"/>
      <c r="K102" s="33"/>
      <c r="L102" s="33"/>
      <c r="M102" s="14"/>
      <c r="N102" s="15"/>
      <c r="O102" s="15"/>
      <c r="P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15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15"/>
    </row>
    <row r="103" spans="2:60" ht="15" customHeight="1" x14ac:dyDescent="0.4">
      <c r="B103" s="106"/>
      <c r="C103" s="109">
        <v>16</v>
      </c>
      <c r="D103" s="307" t="s">
        <v>73</v>
      </c>
      <c r="E103" s="308"/>
      <c r="F103" s="309"/>
      <c r="G103" s="45"/>
      <c r="H103" s="253">
        <f>SUM(G106:G123)</f>
        <v>240</v>
      </c>
      <c r="J103" s="33"/>
      <c r="K103" s="282">
        <f>H103*$J$8</f>
        <v>67530</v>
      </c>
      <c r="M103" s="14"/>
      <c r="N103" s="3"/>
      <c r="O103" s="15"/>
      <c r="P103" s="15"/>
      <c r="Y103" s="15"/>
      <c r="Z103" s="15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15"/>
      <c r="AM103" s="15"/>
      <c r="AN103" s="15"/>
      <c r="AO103" s="3"/>
      <c r="AP103" s="3"/>
      <c r="AQ103" s="3"/>
      <c r="AR103" s="3"/>
      <c r="AW103" s="3"/>
      <c r="AX103" s="15"/>
      <c r="AY103" s="15"/>
      <c r="AZ103" s="15"/>
      <c r="BA103" s="3"/>
      <c r="BB103" s="3"/>
      <c r="BC103" s="3"/>
      <c r="BD103" s="3"/>
      <c r="BE103" s="3"/>
      <c r="BF103" s="3"/>
      <c r="BG103" s="3"/>
      <c r="BH103" s="3"/>
    </row>
    <row r="104" spans="2:60" ht="15" customHeight="1" x14ac:dyDescent="0.4">
      <c r="B104" s="156"/>
      <c r="C104" s="153"/>
      <c r="D104" s="310"/>
      <c r="E104" s="311"/>
      <c r="F104" s="312"/>
      <c r="G104" s="51"/>
      <c r="H104" s="253"/>
      <c r="J104" s="33"/>
      <c r="K104" s="282"/>
      <c r="M104" s="14"/>
      <c r="N104" s="15"/>
      <c r="O104" s="15"/>
      <c r="P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59"/>
      <c r="AP104" s="60"/>
      <c r="AQ104" s="60"/>
      <c r="AR104" s="61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</row>
    <row r="105" spans="2:60" ht="15" customHeight="1" x14ac:dyDescent="0.4">
      <c r="B105" s="157"/>
      <c r="C105" s="154"/>
      <c r="D105" s="313"/>
      <c r="E105" s="314"/>
      <c r="F105" s="315"/>
      <c r="G105" s="51"/>
      <c r="H105" s="253"/>
      <c r="J105" s="33"/>
      <c r="K105" s="282"/>
      <c r="M105" s="14"/>
      <c r="N105" s="15"/>
      <c r="O105" s="15"/>
      <c r="P105" s="15"/>
      <c r="Y105" s="15"/>
      <c r="Z105" s="15"/>
      <c r="AA105" s="15"/>
      <c r="AB105" s="15"/>
      <c r="AC105" s="15"/>
      <c r="AD105" s="3"/>
      <c r="AE105" s="3"/>
      <c r="AF105" s="3"/>
      <c r="AG105" s="3"/>
      <c r="AH105" s="3"/>
      <c r="AI105" s="3"/>
      <c r="AJ105" s="3"/>
      <c r="AK105" s="3"/>
      <c r="AL105" s="15"/>
      <c r="AM105" s="15"/>
      <c r="AN105" s="15"/>
      <c r="AO105" s="3"/>
      <c r="AP105" s="3"/>
      <c r="AQ105" s="3"/>
      <c r="AR105" s="15"/>
      <c r="AW105" s="3"/>
      <c r="AX105" s="15"/>
      <c r="AY105" s="15"/>
      <c r="AZ105" s="15"/>
      <c r="BA105" s="3"/>
      <c r="BB105" s="3"/>
      <c r="BC105" s="3"/>
      <c r="BD105" s="3"/>
      <c r="BE105" s="3"/>
      <c r="BF105" s="3"/>
      <c r="BG105" s="3"/>
      <c r="BH105" s="3"/>
    </row>
    <row r="106" spans="2:60" ht="15" customHeight="1" x14ac:dyDescent="0.4">
      <c r="B106" s="196"/>
      <c r="C106" s="196"/>
      <c r="D106" s="295" t="s">
        <v>74</v>
      </c>
      <c r="E106" s="272" t="s">
        <v>75</v>
      </c>
      <c r="F106" s="272"/>
      <c r="G106" s="170">
        <v>50</v>
      </c>
      <c r="I106" s="33"/>
      <c r="J106" s="33"/>
      <c r="K106" s="33"/>
      <c r="L106" s="33"/>
      <c r="M106" s="14"/>
      <c r="N106" s="15"/>
      <c r="O106" s="15"/>
      <c r="P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3"/>
      <c r="AI106" s="3"/>
      <c r="AJ106" s="3"/>
      <c r="AK106" s="15"/>
      <c r="AL106" s="3"/>
      <c r="AM106" s="3"/>
      <c r="AN106" s="3"/>
      <c r="AO106" s="3"/>
      <c r="AP106" s="3"/>
      <c r="AQ106" s="3"/>
      <c r="AR106" s="15"/>
      <c r="AW106" s="15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15"/>
    </row>
    <row r="107" spans="2:60" ht="15" customHeight="1" x14ac:dyDescent="0.4">
      <c r="B107" s="196"/>
      <c r="C107" s="196"/>
      <c r="D107" s="296"/>
      <c r="E107" s="272"/>
      <c r="F107" s="272"/>
      <c r="G107" s="171"/>
      <c r="I107" s="33"/>
      <c r="J107" s="33"/>
      <c r="K107" s="33"/>
      <c r="L107" s="33"/>
      <c r="M107" s="14"/>
      <c r="N107" s="15"/>
      <c r="O107" s="15"/>
      <c r="P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3"/>
      <c r="AO107" s="65"/>
      <c r="AP107" s="67"/>
      <c r="BC107" s="3"/>
      <c r="BD107" s="3"/>
      <c r="BE107" s="3"/>
      <c r="BF107" s="3"/>
      <c r="BG107" s="3"/>
      <c r="BH107" s="15"/>
    </row>
    <row r="108" spans="2:60" ht="15" customHeight="1" x14ac:dyDescent="0.4">
      <c r="B108" s="196"/>
      <c r="C108" s="196"/>
      <c r="D108" s="296"/>
      <c r="E108" s="272"/>
      <c r="F108" s="272"/>
      <c r="G108" s="172"/>
      <c r="I108" s="33"/>
      <c r="J108" s="33"/>
      <c r="K108" s="33"/>
      <c r="L108" s="33"/>
      <c r="M108" s="14"/>
      <c r="N108" s="15"/>
      <c r="O108" s="15"/>
      <c r="P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3"/>
      <c r="AI108" s="3"/>
      <c r="AJ108" s="3"/>
      <c r="AK108" s="15"/>
      <c r="AL108" s="3"/>
      <c r="AM108" s="3"/>
      <c r="AN108" s="3"/>
      <c r="AO108" s="3"/>
      <c r="AP108" s="3"/>
      <c r="AQ108" s="3"/>
      <c r="AR108" s="15"/>
      <c r="AW108" s="15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15"/>
    </row>
    <row r="109" spans="2:60" ht="15" customHeight="1" x14ac:dyDescent="0.4">
      <c r="B109" s="196"/>
      <c r="C109" s="196"/>
      <c r="D109" s="295" t="s">
        <v>76</v>
      </c>
      <c r="E109" s="272" t="s">
        <v>77</v>
      </c>
      <c r="F109" s="272"/>
      <c r="G109" s="170">
        <v>50</v>
      </c>
      <c r="I109" s="33"/>
      <c r="J109" s="33"/>
      <c r="K109" s="33"/>
      <c r="L109" s="33"/>
      <c r="M109" s="14"/>
      <c r="N109" s="15"/>
      <c r="O109" s="15"/>
      <c r="P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3"/>
      <c r="AI109" s="3"/>
      <c r="AJ109" s="3"/>
      <c r="AK109" s="15"/>
      <c r="AL109" s="3"/>
      <c r="AM109" s="3"/>
      <c r="AN109" s="3"/>
      <c r="AO109" s="3"/>
      <c r="AP109" s="3"/>
      <c r="AQ109" s="3"/>
      <c r="AR109" s="15"/>
      <c r="AW109" s="15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15"/>
    </row>
    <row r="110" spans="2:60" ht="15" customHeight="1" x14ac:dyDescent="0.4">
      <c r="B110" s="196"/>
      <c r="C110" s="196"/>
      <c r="D110" s="296"/>
      <c r="E110" s="272"/>
      <c r="F110" s="272"/>
      <c r="G110" s="171"/>
      <c r="I110" s="33"/>
      <c r="J110" s="33"/>
      <c r="K110" s="33"/>
      <c r="L110" s="33"/>
      <c r="M110" s="14"/>
      <c r="N110" s="15"/>
      <c r="O110" s="15"/>
      <c r="P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3"/>
      <c r="AO110" s="65"/>
      <c r="AP110" s="67"/>
      <c r="BC110" s="3"/>
      <c r="BD110" s="3"/>
      <c r="BE110" s="3"/>
      <c r="BF110" s="3"/>
      <c r="BG110" s="3"/>
      <c r="BH110" s="15"/>
    </row>
    <row r="111" spans="2:60" ht="15" customHeight="1" x14ac:dyDescent="0.4">
      <c r="B111" s="196"/>
      <c r="C111" s="196"/>
      <c r="D111" s="296"/>
      <c r="E111" s="272"/>
      <c r="F111" s="272"/>
      <c r="G111" s="172"/>
      <c r="I111" s="33"/>
      <c r="J111" s="33"/>
      <c r="K111" s="33"/>
      <c r="L111" s="33"/>
      <c r="M111" s="14"/>
      <c r="N111" s="15"/>
      <c r="O111" s="15"/>
      <c r="P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3"/>
      <c r="AI111" s="3"/>
      <c r="AJ111" s="3"/>
      <c r="AK111" s="15"/>
      <c r="AL111" s="3"/>
      <c r="AM111" s="3"/>
      <c r="AN111" s="3"/>
      <c r="AO111" s="3"/>
      <c r="AP111" s="3"/>
      <c r="AQ111" s="3"/>
      <c r="AR111" s="15"/>
      <c r="AW111" s="15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15"/>
    </row>
    <row r="112" spans="2:60" ht="14.15" customHeight="1" x14ac:dyDescent="0.4">
      <c r="B112" s="196"/>
      <c r="C112" s="196"/>
      <c r="D112" s="295" t="s">
        <v>78</v>
      </c>
      <c r="E112" s="272" t="s">
        <v>79</v>
      </c>
      <c r="F112" s="272"/>
      <c r="G112" s="170">
        <v>35</v>
      </c>
      <c r="I112" s="33"/>
      <c r="J112" s="33"/>
      <c r="K112" s="33"/>
      <c r="L112" s="33"/>
      <c r="M112" s="14"/>
      <c r="N112" s="15"/>
      <c r="O112" s="15"/>
      <c r="P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3"/>
      <c r="AI112" s="3"/>
      <c r="AJ112" s="3"/>
      <c r="AK112" s="15"/>
      <c r="AL112" s="3"/>
      <c r="AM112" s="3"/>
      <c r="AN112" s="3"/>
      <c r="AO112" s="3"/>
      <c r="AP112" s="3"/>
      <c r="AQ112" s="3"/>
      <c r="AR112" s="15"/>
      <c r="AW112" s="15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15"/>
    </row>
    <row r="113" spans="2:60" ht="14.15" customHeight="1" x14ac:dyDescent="0.4">
      <c r="B113" s="196"/>
      <c r="C113" s="196"/>
      <c r="D113" s="296"/>
      <c r="E113" s="272"/>
      <c r="F113" s="272"/>
      <c r="G113" s="171"/>
      <c r="I113" s="33"/>
      <c r="J113" s="33"/>
      <c r="K113" s="33"/>
      <c r="L113" s="33"/>
      <c r="M113" s="14"/>
      <c r="N113" s="15"/>
      <c r="O113" s="15"/>
      <c r="P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3"/>
      <c r="AP113" s="65"/>
      <c r="AQ113" s="67"/>
      <c r="BC113" s="3"/>
      <c r="BD113" s="3"/>
      <c r="BE113" s="3"/>
      <c r="BF113" s="3"/>
      <c r="BG113" s="3"/>
      <c r="BH113" s="15"/>
    </row>
    <row r="114" spans="2:60" ht="14.15" customHeight="1" x14ac:dyDescent="0.4">
      <c r="B114" s="196"/>
      <c r="C114" s="196"/>
      <c r="D114" s="296"/>
      <c r="E114" s="272"/>
      <c r="F114" s="272"/>
      <c r="G114" s="172"/>
      <c r="I114" s="33"/>
      <c r="J114" s="33"/>
      <c r="K114" s="33"/>
      <c r="L114" s="33"/>
      <c r="M114" s="14"/>
      <c r="N114" s="15"/>
      <c r="O114" s="15"/>
      <c r="P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3"/>
      <c r="AI114" s="3"/>
      <c r="AJ114" s="3"/>
      <c r="AK114" s="15"/>
      <c r="AL114" s="3"/>
      <c r="AM114" s="3"/>
      <c r="AN114" s="3"/>
      <c r="AO114" s="3"/>
      <c r="AP114" s="3"/>
      <c r="AQ114" s="3"/>
      <c r="AR114" s="15"/>
      <c r="AW114" s="15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15"/>
    </row>
    <row r="115" spans="2:60" ht="14.15" customHeight="1" x14ac:dyDescent="0.4">
      <c r="B115" s="68"/>
      <c r="C115" s="69"/>
      <c r="D115" s="295" t="s">
        <v>80</v>
      </c>
      <c r="E115" s="266" t="s">
        <v>81</v>
      </c>
      <c r="F115" s="267"/>
      <c r="G115" s="170">
        <v>35</v>
      </c>
      <c r="I115" s="33"/>
      <c r="J115" s="33"/>
      <c r="K115" s="33"/>
      <c r="L115" s="63"/>
      <c r="M115" s="14"/>
      <c r="N115" s="15"/>
      <c r="O115" s="15"/>
      <c r="P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15"/>
      <c r="BC115" s="3"/>
      <c r="BD115" s="3"/>
      <c r="BE115" s="3"/>
      <c r="BF115" s="3"/>
      <c r="BG115" s="3"/>
      <c r="BH115" s="15"/>
    </row>
    <row r="116" spans="2:60" ht="14.15" customHeight="1" x14ac:dyDescent="0.4">
      <c r="B116" s="68"/>
      <c r="C116" s="69"/>
      <c r="D116" s="296"/>
      <c r="E116" s="268"/>
      <c r="F116" s="269"/>
      <c r="G116" s="171"/>
      <c r="I116" s="33"/>
      <c r="J116" s="33"/>
      <c r="K116" s="33"/>
      <c r="L116" s="63"/>
      <c r="M116" s="14"/>
      <c r="N116" s="15"/>
      <c r="O116" s="15"/>
      <c r="P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3"/>
      <c r="AI116" s="3"/>
      <c r="AJ116" s="3"/>
      <c r="AK116" s="3"/>
      <c r="AL116" s="3"/>
      <c r="AM116" s="3"/>
      <c r="AN116" s="3"/>
      <c r="AO116" s="3"/>
      <c r="AP116" s="65"/>
      <c r="AQ116" s="67"/>
      <c r="BC116" s="3"/>
      <c r="BD116" s="3"/>
      <c r="BE116" s="3"/>
      <c r="BF116" s="3"/>
      <c r="BG116" s="3"/>
      <c r="BH116" s="15"/>
    </row>
    <row r="117" spans="2:60" ht="14.15" customHeight="1" x14ac:dyDescent="0.4">
      <c r="B117" s="68"/>
      <c r="C117" s="69"/>
      <c r="D117" s="296"/>
      <c r="E117" s="268"/>
      <c r="F117" s="269"/>
      <c r="G117" s="172"/>
      <c r="I117" s="33"/>
      <c r="J117" s="33"/>
      <c r="K117" s="33"/>
      <c r="L117" s="33"/>
      <c r="M117" s="14"/>
      <c r="N117" s="15"/>
      <c r="O117" s="15"/>
      <c r="P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15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15"/>
    </row>
    <row r="118" spans="2:60" ht="14.15" customHeight="1" x14ac:dyDescent="0.4">
      <c r="B118" s="68"/>
      <c r="C118" s="69"/>
      <c r="D118" s="295" t="s">
        <v>82</v>
      </c>
      <c r="E118" s="266" t="s">
        <v>83</v>
      </c>
      <c r="F118" s="267"/>
      <c r="G118" s="170">
        <v>35</v>
      </c>
      <c r="I118" s="33"/>
      <c r="J118" s="33"/>
      <c r="K118" s="33"/>
      <c r="L118" s="63"/>
      <c r="M118" s="14"/>
      <c r="N118" s="15"/>
      <c r="O118" s="15"/>
      <c r="P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15"/>
      <c r="BC118" s="3"/>
      <c r="BD118" s="3"/>
      <c r="BE118" s="3"/>
      <c r="BF118" s="3"/>
      <c r="BG118" s="3"/>
      <c r="BH118" s="15"/>
    </row>
    <row r="119" spans="2:60" ht="14.15" customHeight="1" x14ac:dyDescent="0.4">
      <c r="B119" s="68"/>
      <c r="C119" s="69"/>
      <c r="D119" s="296"/>
      <c r="E119" s="268"/>
      <c r="F119" s="269"/>
      <c r="G119" s="171"/>
      <c r="I119" s="33"/>
      <c r="J119" s="33"/>
      <c r="K119" s="33"/>
      <c r="L119" s="63"/>
      <c r="M119" s="14"/>
      <c r="N119" s="15"/>
      <c r="O119" s="15"/>
      <c r="P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3"/>
      <c r="AI119" s="3"/>
      <c r="AJ119" s="3"/>
      <c r="AK119" s="3"/>
      <c r="AL119" s="3"/>
      <c r="AM119" s="3"/>
      <c r="AN119" s="3"/>
      <c r="AO119" s="3"/>
      <c r="AP119" s="3"/>
      <c r="AQ119" s="65"/>
      <c r="AR119" s="67"/>
      <c r="BC119" s="3"/>
      <c r="BD119" s="3"/>
      <c r="BE119" s="3"/>
      <c r="BF119" s="3"/>
      <c r="BG119" s="3"/>
      <c r="BH119" s="15"/>
    </row>
    <row r="120" spans="2:60" ht="14.15" customHeight="1" x14ac:dyDescent="0.4">
      <c r="B120" s="68"/>
      <c r="C120" s="69"/>
      <c r="D120" s="296"/>
      <c r="E120" s="268"/>
      <c r="F120" s="269"/>
      <c r="G120" s="172"/>
      <c r="I120" s="33"/>
      <c r="J120" s="33"/>
      <c r="K120" s="33"/>
      <c r="L120" s="33"/>
      <c r="M120" s="14"/>
      <c r="N120" s="15"/>
      <c r="O120" s="15"/>
      <c r="P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15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15"/>
    </row>
    <row r="121" spans="2:60" ht="14.15" customHeight="1" x14ac:dyDescent="0.4">
      <c r="B121" s="68"/>
      <c r="C121" s="69"/>
      <c r="D121" s="295" t="s">
        <v>84</v>
      </c>
      <c r="E121" s="266" t="s">
        <v>85</v>
      </c>
      <c r="F121" s="267"/>
      <c r="G121" s="170">
        <v>35</v>
      </c>
      <c r="I121" s="33"/>
      <c r="J121" s="33"/>
      <c r="K121" s="33"/>
      <c r="L121" s="63"/>
      <c r="M121" s="14"/>
      <c r="N121" s="15"/>
      <c r="O121" s="15"/>
      <c r="P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15"/>
      <c r="BC121" s="3"/>
      <c r="BD121" s="3"/>
      <c r="BE121" s="3"/>
      <c r="BF121" s="3"/>
      <c r="BG121" s="3"/>
      <c r="BH121" s="15"/>
    </row>
    <row r="122" spans="2:60" ht="14.15" customHeight="1" x14ac:dyDescent="0.4">
      <c r="B122" s="68"/>
      <c r="C122" s="69"/>
      <c r="D122" s="296"/>
      <c r="E122" s="268"/>
      <c r="F122" s="269"/>
      <c r="G122" s="171"/>
      <c r="I122" s="33"/>
      <c r="J122" s="33"/>
      <c r="K122" s="33"/>
      <c r="L122" s="63"/>
      <c r="M122" s="14"/>
      <c r="N122" s="15"/>
      <c r="O122" s="15"/>
      <c r="P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3"/>
      <c r="AI122" s="3"/>
      <c r="AJ122" s="3"/>
      <c r="AK122" s="3"/>
      <c r="AL122" s="3"/>
      <c r="AM122" s="3"/>
      <c r="AN122" s="3"/>
      <c r="AO122" s="3"/>
      <c r="AP122" s="3"/>
      <c r="AQ122" s="65"/>
      <c r="AR122" s="67"/>
      <c r="BC122" s="3"/>
      <c r="BD122" s="3"/>
      <c r="BE122" s="3"/>
      <c r="BF122" s="3"/>
      <c r="BG122" s="3"/>
      <c r="BH122" s="15"/>
    </row>
    <row r="123" spans="2:60" ht="14.15" customHeight="1" x14ac:dyDescent="0.4">
      <c r="B123" s="68"/>
      <c r="C123" s="69"/>
      <c r="D123" s="296"/>
      <c r="E123" s="268"/>
      <c r="F123" s="269"/>
      <c r="G123" s="172"/>
      <c r="I123" s="33"/>
      <c r="J123" s="33"/>
      <c r="K123" s="33"/>
      <c r="L123" s="33"/>
      <c r="M123" s="14"/>
      <c r="N123" s="15"/>
      <c r="O123" s="15"/>
      <c r="P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15"/>
      <c r="AW123" s="3"/>
      <c r="AX123" s="3"/>
      <c r="AY123" s="3"/>
      <c r="BA123" s="3"/>
      <c r="BB123" s="3"/>
      <c r="BC123" s="3"/>
      <c r="BD123" s="3"/>
      <c r="BE123" s="3"/>
      <c r="BF123" s="3"/>
      <c r="BG123" s="3"/>
      <c r="BH123" s="15"/>
    </row>
    <row r="124" spans="2:60" ht="15" customHeight="1" x14ac:dyDescent="0.4">
      <c r="B124" s="106"/>
      <c r="C124" s="109">
        <v>17</v>
      </c>
      <c r="D124" s="187" t="s">
        <v>86</v>
      </c>
      <c r="E124" s="188"/>
      <c r="F124" s="189"/>
      <c r="G124" s="45"/>
      <c r="H124" s="253">
        <f>SUM(G127:G141)</f>
        <v>100</v>
      </c>
      <c r="J124" s="33"/>
      <c r="K124" s="282">
        <f>H124*$J$8</f>
        <v>28137.5</v>
      </c>
      <c r="M124" s="14"/>
      <c r="N124" s="3"/>
      <c r="O124" s="15"/>
      <c r="P124" s="15"/>
      <c r="Y124" s="15"/>
      <c r="Z124" s="15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15"/>
      <c r="AM124" s="15"/>
      <c r="AN124" s="15"/>
      <c r="AO124" s="3"/>
      <c r="AP124" s="3"/>
      <c r="AQ124" s="3"/>
      <c r="AR124" s="3"/>
      <c r="AW124" s="3"/>
      <c r="AX124" s="15"/>
      <c r="AY124" s="15"/>
      <c r="AZ124" s="15"/>
      <c r="BA124" s="3"/>
      <c r="BB124" s="3"/>
      <c r="BC124" s="15"/>
      <c r="BD124" s="15"/>
      <c r="BE124" s="3"/>
      <c r="BF124" s="3"/>
      <c r="BG124" s="3"/>
      <c r="BH124" s="3"/>
    </row>
    <row r="125" spans="2:60" ht="15" customHeight="1" x14ac:dyDescent="0.4">
      <c r="B125" s="156"/>
      <c r="C125" s="153"/>
      <c r="D125" s="190"/>
      <c r="E125" s="191"/>
      <c r="F125" s="192"/>
      <c r="G125" s="51"/>
      <c r="H125" s="253"/>
      <c r="J125" s="33"/>
      <c r="K125" s="282"/>
      <c r="M125" s="14"/>
      <c r="N125" s="15"/>
      <c r="O125" s="15"/>
      <c r="P125" s="15"/>
      <c r="Y125" s="15"/>
      <c r="Z125" s="15"/>
      <c r="AA125" s="15"/>
      <c r="AB125" s="15"/>
      <c r="AC125" s="15"/>
      <c r="AD125" s="15"/>
      <c r="AE125" s="15"/>
      <c r="AF125" s="15"/>
      <c r="AO125" s="59"/>
      <c r="AP125" s="60"/>
      <c r="AQ125" s="60"/>
      <c r="AR125" s="61"/>
    </row>
    <row r="126" spans="2:60" ht="15" customHeight="1" x14ac:dyDescent="0.4">
      <c r="B126" s="157"/>
      <c r="C126" s="154"/>
      <c r="D126" s="193"/>
      <c r="E126" s="194"/>
      <c r="F126" s="195"/>
      <c r="G126" s="51"/>
      <c r="H126" s="253"/>
      <c r="J126" s="33"/>
      <c r="K126" s="282"/>
      <c r="M126" s="14"/>
      <c r="N126" s="15"/>
      <c r="O126" s="15"/>
      <c r="P126" s="15"/>
      <c r="Y126" s="15"/>
      <c r="Z126" s="15"/>
      <c r="AA126" s="15"/>
      <c r="AB126" s="15"/>
      <c r="AC126" s="15"/>
      <c r="AD126" s="3"/>
      <c r="AE126" s="3"/>
      <c r="AF126" s="3"/>
      <c r="AG126" s="3"/>
      <c r="AH126" s="3"/>
      <c r="AI126" s="3"/>
      <c r="AJ126" s="3"/>
      <c r="AK126" s="3"/>
      <c r="AL126" s="15"/>
      <c r="AM126" s="15"/>
      <c r="AN126" s="15"/>
      <c r="AO126" s="3"/>
      <c r="AP126" s="3"/>
      <c r="AQ126" s="3"/>
      <c r="AR126" s="15"/>
      <c r="AW126" s="3"/>
      <c r="AX126" s="15"/>
      <c r="AY126" s="15"/>
      <c r="AZ126" s="15"/>
      <c r="BA126" s="3"/>
      <c r="BB126" s="3"/>
      <c r="BC126" s="15"/>
      <c r="BD126" s="15"/>
      <c r="BE126" s="3"/>
      <c r="BF126" s="3"/>
      <c r="BG126" s="3"/>
      <c r="BH126" s="15"/>
    </row>
    <row r="127" spans="2:60" ht="15" customHeight="1" x14ac:dyDescent="0.4">
      <c r="B127" s="68"/>
      <c r="C127" s="69"/>
      <c r="D127" s="295" t="s">
        <v>87</v>
      </c>
      <c r="E127" s="209" t="s">
        <v>88</v>
      </c>
      <c r="F127" s="210"/>
      <c r="G127" s="170">
        <v>20</v>
      </c>
      <c r="H127" s="72"/>
      <c r="I127" s="33"/>
      <c r="J127" s="33"/>
      <c r="K127" s="33"/>
      <c r="L127" s="63"/>
      <c r="M127" s="14"/>
      <c r="N127" s="15"/>
      <c r="O127" s="15"/>
      <c r="P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15"/>
    </row>
    <row r="128" spans="2:60" ht="15" customHeight="1" x14ac:dyDescent="0.4">
      <c r="B128" s="68"/>
      <c r="C128" s="69"/>
      <c r="D128" s="296"/>
      <c r="E128" s="211"/>
      <c r="F128" s="212"/>
      <c r="G128" s="171"/>
      <c r="H128" s="73"/>
      <c r="I128" s="33"/>
      <c r="J128" s="33"/>
      <c r="K128" s="33"/>
      <c r="L128" s="63"/>
      <c r="M128" s="14"/>
      <c r="N128" s="15"/>
      <c r="O128" s="15"/>
      <c r="P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3"/>
      <c r="AI128" s="3"/>
      <c r="AJ128" s="3"/>
      <c r="AK128" s="3"/>
      <c r="AL128" s="3"/>
      <c r="AN128" s="3"/>
      <c r="AO128" s="65"/>
      <c r="AP128" s="67"/>
    </row>
    <row r="129" spans="2:60" ht="15" customHeight="1" x14ac:dyDescent="0.4">
      <c r="B129" s="68"/>
      <c r="C129" s="69"/>
      <c r="D129" s="296"/>
      <c r="E129" s="213"/>
      <c r="F129" s="214"/>
      <c r="G129" s="172"/>
      <c r="H129" s="74"/>
      <c r="I129" s="33"/>
      <c r="J129" s="33"/>
      <c r="K129" s="33"/>
      <c r="L129" s="33"/>
      <c r="M129" s="14"/>
      <c r="N129" s="15"/>
      <c r="O129" s="15"/>
      <c r="P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3"/>
      <c r="AI129" s="3"/>
      <c r="AJ129" s="3"/>
      <c r="AK129" s="3"/>
      <c r="AL129" s="3"/>
      <c r="AN129" s="3"/>
      <c r="AO129" s="3"/>
      <c r="AP129" s="3"/>
      <c r="AR129" s="3"/>
    </row>
    <row r="130" spans="2:60" ht="15" customHeight="1" x14ac:dyDescent="0.4">
      <c r="B130" s="68"/>
      <c r="C130" s="69"/>
      <c r="D130" s="295" t="s">
        <v>89</v>
      </c>
      <c r="E130" s="209" t="s">
        <v>90</v>
      </c>
      <c r="F130" s="210"/>
      <c r="G130" s="170">
        <v>20</v>
      </c>
      <c r="H130" s="72"/>
      <c r="I130" s="33"/>
      <c r="J130" s="33"/>
      <c r="K130" s="33"/>
      <c r="L130" s="63"/>
      <c r="M130" s="14"/>
      <c r="N130" s="15"/>
      <c r="O130" s="15"/>
      <c r="P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3"/>
      <c r="AI130" s="3"/>
      <c r="AJ130" s="3"/>
      <c r="AK130" s="3"/>
      <c r="AL130" s="3"/>
      <c r="AN130" s="3"/>
      <c r="AO130" s="3"/>
      <c r="AP130" s="3"/>
      <c r="AR130" s="3"/>
    </row>
    <row r="131" spans="2:60" ht="15" customHeight="1" x14ac:dyDescent="0.4">
      <c r="B131" s="68"/>
      <c r="C131" s="69"/>
      <c r="D131" s="296"/>
      <c r="E131" s="211"/>
      <c r="F131" s="212"/>
      <c r="G131" s="171"/>
      <c r="H131" s="73"/>
      <c r="I131" s="33"/>
      <c r="J131" s="33"/>
      <c r="K131" s="33"/>
      <c r="L131" s="63"/>
      <c r="M131" s="14"/>
      <c r="N131" s="15"/>
      <c r="O131" s="15"/>
      <c r="P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3"/>
      <c r="AI131" s="3"/>
      <c r="AJ131" s="3"/>
      <c r="AK131" s="3"/>
      <c r="AL131" s="3"/>
      <c r="AN131" s="3"/>
      <c r="AO131" s="65"/>
      <c r="AP131" s="67"/>
    </row>
    <row r="132" spans="2:60" ht="15" customHeight="1" x14ac:dyDescent="0.4">
      <c r="B132" s="68"/>
      <c r="C132" s="69"/>
      <c r="D132" s="296"/>
      <c r="E132" s="213"/>
      <c r="F132" s="214"/>
      <c r="G132" s="172"/>
      <c r="H132" s="74"/>
      <c r="I132" s="33"/>
      <c r="J132" s="33"/>
      <c r="K132" s="33"/>
      <c r="L132" s="33"/>
      <c r="M132" s="14"/>
      <c r="N132" s="15"/>
      <c r="O132" s="15"/>
      <c r="P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15"/>
    </row>
    <row r="133" spans="2:60" ht="15" customHeight="1" x14ac:dyDescent="0.4">
      <c r="B133" s="68"/>
      <c r="C133" s="69"/>
      <c r="D133" s="295" t="s">
        <v>91</v>
      </c>
      <c r="E133" s="209" t="s">
        <v>92</v>
      </c>
      <c r="F133" s="210"/>
      <c r="G133" s="170">
        <v>20</v>
      </c>
      <c r="H133" s="72"/>
      <c r="I133" s="33"/>
      <c r="J133" s="33"/>
      <c r="K133" s="33"/>
      <c r="L133" s="63"/>
      <c r="M133" s="14"/>
      <c r="N133" s="15"/>
      <c r="O133" s="15"/>
      <c r="P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15"/>
    </row>
    <row r="134" spans="2:60" ht="15" customHeight="1" x14ac:dyDescent="0.4">
      <c r="B134" s="68"/>
      <c r="C134" s="69"/>
      <c r="D134" s="296"/>
      <c r="E134" s="211"/>
      <c r="F134" s="212"/>
      <c r="G134" s="171"/>
      <c r="H134" s="73"/>
      <c r="I134" s="33"/>
      <c r="J134" s="33"/>
      <c r="K134" s="33"/>
      <c r="L134" s="63"/>
      <c r="M134" s="14"/>
      <c r="N134" s="15"/>
      <c r="O134" s="15"/>
      <c r="P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3"/>
      <c r="AI134" s="3"/>
      <c r="AJ134" s="3"/>
      <c r="AK134" s="3"/>
      <c r="AL134" s="3"/>
      <c r="AM134" s="3"/>
      <c r="AN134" s="3"/>
      <c r="AO134" s="3"/>
      <c r="AP134" s="65"/>
      <c r="AQ134" s="67"/>
    </row>
    <row r="135" spans="2:60" ht="15" customHeight="1" x14ac:dyDescent="0.4">
      <c r="B135" s="68"/>
      <c r="C135" s="69"/>
      <c r="D135" s="296"/>
      <c r="E135" s="213"/>
      <c r="F135" s="214"/>
      <c r="G135" s="172"/>
      <c r="H135" s="74"/>
      <c r="I135" s="33"/>
      <c r="J135" s="33"/>
      <c r="K135" s="33"/>
      <c r="L135" s="33"/>
      <c r="M135" s="14"/>
      <c r="N135" s="15"/>
      <c r="O135" s="15"/>
      <c r="P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15"/>
    </row>
    <row r="136" spans="2:60" ht="15" customHeight="1" x14ac:dyDescent="0.4">
      <c r="B136" s="68"/>
      <c r="C136" s="69"/>
      <c r="D136" s="295" t="s">
        <v>93</v>
      </c>
      <c r="E136" s="209" t="s">
        <v>94</v>
      </c>
      <c r="F136" s="210"/>
      <c r="G136" s="170">
        <v>20</v>
      </c>
      <c r="H136" s="72"/>
      <c r="I136" s="33"/>
      <c r="J136" s="33"/>
      <c r="K136" s="33"/>
      <c r="L136" s="63"/>
      <c r="M136" s="14"/>
      <c r="N136" s="15"/>
      <c r="O136" s="15"/>
      <c r="P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15"/>
    </row>
    <row r="137" spans="2:60" ht="15" customHeight="1" x14ac:dyDescent="0.4">
      <c r="B137" s="68"/>
      <c r="C137" s="69"/>
      <c r="D137" s="296"/>
      <c r="E137" s="211"/>
      <c r="F137" s="212"/>
      <c r="G137" s="171"/>
      <c r="H137" s="73"/>
      <c r="I137" s="33"/>
      <c r="J137" s="33"/>
      <c r="K137" s="33"/>
      <c r="L137" s="63"/>
      <c r="M137" s="14"/>
      <c r="N137" s="15"/>
      <c r="O137" s="15"/>
      <c r="P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3"/>
      <c r="AI137" s="3"/>
      <c r="AJ137" s="3"/>
      <c r="AK137" s="3"/>
      <c r="AL137" s="3"/>
      <c r="AM137" s="3"/>
      <c r="AN137" s="3"/>
      <c r="AO137" s="3"/>
      <c r="AP137" s="3"/>
      <c r="AQ137" s="65"/>
      <c r="AR137" s="67"/>
    </row>
    <row r="138" spans="2:60" ht="15" customHeight="1" x14ac:dyDescent="0.4">
      <c r="B138" s="68"/>
      <c r="C138" s="69"/>
      <c r="D138" s="296"/>
      <c r="E138" s="213"/>
      <c r="F138" s="214"/>
      <c r="G138" s="172"/>
      <c r="H138" s="74"/>
      <c r="I138" s="33"/>
      <c r="J138" s="33"/>
      <c r="K138" s="33"/>
      <c r="L138" s="33"/>
      <c r="M138" s="14"/>
      <c r="N138" s="15"/>
      <c r="O138" s="15"/>
      <c r="P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15"/>
    </row>
    <row r="139" spans="2:60" ht="15" customHeight="1" x14ac:dyDescent="0.4">
      <c r="B139" s="68"/>
      <c r="C139" s="69"/>
      <c r="D139" s="295" t="s">
        <v>95</v>
      </c>
      <c r="E139" s="209" t="s">
        <v>96</v>
      </c>
      <c r="F139" s="210"/>
      <c r="G139" s="170">
        <v>20</v>
      </c>
      <c r="H139" s="72"/>
      <c r="I139" s="33"/>
      <c r="J139" s="33"/>
      <c r="K139" s="33"/>
      <c r="L139" s="63"/>
      <c r="M139" s="14"/>
      <c r="N139" s="15"/>
      <c r="O139" s="15"/>
      <c r="P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15"/>
    </row>
    <row r="140" spans="2:60" ht="15" customHeight="1" x14ac:dyDescent="0.4">
      <c r="B140" s="68"/>
      <c r="C140" s="69"/>
      <c r="D140" s="296"/>
      <c r="E140" s="211"/>
      <c r="F140" s="212"/>
      <c r="G140" s="171"/>
      <c r="H140" s="73"/>
      <c r="I140" s="33"/>
      <c r="J140" s="33"/>
      <c r="K140" s="33"/>
      <c r="L140" s="63"/>
      <c r="M140" s="14"/>
      <c r="N140" s="15"/>
      <c r="O140" s="15"/>
      <c r="P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3"/>
      <c r="AI140" s="3"/>
      <c r="AJ140" s="3"/>
      <c r="AK140" s="3"/>
      <c r="AL140" s="3"/>
      <c r="AM140" s="3"/>
      <c r="AN140" s="3"/>
      <c r="AO140" s="3"/>
      <c r="AP140" s="3"/>
      <c r="AQ140" s="65"/>
      <c r="AR140" s="67"/>
    </row>
    <row r="141" spans="2:60" ht="15" customHeight="1" x14ac:dyDescent="0.4">
      <c r="B141" s="68"/>
      <c r="C141" s="69"/>
      <c r="D141" s="296"/>
      <c r="E141" s="213"/>
      <c r="F141" s="214"/>
      <c r="G141" s="172"/>
      <c r="H141" s="74"/>
      <c r="I141" s="33"/>
      <c r="J141" s="33"/>
      <c r="K141" s="33"/>
      <c r="L141" s="33"/>
      <c r="M141" s="14"/>
      <c r="N141" s="15"/>
      <c r="O141" s="15"/>
      <c r="P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15"/>
      <c r="BA141" s="3"/>
      <c r="BB141" s="3"/>
      <c r="BC141" s="3"/>
      <c r="BD141" s="3"/>
      <c r="BE141" s="3"/>
      <c r="BF141" s="3"/>
      <c r="BG141" s="3"/>
      <c r="BH141" s="15"/>
    </row>
    <row r="142" spans="2:60" ht="15" customHeight="1" x14ac:dyDescent="0.4">
      <c r="B142" s="125" t="s">
        <v>97</v>
      </c>
      <c r="C142" s="298" t="s">
        <v>98</v>
      </c>
      <c r="D142" s="299"/>
      <c r="E142" s="299"/>
      <c r="F142" s="300"/>
      <c r="G142" s="182">
        <f>I142*250+J187</f>
        <v>232000</v>
      </c>
      <c r="H142" s="140"/>
      <c r="I142" s="297">
        <f>SUM(H145:H225)</f>
        <v>728</v>
      </c>
      <c r="J142" s="33"/>
      <c r="K142" s="33"/>
      <c r="L142" s="155">
        <f>SUM(K145:K225)</f>
        <v>254841</v>
      </c>
      <c r="M142" s="14"/>
      <c r="N142" s="3"/>
      <c r="O142" s="15"/>
      <c r="P142" s="15"/>
      <c r="Y142" s="15"/>
      <c r="Z142" s="15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15"/>
      <c r="AM142" s="15"/>
      <c r="AN142" s="15"/>
      <c r="AO142" s="3"/>
      <c r="AP142" s="3"/>
      <c r="AQ142" s="3"/>
      <c r="AR142" s="3"/>
      <c r="AW142" s="3"/>
      <c r="AX142" s="15"/>
      <c r="AY142" s="15"/>
      <c r="AZ142" s="15"/>
      <c r="BA142" s="3"/>
      <c r="BB142" s="3"/>
      <c r="BC142" s="15"/>
      <c r="BD142" s="15"/>
      <c r="BE142" s="3"/>
      <c r="BF142" s="3"/>
      <c r="BG142" s="3"/>
      <c r="BH142" s="3"/>
    </row>
    <row r="143" spans="2:60" ht="15" customHeight="1" x14ac:dyDescent="0.4">
      <c r="B143" s="126"/>
      <c r="C143" s="301"/>
      <c r="D143" s="302"/>
      <c r="E143" s="302"/>
      <c r="F143" s="303"/>
      <c r="G143" s="183"/>
      <c r="H143" s="141"/>
      <c r="I143" s="297"/>
      <c r="J143" s="33"/>
      <c r="K143" s="33"/>
      <c r="L143" s="155"/>
      <c r="M143" s="14"/>
      <c r="N143" s="15"/>
      <c r="O143" s="15"/>
      <c r="P143" s="15"/>
      <c r="Y143" s="15"/>
      <c r="Z143" s="15"/>
      <c r="AA143" s="15"/>
      <c r="AB143" s="15"/>
      <c r="AC143" s="56"/>
      <c r="AD143" s="57"/>
      <c r="AE143" s="57"/>
      <c r="AF143" s="57"/>
      <c r="AG143" s="57"/>
      <c r="AH143" s="57"/>
      <c r="AI143" s="57"/>
      <c r="AJ143" s="57"/>
      <c r="AK143" s="57"/>
      <c r="AL143" s="57"/>
      <c r="AM143" s="57"/>
      <c r="AN143" s="58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3"/>
      <c r="BF143" s="3"/>
      <c r="BG143" s="3"/>
      <c r="BH143" s="3"/>
    </row>
    <row r="144" spans="2:60" ht="15" customHeight="1" x14ac:dyDescent="0.4">
      <c r="B144" s="127"/>
      <c r="C144" s="304"/>
      <c r="D144" s="305"/>
      <c r="E144" s="305"/>
      <c r="F144" s="306"/>
      <c r="G144" s="183"/>
      <c r="H144" s="142"/>
      <c r="I144" s="297"/>
      <c r="J144" s="33"/>
      <c r="K144" s="33"/>
      <c r="L144" s="155"/>
      <c r="M144" s="14"/>
      <c r="N144" s="15"/>
      <c r="O144" s="15"/>
      <c r="P144" s="15"/>
      <c r="Y144" s="15"/>
      <c r="Z144" s="15"/>
      <c r="AA144" s="15"/>
      <c r="AB144" s="15"/>
      <c r="AC144" s="15"/>
      <c r="AD144" s="3"/>
      <c r="AE144" s="3"/>
      <c r="AF144" s="3"/>
      <c r="AG144" s="3"/>
      <c r="AH144" s="3"/>
      <c r="AI144" s="3"/>
      <c r="AJ144" s="3"/>
      <c r="AK144" s="3"/>
      <c r="AL144" s="15"/>
      <c r="AM144" s="15"/>
      <c r="AN144" s="15"/>
      <c r="AO144" s="3"/>
      <c r="AP144" s="3"/>
      <c r="AQ144" s="3"/>
      <c r="AR144" s="15"/>
      <c r="AW144" s="3"/>
      <c r="AX144" s="15"/>
      <c r="AY144" s="15"/>
      <c r="AZ144" s="15"/>
      <c r="BA144" s="3"/>
      <c r="BB144" s="3"/>
      <c r="BC144" s="15"/>
      <c r="BD144" s="15"/>
      <c r="BE144" s="3"/>
      <c r="BF144" s="3"/>
      <c r="BG144" s="3"/>
      <c r="BH144" s="15"/>
    </row>
    <row r="145" spans="2:60" ht="20.149999999999999" customHeight="1" x14ac:dyDescent="0.4">
      <c r="B145" s="106"/>
      <c r="C145" s="109" t="s">
        <v>25</v>
      </c>
      <c r="D145" s="227" t="s">
        <v>99</v>
      </c>
      <c r="E145" s="228"/>
      <c r="F145" s="229"/>
      <c r="G145" s="45"/>
      <c r="H145" s="294">
        <f>SUM(G148:G159)</f>
        <v>88</v>
      </c>
      <c r="I145" s="63"/>
      <c r="J145" s="33"/>
      <c r="K145" s="124">
        <f>H145*$J$8</f>
        <v>24761</v>
      </c>
      <c r="M145" s="14"/>
      <c r="N145" s="3"/>
      <c r="O145" s="15"/>
      <c r="P145" s="15"/>
      <c r="Y145" s="15"/>
      <c r="Z145" s="15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15"/>
      <c r="AM145" s="15"/>
      <c r="AN145" s="15"/>
      <c r="AO145" s="3"/>
      <c r="AP145" s="3"/>
      <c r="AQ145" s="3"/>
      <c r="AR145" s="3"/>
      <c r="AW145" s="3"/>
      <c r="AX145" s="15"/>
      <c r="AY145" s="15"/>
      <c r="AZ145" s="15"/>
      <c r="BA145" s="3"/>
      <c r="BB145" s="3"/>
      <c r="BC145" s="15"/>
      <c r="BD145" s="15"/>
      <c r="BE145" s="3"/>
      <c r="BF145" s="3"/>
      <c r="BG145" s="3"/>
      <c r="BH145" s="3"/>
    </row>
    <row r="146" spans="2:60" ht="20.149999999999999" customHeight="1" x14ac:dyDescent="0.4">
      <c r="B146" s="156"/>
      <c r="C146" s="153"/>
      <c r="D146" s="230"/>
      <c r="E146" s="231"/>
      <c r="F146" s="232"/>
      <c r="G146" s="51"/>
      <c r="H146" s="294"/>
      <c r="J146" s="33"/>
      <c r="K146" s="124"/>
      <c r="M146" s="14"/>
      <c r="N146" s="15"/>
      <c r="O146" s="15"/>
      <c r="P146" s="15"/>
      <c r="Y146" s="15"/>
      <c r="Z146" s="15"/>
      <c r="AA146" s="15"/>
      <c r="AB146" s="15"/>
      <c r="AC146" s="75"/>
      <c r="AD146" s="76"/>
      <c r="AE146" s="76"/>
      <c r="AF146" s="77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3"/>
      <c r="BF146" s="3"/>
      <c r="BG146" s="3"/>
      <c r="BH146" s="3"/>
    </row>
    <row r="147" spans="2:60" ht="20.149999999999999" customHeight="1" x14ac:dyDescent="0.4">
      <c r="B147" s="157"/>
      <c r="C147" s="154"/>
      <c r="D147" s="233"/>
      <c r="E147" s="234"/>
      <c r="F147" s="235"/>
      <c r="G147" s="51"/>
      <c r="H147" s="294"/>
      <c r="J147" s="33"/>
      <c r="K147" s="124"/>
      <c r="M147" s="14"/>
      <c r="N147" s="15"/>
      <c r="O147" s="15"/>
      <c r="P147" s="15"/>
      <c r="Y147" s="15"/>
      <c r="Z147" s="15"/>
      <c r="AA147" s="15"/>
      <c r="AB147" s="15"/>
      <c r="AC147" s="15"/>
      <c r="AD147" s="3"/>
      <c r="AE147" s="3"/>
      <c r="AF147" s="3"/>
      <c r="AG147" s="3"/>
      <c r="AH147" s="3"/>
      <c r="AI147" s="3"/>
      <c r="AJ147" s="3"/>
      <c r="AK147" s="3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3"/>
      <c r="BB147" s="3"/>
      <c r="BC147" s="15"/>
      <c r="BD147" s="15"/>
      <c r="BE147" s="3"/>
      <c r="BF147" s="3"/>
      <c r="BG147" s="3"/>
      <c r="BH147" s="15"/>
    </row>
    <row r="148" spans="2:60" ht="14.15" customHeight="1" x14ac:dyDescent="0.4">
      <c r="B148" s="196"/>
      <c r="C148" s="196"/>
      <c r="D148" s="295" t="s">
        <v>100</v>
      </c>
      <c r="E148" s="251" t="s">
        <v>101</v>
      </c>
      <c r="F148" s="251"/>
      <c r="G148" s="170">
        <v>25</v>
      </c>
      <c r="I148" s="33"/>
      <c r="J148" s="33"/>
      <c r="K148" s="33"/>
      <c r="L148" s="33"/>
      <c r="M148" s="14"/>
      <c r="N148" s="15"/>
      <c r="O148" s="15"/>
      <c r="P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3"/>
      <c r="AI148" s="3"/>
      <c r="AJ148" s="3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3"/>
      <c r="BB148" s="3"/>
      <c r="BC148" s="15"/>
      <c r="BD148" s="15"/>
      <c r="BE148" s="3"/>
      <c r="BF148" s="3"/>
      <c r="BG148" s="3"/>
      <c r="BH148" s="15"/>
    </row>
    <row r="149" spans="2:60" ht="14.15" customHeight="1" x14ac:dyDescent="0.4">
      <c r="B149" s="196"/>
      <c r="C149" s="196"/>
      <c r="D149" s="296"/>
      <c r="E149" s="251"/>
      <c r="F149" s="251"/>
      <c r="G149" s="171"/>
      <c r="I149" s="33"/>
      <c r="J149" s="33"/>
      <c r="K149" s="33"/>
      <c r="L149" s="33"/>
      <c r="M149" s="14"/>
      <c r="N149" s="15"/>
      <c r="O149" s="15"/>
      <c r="P149" s="15"/>
      <c r="Y149" s="15"/>
      <c r="Z149" s="15"/>
      <c r="AA149" s="15"/>
      <c r="AB149" s="15"/>
      <c r="AC149" s="65"/>
      <c r="AD149" s="67"/>
      <c r="AE149" s="3"/>
      <c r="AF149" s="3"/>
      <c r="AG149" s="3"/>
      <c r="AH149" s="3"/>
      <c r="AI149" s="3"/>
      <c r="AJ149" s="3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C149" s="3"/>
      <c r="BD149" s="3"/>
      <c r="BE149" s="3"/>
      <c r="BF149" s="3"/>
      <c r="BG149" s="3"/>
      <c r="BH149" s="15"/>
    </row>
    <row r="150" spans="2:60" ht="14.15" customHeight="1" x14ac:dyDescent="0.4">
      <c r="B150" s="196"/>
      <c r="C150" s="196"/>
      <c r="D150" s="296"/>
      <c r="E150" s="251"/>
      <c r="F150" s="251"/>
      <c r="G150" s="172"/>
      <c r="I150" s="33"/>
      <c r="J150" s="33"/>
      <c r="K150" s="33"/>
      <c r="L150" s="33"/>
      <c r="M150" s="14"/>
      <c r="N150" s="15"/>
      <c r="O150" s="15"/>
      <c r="P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3"/>
      <c r="AI150" s="3"/>
      <c r="AJ150" s="3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3"/>
      <c r="BB150" s="3"/>
      <c r="BC150" s="3"/>
      <c r="BD150" s="3"/>
      <c r="BE150" s="3"/>
      <c r="BF150" s="3"/>
      <c r="BG150" s="3"/>
      <c r="BH150" s="15"/>
    </row>
    <row r="151" spans="2:60" ht="14.15" customHeight="1" x14ac:dyDescent="0.4">
      <c r="B151" s="196"/>
      <c r="C151" s="196"/>
      <c r="D151" s="295" t="s">
        <v>102</v>
      </c>
      <c r="E151" s="251" t="s">
        <v>103</v>
      </c>
      <c r="F151" s="251"/>
      <c r="G151" s="170">
        <v>25</v>
      </c>
      <c r="I151" s="33"/>
      <c r="J151" s="33"/>
      <c r="K151" s="33"/>
      <c r="L151" s="33"/>
      <c r="M151" s="14"/>
      <c r="N151" s="15"/>
      <c r="O151" s="15"/>
      <c r="P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3"/>
      <c r="AI151" s="3"/>
      <c r="AJ151" s="3"/>
      <c r="AK151" s="15"/>
      <c r="AL151" s="3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3"/>
      <c r="BB151" s="3"/>
      <c r="BC151" s="3"/>
      <c r="BD151" s="3"/>
      <c r="BE151" s="3"/>
      <c r="BF151" s="3"/>
      <c r="BG151" s="3"/>
      <c r="BH151" s="15"/>
    </row>
    <row r="152" spans="2:60" ht="14.15" customHeight="1" x14ac:dyDescent="0.4">
      <c r="B152" s="196"/>
      <c r="C152" s="196"/>
      <c r="D152" s="296"/>
      <c r="E152" s="251"/>
      <c r="F152" s="251"/>
      <c r="G152" s="171"/>
      <c r="I152" s="33"/>
      <c r="J152" s="33"/>
      <c r="K152" s="33"/>
      <c r="L152" s="33"/>
      <c r="M152" s="14"/>
      <c r="N152" s="15"/>
      <c r="O152" s="15"/>
      <c r="P152" s="15"/>
      <c r="AC152" s="65"/>
      <c r="AD152" s="67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C152" s="3"/>
      <c r="BD152" s="3"/>
      <c r="BE152" s="3"/>
      <c r="BF152" s="3"/>
      <c r="BG152" s="3"/>
      <c r="BH152" s="15"/>
    </row>
    <row r="153" spans="2:60" ht="14.15" customHeight="1" x14ac:dyDescent="0.4">
      <c r="B153" s="196"/>
      <c r="C153" s="196"/>
      <c r="D153" s="296"/>
      <c r="E153" s="251"/>
      <c r="F153" s="251"/>
      <c r="G153" s="172"/>
      <c r="I153" s="33"/>
      <c r="J153" s="33"/>
      <c r="K153" s="33"/>
      <c r="L153" s="33"/>
      <c r="M153" s="14"/>
      <c r="N153" s="15"/>
      <c r="O153" s="15"/>
      <c r="P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3"/>
      <c r="AI153" s="3"/>
      <c r="AJ153" s="3"/>
      <c r="AK153" s="15"/>
      <c r="AL153" s="3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3"/>
      <c r="BB153" s="3"/>
      <c r="BC153" s="3"/>
      <c r="BD153" s="3"/>
      <c r="BE153" s="3"/>
      <c r="BF153" s="3"/>
      <c r="BG153" s="3"/>
      <c r="BH153" s="15"/>
    </row>
    <row r="154" spans="2:60" ht="14.15" customHeight="1" x14ac:dyDescent="0.4">
      <c r="B154" s="196"/>
      <c r="C154" s="196"/>
      <c r="D154" s="295" t="s">
        <v>104</v>
      </c>
      <c r="E154" s="251" t="s">
        <v>105</v>
      </c>
      <c r="F154" s="251"/>
      <c r="G154" s="170">
        <v>19</v>
      </c>
      <c r="I154" s="33"/>
      <c r="J154" s="33"/>
      <c r="K154" s="33"/>
      <c r="L154" s="33"/>
      <c r="M154" s="14"/>
      <c r="N154" s="15"/>
      <c r="O154" s="15"/>
      <c r="P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3"/>
      <c r="AI154" s="3"/>
      <c r="AJ154" s="3"/>
      <c r="AK154" s="15"/>
      <c r="AL154" s="3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3"/>
      <c r="BB154" s="3"/>
      <c r="BC154" s="3"/>
      <c r="BD154" s="3"/>
      <c r="BE154" s="3"/>
      <c r="BF154" s="3"/>
      <c r="BG154" s="3"/>
      <c r="BH154" s="15"/>
    </row>
    <row r="155" spans="2:60" ht="14.15" customHeight="1" x14ac:dyDescent="0.4">
      <c r="B155" s="196"/>
      <c r="C155" s="196"/>
      <c r="D155" s="296"/>
      <c r="E155" s="251"/>
      <c r="F155" s="251"/>
      <c r="G155" s="171"/>
      <c r="I155" s="33"/>
      <c r="J155" s="33"/>
      <c r="K155" s="33"/>
      <c r="L155" s="33"/>
      <c r="M155" s="14"/>
      <c r="N155" s="15"/>
      <c r="O155" s="15"/>
      <c r="P155" s="15"/>
      <c r="AC155" s="15"/>
      <c r="AD155" s="65"/>
      <c r="AE155" s="67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C155" s="3"/>
      <c r="BD155" s="3"/>
      <c r="BE155" s="3"/>
      <c r="BF155" s="3"/>
      <c r="BG155" s="3"/>
      <c r="BH155" s="15"/>
    </row>
    <row r="156" spans="2:60" ht="14.15" customHeight="1" x14ac:dyDescent="0.4">
      <c r="B156" s="196"/>
      <c r="C156" s="196"/>
      <c r="D156" s="296"/>
      <c r="E156" s="251"/>
      <c r="F156" s="251"/>
      <c r="G156" s="172"/>
      <c r="I156" s="33"/>
      <c r="J156" s="33"/>
      <c r="K156" s="33"/>
      <c r="L156" s="33"/>
      <c r="M156" s="14"/>
      <c r="N156" s="15"/>
      <c r="O156" s="15"/>
      <c r="P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3"/>
      <c r="AI156" s="3"/>
      <c r="AJ156" s="3"/>
      <c r="AK156" s="15"/>
      <c r="AL156" s="3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3"/>
      <c r="BB156" s="3"/>
      <c r="BC156" s="3"/>
      <c r="BD156" s="3"/>
      <c r="BE156" s="3"/>
      <c r="BF156" s="3"/>
      <c r="BG156" s="3"/>
      <c r="BH156" s="15"/>
    </row>
    <row r="157" spans="2:60" ht="14.15" customHeight="1" x14ac:dyDescent="0.4">
      <c r="B157" s="196"/>
      <c r="C157" s="196"/>
      <c r="D157" s="295" t="s">
        <v>106</v>
      </c>
      <c r="E157" s="251" t="s">
        <v>107</v>
      </c>
      <c r="F157" s="251"/>
      <c r="G157" s="170">
        <v>19</v>
      </c>
      <c r="I157" s="33"/>
      <c r="J157" s="33"/>
      <c r="K157" s="33"/>
      <c r="L157" s="33"/>
      <c r="M157" s="14"/>
      <c r="N157" s="15"/>
      <c r="O157" s="15"/>
      <c r="P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3"/>
      <c r="AI157" s="3"/>
      <c r="AJ157" s="3"/>
      <c r="AK157" s="15"/>
      <c r="AL157" s="3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3"/>
      <c r="BB157" s="3"/>
      <c r="BC157" s="3"/>
      <c r="BD157" s="3"/>
      <c r="BE157" s="3"/>
      <c r="BF157" s="3"/>
      <c r="BG157" s="3"/>
      <c r="BH157" s="15"/>
    </row>
    <row r="158" spans="2:60" ht="14.15" customHeight="1" x14ac:dyDescent="0.4">
      <c r="B158" s="196"/>
      <c r="C158" s="196"/>
      <c r="D158" s="296"/>
      <c r="E158" s="251"/>
      <c r="F158" s="251"/>
      <c r="G158" s="171"/>
      <c r="I158" s="33"/>
      <c r="J158" s="33"/>
      <c r="K158" s="33"/>
      <c r="L158" s="33"/>
      <c r="M158" s="14"/>
      <c r="N158" s="15"/>
      <c r="O158" s="15"/>
      <c r="P158" s="15"/>
      <c r="AC158" s="15"/>
      <c r="AD158" s="15"/>
      <c r="AE158" s="65"/>
      <c r="AF158" s="67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C158" s="3"/>
      <c r="BD158" s="3"/>
      <c r="BE158" s="3"/>
      <c r="BF158" s="3"/>
      <c r="BG158" s="3"/>
      <c r="BH158" s="15"/>
    </row>
    <row r="159" spans="2:60" ht="14.15" customHeight="1" x14ac:dyDescent="0.4">
      <c r="B159" s="196"/>
      <c r="C159" s="196"/>
      <c r="D159" s="296"/>
      <c r="E159" s="251"/>
      <c r="F159" s="251"/>
      <c r="G159" s="172"/>
      <c r="I159" s="33"/>
      <c r="J159" s="33"/>
      <c r="K159" s="33"/>
      <c r="L159" s="33"/>
      <c r="M159" s="14"/>
      <c r="N159" s="15"/>
      <c r="O159" s="15"/>
      <c r="P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3"/>
      <c r="AI159" s="3"/>
      <c r="AJ159" s="3"/>
      <c r="AK159" s="15"/>
      <c r="AL159" s="3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3"/>
      <c r="BB159" s="3"/>
      <c r="BC159" s="3"/>
      <c r="BD159" s="3"/>
      <c r="BE159" s="3"/>
      <c r="BF159" s="3"/>
      <c r="BG159" s="3"/>
      <c r="BH159" s="15"/>
    </row>
    <row r="160" spans="2:60" ht="15" customHeight="1" x14ac:dyDescent="0.4">
      <c r="B160" s="106"/>
      <c r="C160" s="109" t="s">
        <v>27</v>
      </c>
      <c r="D160" s="187" t="s">
        <v>108</v>
      </c>
      <c r="E160" s="188"/>
      <c r="F160" s="189"/>
      <c r="G160" s="45"/>
      <c r="H160" s="294">
        <f>SUM(G163:G183)</f>
        <v>220</v>
      </c>
      <c r="I160" s="63"/>
      <c r="J160" s="33"/>
      <c r="K160" s="124">
        <f>H160*$J$8</f>
        <v>61902.5</v>
      </c>
      <c r="M160" s="14"/>
      <c r="N160" s="3"/>
      <c r="O160" s="15"/>
      <c r="P160" s="15"/>
      <c r="Y160" s="15"/>
      <c r="Z160" s="15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15"/>
      <c r="AM160" s="15"/>
      <c r="AN160" s="15"/>
      <c r="AO160" s="3"/>
      <c r="AP160" s="3"/>
      <c r="AQ160" s="3"/>
      <c r="AR160" s="3"/>
      <c r="AW160" s="3"/>
      <c r="AX160" s="15"/>
      <c r="AY160" s="15"/>
      <c r="AZ160" s="15"/>
      <c r="BA160" s="3"/>
      <c r="BB160" s="3"/>
      <c r="BC160" s="15"/>
      <c r="BD160" s="15"/>
      <c r="BE160" s="3"/>
      <c r="BF160" s="3"/>
      <c r="BG160" s="3"/>
      <c r="BH160" s="3"/>
    </row>
    <row r="161" spans="2:60" ht="15" customHeight="1" x14ac:dyDescent="0.4">
      <c r="B161" s="156"/>
      <c r="C161" s="153"/>
      <c r="D161" s="190"/>
      <c r="E161" s="191"/>
      <c r="F161" s="192"/>
      <c r="G161" s="51"/>
      <c r="H161" s="294"/>
      <c r="J161" s="33"/>
      <c r="K161" s="124"/>
      <c r="M161" s="14"/>
      <c r="N161" s="15"/>
      <c r="O161" s="15"/>
      <c r="P161" s="15"/>
      <c r="Y161" s="15"/>
      <c r="Z161" s="15"/>
      <c r="AA161" s="15"/>
      <c r="AB161" s="15"/>
      <c r="AF161" s="75"/>
      <c r="AG161" s="76"/>
      <c r="AH161" s="76"/>
      <c r="AI161" s="77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3"/>
      <c r="BF161" s="3"/>
      <c r="BG161" s="3"/>
      <c r="BH161" s="3"/>
    </row>
    <row r="162" spans="2:60" ht="15" customHeight="1" x14ac:dyDescent="0.4">
      <c r="B162" s="157"/>
      <c r="C162" s="154"/>
      <c r="D162" s="193"/>
      <c r="E162" s="194"/>
      <c r="F162" s="195"/>
      <c r="G162" s="51"/>
      <c r="H162" s="294"/>
      <c r="J162" s="33"/>
      <c r="K162" s="124"/>
      <c r="M162" s="14"/>
      <c r="N162" s="15"/>
      <c r="O162" s="15"/>
      <c r="P162" s="15"/>
      <c r="Y162" s="15"/>
      <c r="Z162" s="15"/>
      <c r="AA162" s="15"/>
      <c r="AB162" s="15"/>
      <c r="AC162" s="15"/>
      <c r="AD162" s="3"/>
      <c r="AE162" s="3"/>
      <c r="AF162" s="3"/>
      <c r="AG162" s="3"/>
      <c r="AH162" s="3"/>
      <c r="AI162" s="3"/>
      <c r="AJ162" s="3"/>
      <c r="AK162" s="3"/>
      <c r="AL162" s="15"/>
      <c r="AM162" s="15"/>
      <c r="AN162" s="15"/>
      <c r="AO162" s="3"/>
      <c r="AP162" s="3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3"/>
      <c r="BF162" s="3"/>
      <c r="BG162" s="3"/>
      <c r="BH162" s="15"/>
    </row>
    <row r="163" spans="2:60" ht="15" customHeight="1" x14ac:dyDescent="0.4">
      <c r="B163" s="196"/>
      <c r="C163" s="196"/>
      <c r="D163" s="197" t="s">
        <v>109</v>
      </c>
      <c r="E163" s="272" t="s">
        <v>110</v>
      </c>
      <c r="F163" s="272"/>
      <c r="G163" s="170">
        <v>35</v>
      </c>
      <c r="I163" s="33"/>
      <c r="J163" s="33"/>
      <c r="K163" s="33"/>
      <c r="L163" s="33"/>
      <c r="M163" s="14"/>
      <c r="N163" s="15"/>
      <c r="O163" s="15"/>
      <c r="P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3"/>
      <c r="AI163" s="3"/>
      <c r="AJ163" s="3"/>
      <c r="AK163" s="15"/>
      <c r="AL163" s="3"/>
      <c r="AM163" s="3"/>
      <c r="AN163" s="3"/>
      <c r="AO163" s="3"/>
      <c r="AP163" s="3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3"/>
      <c r="BD163" s="3"/>
      <c r="BE163" s="3"/>
      <c r="BF163" s="3"/>
      <c r="BG163" s="3"/>
      <c r="BH163" s="15"/>
    </row>
    <row r="164" spans="2:60" ht="15" customHeight="1" x14ac:dyDescent="0.4">
      <c r="B164" s="196"/>
      <c r="C164" s="196"/>
      <c r="D164" s="198"/>
      <c r="E164" s="272"/>
      <c r="F164" s="272"/>
      <c r="G164" s="171"/>
      <c r="I164" s="33"/>
      <c r="J164" s="33"/>
      <c r="K164" s="33"/>
      <c r="L164" s="33"/>
      <c r="M164" s="14"/>
      <c r="N164" s="15"/>
      <c r="O164" s="15"/>
      <c r="P164" s="15"/>
      <c r="AC164" s="15"/>
      <c r="AD164" s="15"/>
      <c r="AE164" s="15"/>
      <c r="AF164" s="65"/>
      <c r="AG164" s="67"/>
      <c r="AH164" s="3"/>
      <c r="AI164" s="3"/>
      <c r="AJ164" s="3"/>
      <c r="AK164" s="3"/>
      <c r="AL164" s="3"/>
      <c r="AM164" s="3"/>
      <c r="AN164" s="3"/>
      <c r="AO164" s="3"/>
      <c r="AP164" s="3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3"/>
      <c r="BD164" s="3"/>
      <c r="BE164" s="3"/>
      <c r="BF164" s="3"/>
      <c r="BG164" s="3"/>
      <c r="BH164" s="15"/>
    </row>
    <row r="165" spans="2:60" ht="15" customHeight="1" x14ac:dyDescent="0.4">
      <c r="B165" s="196"/>
      <c r="C165" s="196"/>
      <c r="D165" s="198"/>
      <c r="E165" s="272"/>
      <c r="F165" s="272"/>
      <c r="G165" s="172"/>
      <c r="I165" s="33"/>
      <c r="J165" s="33"/>
      <c r="K165" s="33"/>
      <c r="L165" s="33"/>
      <c r="M165" s="14"/>
      <c r="N165" s="15"/>
      <c r="O165" s="15"/>
      <c r="P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3"/>
      <c r="AI165" s="3"/>
      <c r="AJ165" s="3"/>
      <c r="AK165" s="15"/>
      <c r="AL165" s="3"/>
      <c r="AM165" s="3"/>
      <c r="AN165" s="3"/>
      <c r="AO165" s="3"/>
      <c r="AP165" s="3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3"/>
      <c r="BD165" s="3"/>
      <c r="BE165" s="3"/>
      <c r="BF165" s="3"/>
      <c r="BG165" s="3"/>
      <c r="BH165" s="15"/>
    </row>
    <row r="166" spans="2:60" ht="15" customHeight="1" x14ac:dyDescent="0.4">
      <c r="B166" s="196"/>
      <c r="C166" s="196"/>
      <c r="D166" s="197" t="s">
        <v>111</v>
      </c>
      <c r="E166" s="252" t="s">
        <v>112</v>
      </c>
      <c r="F166" s="252"/>
      <c r="G166" s="170">
        <v>30</v>
      </c>
      <c r="I166" s="33"/>
      <c r="J166" s="33"/>
      <c r="K166" s="33"/>
      <c r="L166" s="33"/>
      <c r="M166" s="14"/>
      <c r="N166" s="15"/>
      <c r="O166" s="15"/>
      <c r="P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3"/>
      <c r="AI166" s="3"/>
      <c r="AJ166" s="3"/>
      <c r="AK166" s="15"/>
      <c r="AL166" s="3"/>
      <c r="AM166" s="3"/>
      <c r="AN166" s="3"/>
      <c r="AO166" s="3"/>
      <c r="AP166" s="3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3"/>
      <c r="BD166" s="3"/>
      <c r="BE166" s="3"/>
      <c r="BF166" s="3"/>
      <c r="BG166" s="3"/>
      <c r="BH166" s="15"/>
    </row>
    <row r="167" spans="2:60" ht="15" customHeight="1" x14ac:dyDescent="0.4">
      <c r="B167" s="196"/>
      <c r="C167" s="196"/>
      <c r="D167" s="198"/>
      <c r="E167" s="252"/>
      <c r="F167" s="252"/>
      <c r="G167" s="171"/>
      <c r="I167" s="33"/>
      <c r="J167" s="33"/>
      <c r="K167" s="33"/>
      <c r="L167" s="33"/>
      <c r="M167" s="14"/>
      <c r="N167" s="15"/>
      <c r="O167" s="15"/>
      <c r="P167" s="15"/>
      <c r="AC167" s="15"/>
      <c r="AD167" s="15"/>
      <c r="AE167" s="15"/>
      <c r="AF167" s="65"/>
      <c r="AG167" s="67"/>
      <c r="AH167" s="15"/>
      <c r="AI167" s="15"/>
      <c r="AJ167" s="15"/>
      <c r="AK167" s="15"/>
      <c r="AL167" s="15"/>
      <c r="AM167" s="15"/>
      <c r="AN167" s="3"/>
      <c r="AO167" s="3"/>
      <c r="AP167" s="3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3"/>
      <c r="BD167" s="3"/>
      <c r="BE167" s="3"/>
      <c r="BF167" s="3"/>
      <c r="BG167" s="3"/>
      <c r="BH167" s="15"/>
    </row>
    <row r="168" spans="2:60" ht="15" customHeight="1" x14ac:dyDescent="0.4">
      <c r="B168" s="196"/>
      <c r="C168" s="196"/>
      <c r="D168" s="198"/>
      <c r="E168" s="252"/>
      <c r="F168" s="252"/>
      <c r="G168" s="172"/>
      <c r="I168" s="33"/>
      <c r="J168" s="33"/>
      <c r="K168" s="33"/>
      <c r="L168" s="33"/>
      <c r="M168" s="14"/>
      <c r="N168" s="15"/>
      <c r="O168" s="15"/>
      <c r="P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3"/>
      <c r="AI168" s="3"/>
      <c r="AJ168" s="3"/>
      <c r="AK168" s="15"/>
      <c r="AL168" s="3"/>
      <c r="AM168" s="3"/>
      <c r="AN168" s="3"/>
      <c r="AO168" s="3"/>
      <c r="AP168" s="3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3"/>
      <c r="BD168" s="3"/>
      <c r="BE168" s="3"/>
      <c r="BF168" s="3"/>
      <c r="BG168" s="3"/>
      <c r="BH168" s="15"/>
    </row>
    <row r="169" spans="2:60" ht="14.15" customHeight="1" x14ac:dyDescent="0.4">
      <c r="B169" s="68"/>
      <c r="C169" s="69"/>
      <c r="D169" s="197" t="s">
        <v>113</v>
      </c>
      <c r="E169" s="266" t="s">
        <v>114</v>
      </c>
      <c r="F169" s="267"/>
      <c r="G169" s="170">
        <v>35</v>
      </c>
      <c r="I169" s="33"/>
      <c r="J169" s="33"/>
      <c r="K169" s="33"/>
      <c r="L169" s="63"/>
      <c r="M169" s="14"/>
      <c r="N169" s="15"/>
      <c r="O169" s="15"/>
      <c r="P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3"/>
      <c r="AI169" s="3"/>
      <c r="AJ169" s="3"/>
      <c r="AK169" s="3"/>
      <c r="AL169" s="3"/>
      <c r="AM169" s="3"/>
      <c r="AN169" s="3"/>
      <c r="AO169" s="3"/>
      <c r="AP169" s="3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3"/>
      <c r="BD169" s="3"/>
      <c r="BE169" s="3"/>
      <c r="BF169" s="3"/>
      <c r="BG169" s="3"/>
      <c r="BH169" s="15"/>
    </row>
    <row r="170" spans="2:60" ht="14.15" customHeight="1" x14ac:dyDescent="0.4">
      <c r="B170" s="68"/>
      <c r="C170" s="69"/>
      <c r="D170" s="198"/>
      <c r="E170" s="268"/>
      <c r="F170" s="269"/>
      <c r="G170" s="171"/>
      <c r="I170" s="33"/>
      <c r="J170" s="33"/>
      <c r="K170" s="33"/>
      <c r="L170" s="63"/>
      <c r="M170" s="14"/>
      <c r="N170" s="15"/>
      <c r="O170" s="15"/>
      <c r="P170" s="15"/>
      <c r="Y170" s="15"/>
      <c r="Z170" s="15"/>
      <c r="AA170" s="15"/>
      <c r="AB170" s="15"/>
      <c r="AC170" s="15"/>
      <c r="AD170" s="15"/>
      <c r="AE170" s="15"/>
      <c r="AF170" s="15"/>
      <c r="AG170" s="65"/>
      <c r="AH170" s="67"/>
      <c r="AI170" s="3"/>
      <c r="AJ170" s="3"/>
      <c r="AK170" s="3"/>
      <c r="AL170" s="3"/>
      <c r="AM170" s="3"/>
      <c r="AN170" s="3"/>
      <c r="AO170" s="3"/>
      <c r="AP170" s="3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3"/>
      <c r="BD170" s="3"/>
      <c r="BE170" s="3"/>
      <c r="BF170" s="3"/>
      <c r="BG170" s="3"/>
      <c r="BH170" s="15"/>
    </row>
    <row r="171" spans="2:60" ht="14.15" customHeight="1" x14ac:dyDescent="0.4">
      <c r="B171" s="68"/>
      <c r="C171" s="69"/>
      <c r="D171" s="198"/>
      <c r="E171" s="268"/>
      <c r="F171" s="269"/>
      <c r="G171" s="172"/>
      <c r="I171" s="33"/>
      <c r="J171" s="33"/>
      <c r="K171" s="33"/>
      <c r="L171" s="33"/>
      <c r="M171" s="14"/>
      <c r="N171" s="15"/>
      <c r="O171" s="15"/>
      <c r="P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3"/>
      <c r="AI171" s="3"/>
      <c r="AJ171" s="3"/>
      <c r="AK171" s="3"/>
      <c r="AL171" s="3"/>
      <c r="AM171" s="3"/>
      <c r="AN171" s="3"/>
      <c r="AO171" s="3"/>
      <c r="AP171" s="3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3"/>
      <c r="BD171" s="3"/>
      <c r="BE171" s="3"/>
      <c r="BF171" s="3"/>
      <c r="BG171" s="3"/>
      <c r="BH171" s="15"/>
    </row>
    <row r="172" spans="2:60" ht="14.15" customHeight="1" x14ac:dyDescent="0.4">
      <c r="B172" s="68"/>
      <c r="C172" s="69"/>
      <c r="D172" s="197" t="s">
        <v>115</v>
      </c>
      <c r="E172" s="266" t="s">
        <v>116</v>
      </c>
      <c r="F172" s="267"/>
      <c r="G172" s="170">
        <v>30</v>
      </c>
      <c r="I172" s="33"/>
      <c r="J172" s="33"/>
      <c r="K172" s="33"/>
      <c r="L172" s="63"/>
      <c r="M172" s="14"/>
      <c r="N172" s="15"/>
      <c r="O172" s="15"/>
      <c r="P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3"/>
      <c r="AI172" s="3"/>
      <c r="AJ172" s="3"/>
      <c r="AK172" s="3"/>
      <c r="AL172" s="3"/>
      <c r="AM172" s="3"/>
      <c r="AN172" s="3"/>
      <c r="AO172" s="3"/>
      <c r="AP172" s="3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3"/>
      <c r="BD172" s="3"/>
      <c r="BE172" s="3"/>
      <c r="BF172" s="3"/>
      <c r="BG172" s="3"/>
      <c r="BH172" s="15"/>
    </row>
    <row r="173" spans="2:60" ht="14.15" customHeight="1" x14ac:dyDescent="0.4">
      <c r="B173" s="68"/>
      <c r="C173" s="69"/>
      <c r="D173" s="198"/>
      <c r="E173" s="268"/>
      <c r="F173" s="269"/>
      <c r="G173" s="171"/>
      <c r="I173" s="33"/>
      <c r="J173" s="33"/>
      <c r="K173" s="33"/>
      <c r="L173" s="63"/>
      <c r="M173" s="14"/>
      <c r="N173" s="15"/>
      <c r="O173" s="15"/>
      <c r="P173" s="15"/>
      <c r="Y173" s="15"/>
      <c r="Z173" s="15"/>
      <c r="AA173" s="15"/>
      <c r="AB173" s="15"/>
      <c r="AC173" s="15"/>
      <c r="AD173" s="15"/>
      <c r="AE173" s="15"/>
      <c r="AF173" s="15"/>
      <c r="AG173" s="65"/>
      <c r="AH173" s="67"/>
      <c r="AI173" s="3"/>
      <c r="AJ173" s="3"/>
      <c r="AK173" s="3"/>
      <c r="AL173" s="3"/>
      <c r="AM173" s="3"/>
      <c r="AN173" s="3"/>
      <c r="AO173" s="3"/>
      <c r="AP173" s="3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3"/>
      <c r="BD173" s="3"/>
      <c r="BE173" s="3"/>
      <c r="BF173" s="3"/>
      <c r="BG173" s="3"/>
      <c r="BH173" s="15"/>
    </row>
    <row r="174" spans="2:60" ht="14.15" customHeight="1" x14ac:dyDescent="0.4">
      <c r="B174" s="68"/>
      <c r="C174" s="69"/>
      <c r="D174" s="198"/>
      <c r="E174" s="268"/>
      <c r="F174" s="269"/>
      <c r="G174" s="172"/>
      <c r="I174" s="33"/>
      <c r="J174" s="33"/>
      <c r="K174" s="33"/>
      <c r="L174" s="33"/>
      <c r="M174" s="14"/>
      <c r="N174" s="15"/>
      <c r="O174" s="15"/>
      <c r="P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3"/>
      <c r="AI174" s="3"/>
      <c r="AJ174" s="3"/>
      <c r="AK174" s="3"/>
      <c r="AL174" s="3"/>
      <c r="AM174" s="3"/>
      <c r="AN174" s="3"/>
      <c r="AO174" s="3"/>
      <c r="AP174" s="3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3"/>
      <c r="BD174" s="3"/>
      <c r="BE174" s="3"/>
      <c r="BF174" s="3"/>
      <c r="BG174" s="3"/>
      <c r="BH174" s="15"/>
    </row>
    <row r="175" spans="2:60" ht="14.15" customHeight="1" x14ac:dyDescent="0.4">
      <c r="B175" s="68"/>
      <c r="C175" s="69"/>
      <c r="D175" s="197" t="s">
        <v>117</v>
      </c>
      <c r="E175" s="199" t="s">
        <v>118</v>
      </c>
      <c r="F175" s="199"/>
      <c r="G175" s="170">
        <v>30</v>
      </c>
      <c r="I175" s="33"/>
      <c r="J175" s="33"/>
      <c r="K175" s="33"/>
      <c r="L175" s="63"/>
      <c r="M175" s="14"/>
      <c r="N175" s="15"/>
      <c r="O175" s="15"/>
      <c r="P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3"/>
      <c r="AI175" s="3"/>
      <c r="AJ175" s="3"/>
      <c r="AK175" s="3"/>
      <c r="AL175" s="3"/>
      <c r="AM175" s="3"/>
      <c r="AN175" s="3"/>
      <c r="AO175" s="3"/>
      <c r="AP175" s="3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3"/>
      <c r="BD175" s="3"/>
      <c r="BE175" s="3"/>
      <c r="BF175" s="3"/>
      <c r="BG175" s="3"/>
      <c r="BH175" s="15"/>
    </row>
    <row r="176" spans="2:60" ht="14.15" customHeight="1" x14ac:dyDescent="0.4">
      <c r="B176" s="68"/>
      <c r="C176" s="69"/>
      <c r="D176" s="198"/>
      <c r="E176" s="199"/>
      <c r="F176" s="199"/>
      <c r="G176" s="171"/>
      <c r="I176" s="33"/>
      <c r="J176" s="33"/>
      <c r="K176" s="33"/>
      <c r="L176" s="63"/>
      <c r="M176" s="14"/>
      <c r="N176" s="15"/>
      <c r="O176" s="15"/>
      <c r="P176" s="15"/>
      <c r="Y176" s="15"/>
      <c r="Z176" s="15"/>
      <c r="AA176" s="15"/>
      <c r="AB176" s="15"/>
      <c r="AC176" s="15"/>
      <c r="AD176" s="15"/>
      <c r="AE176" s="15"/>
      <c r="AF176" s="15"/>
      <c r="AG176" s="65"/>
      <c r="AH176" s="67"/>
      <c r="AI176" s="3"/>
      <c r="AJ176" s="3"/>
      <c r="AK176" s="3"/>
      <c r="AL176" s="3"/>
      <c r="AM176" s="3"/>
      <c r="AN176" s="3"/>
      <c r="AO176" s="3"/>
      <c r="AP176" s="3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3"/>
      <c r="BD176" s="3"/>
      <c r="BE176" s="3"/>
      <c r="BF176" s="3"/>
      <c r="BG176" s="3"/>
      <c r="BH176" s="15"/>
    </row>
    <row r="177" spans="2:60" ht="14.15" customHeight="1" x14ac:dyDescent="0.4">
      <c r="B177" s="68"/>
      <c r="C177" s="69"/>
      <c r="D177" s="198"/>
      <c r="E177" s="199"/>
      <c r="F177" s="199"/>
      <c r="G177" s="172"/>
      <c r="I177" s="33"/>
      <c r="J177" s="33"/>
      <c r="K177" s="33"/>
      <c r="L177" s="33"/>
      <c r="M177" s="14"/>
      <c r="N177" s="15"/>
      <c r="O177" s="15"/>
      <c r="P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3"/>
      <c r="AI177" s="3"/>
      <c r="AJ177" s="3"/>
      <c r="AK177" s="3"/>
      <c r="AL177" s="3"/>
      <c r="AM177" s="3"/>
      <c r="AN177" s="3"/>
      <c r="AO177" s="3"/>
      <c r="AP177" s="3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3"/>
      <c r="BD177" s="3"/>
      <c r="BE177" s="3"/>
      <c r="BF177" s="3"/>
      <c r="BG177" s="3"/>
      <c r="BH177" s="15"/>
    </row>
    <row r="178" spans="2:60" ht="14.15" customHeight="1" x14ac:dyDescent="0.4">
      <c r="B178" s="68"/>
      <c r="C178" s="69"/>
      <c r="D178" s="197" t="s">
        <v>119</v>
      </c>
      <c r="E178" s="290" t="s">
        <v>120</v>
      </c>
      <c r="F178" s="291"/>
      <c r="G178" s="170">
        <v>30</v>
      </c>
      <c r="I178" s="33"/>
      <c r="J178" s="33"/>
      <c r="K178" s="33"/>
      <c r="L178" s="63"/>
      <c r="M178" s="14"/>
      <c r="N178" s="15"/>
      <c r="O178" s="15"/>
      <c r="P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3"/>
      <c r="AI178" s="3"/>
      <c r="AJ178" s="3"/>
      <c r="AK178" s="3"/>
      <c r="AL178" s="3"/>
      <c r="AM178" s="3"/>
      <c r="AN178" s="3"/>
      <c r="AO178" s="3"/>
      <c r="AP178" s="3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3"/>
      <c r="BD178" s="3"/>
      <c r="BE178" s="3"/>
      <c r="BF178" s="3"/>
      <c r="BG178" s="3"/>
      <c r="BH178" s="15"/>
    </row>
    <row r="179" spans="2:60" ht="14.15" customHeight="1" x14ac:dyDescent="0.4">
      <c r="B179" s="68"/>
      <c r="C179" s="69"/>
      <c r="D179" s="198"/>
      <c r="E179" s="292"/>
      <c r="F179" s="293"/>
      <c r="G179" s="171"/>
      <c r="I179" s="33"/>
      <c r="J179" s="33"/>
      <c r="K179" s="33"/>
      <c r="L179" s="63"/>
      <c r="M179" s="14"/>
      <c r="N179" s="15"/>
      <c r="O179" s="15"/>
      <c r="P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65"/>
      <c r="AI179" s="67"/>
      <c r="AJ179" s="3"/>
      <c r="AK179" s="3"/>
      <c r="AL179" s="3"/>
      <c r="AM179" s="3"/>
      <c r="AN179" s="3"/>
      <c r="AO179" s="3"/>
      <c r="AP179" s="3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3"/>
      <c r="BD179" s="3"/>
      <c r="BE179" s="3"/>
      <c r="BF179" s="3"/>
      <c r="BG179" s="3"/>
      <c r="BH179" s="15"/>
    </row>
    <row r="180" spans="2:60" ht="14.15" customHeight="1" x14ac:dyDescent="0.4">
      <c r="B180" s="68"/>
      <c r="C180" s="69"/>
      <c r="D180" s="198"/>
      <c r="E180" s="292"/>
      <c r="F180" s="293"/>
      <c r="G180" s="172"/>
      <c r="I180" s="33"/>
      <c r="J180" s="33"/>
      <c r="K180" s="33"/>
      <c r="L180" s="33"/>
      <c r="M180" s="14"/>
      <c r="N180" s="15"/>
      <c r="O180" s="15"/>
      <c r="P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3"/>
      <c r="AI180" s="3"/>
      <c r="AJ180" s="3"/>
      <c r="AK180" s="3"/>
      <c r="AL180" s="3"/>
      <c r="AM180" s="3"/>
      <c r="AN180" s="3"/>
      <c r="AO180" s="3"/>
      <c r="AP180" s="3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3"/>
      <c r="BD180" s="3"/>
      <c r="BE180" s="3"/>
      <c r="BF180" s="3"/>
      <c r="BG180" s="3"/>
      <c r="BH180" s="15"/>
    </row>
    <row r="181" spans="2:60" ht="14.15" customHeight="1" x14ac:dyDescent="0.4">
      <c r="B181" s="68"/>
      <c r="C181" s="69"/>
      <c r="D181" s="197" t="s">
        <v>121</v>
      </c>
      <c r="E181" s="199" t="s">
        <v>122</v>
      </c>
      <c r="F181" s="199"/>
      <c r="G181" s="170">
        <v>30</v>
      </c>
      <c r="I181" s="33"/>
      <c r="J181" s="33"/>
      <c r="K181" s="33"/>
      <c r="L181" s="63"/>
      <c r="M181" s="14"/>
      <c r="N181" s="15"/>
      <c r="O181" s="15"/>
      <c r="P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3"/>
      <c r="AI181" s="3"/>
      <c r="AJ181" s="3"/>
      <c r="AK181" s="3"/>
      <c r="AL181" s="3"/>
      <c r="AM181" s="3"/>
      <c r="AN181" s="3"/>
      <c r="AO181" s="3"/>
      <c r="AP181" s="3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3"/>
      <c r="BD181" s="3"/>
      <c r="BE181" s="3"/>
      <c r="BF181" s="3"/>
      <c r="BG181" s="3"/>
      <c r="BH181" s="15"/>
    </row>
    <row r="182" spans="2:60" ht="14.15" customHeight="1" x14ac:dyDescent="0.4">
      <c r="B182" s="68"/>
      <c r="C182" s="69"/>
      <c r="D182" s="198"/>
      <c r="E182" s="199"/>
      <c r="F182" s="199"/>
      <c r="G182" s="171"/>
      <c r="I182" s="33"/>
      <c r="J182" s="33"/>
      <c r="K182" s="33"/>
      <c r="L182" s="63"/>
      <c r="M182" s="14"/>
      <c r="N182" s="15"/>
      <c r="O182" s="15"/>
      <c r="P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65"/>
      <c r="AI182" s="67"/>
      <c r="AJ182" s="3"/>
      <c r="AK182" s="3"/>
      <c r="AL182" s="3"/>
      <c r="AM182" s="3"/>
      <c r="AN182" s="3"/>
      <c r="AO182" s="3"/>
      <c r="AP182" s="3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3"/>
      <c r="BD182" s="3"/>
      <c r="BE182" s="3"/>
      <c r="BF182" s="3"/>
      <c r="BG182" s="3"/>
      <c r="BH182" s="15"/>
    </row>
    <row r="183" spans="2:60" ht="14.15" customHeight="1" x14ac:dyDescent="0.4">
      <c r="B183" s="68"/>
      <c r="C183" s="69"/>
      <c r="D183" s="198"/>
      <c r="E183" s="199"/>
      <c r="F183" s="199"/>
      <c r="G183" s="172"/>
      <c r="I183" s="33"/>
      <c r="J183" s="33"/>
      <c r="K183" s="33"/>
      <c r="L183" s="33"/>
      <c r="M183" s="14"/>
      <c r="N183" s="15"/>
      <c r="O183" s="15"/>
      <c r="P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3"/>
      <c r="AI183" s="3"/>
      <c r="AJ183" s="3"/>
      <c r="AK183" s="3"/>
      <c r="AL183" s="3"/>
      <c r="AM183" s="3"/>
      <c r="AN183" s="3"/>
      <c r="AO183" s="3"/>
      <c r="AP183" s="3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3"/>
      <c r="BD183" s="3"/>
      <c r="BE183" s="3"/>
      <c r="BF183" s="3"/>
      <c r="BG183" s="3"/>
      <c r="BH183" s="15"/>
    </row>
    <row r="184" spans="2:60" ht="14.15" customHeight="1" x14ac:dyDescent="0.4">
      <c r="B184" s="106"/>
      <c r="C184" s="184" t="s">
        <v>29</v>
      </c>
      <c r="D184" s="273" t="s">
        <v>123</v>
      </c>
      <c r="E184" s="274"/>
      <c r="F184" s="275"/>
      <c r="G184" s="45"/>
      <c r="H184" s="263">
        <f>SUM(G190:G204)</f>
        <v>280</v>
      </c>
      <c r="I184" s="63"/>
      <c r="J184" s="33"/>
      <c r="K184" s="282">
        <f>H184*$J$8+J187</f>
        <v>128785</v>
      </c>
      <c r="M184" s="14"/>
      <c r="N184" s="3"/>
      <c r="O184" s="15"/>
      <c r="P184" s="15"/>
      <c r="Y184" s="15"/>
      <c r="Z184" s="15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15"/>
      <c r="AM184" s="15"/>
      <c r="AN184" s="15"/>
      <c r="AO184" s="3"/>
      <c r="AP184" s="3"/>
      <c r="AQ184" s="3"/>
      <c r="AR184" s="3"/>
      <c r="AW184" s="3"/>
      <c r="AX184" s="15"/>
      <c r="AY184" s="15"/>
      <c r="AZ184" s="15"/>
      <c r="BA184" s="3"/>
      <c r="BB184" s="3"/>
      <c r="BC184" s="15"/>
      <c r="BD184" s="15"/>
      <c r="BE184" s="3"/>
      <c r="BF184" s="3"/>
      <c r="BG184" s="3"/>
      <c r="BH184" s="3"/>
    </row>
    <row r="185" spans="2:60" ht="14.15" customHeight="1" x14ac:dyDescent="0.4">
      <c r="B185" s="156"/>
      <c r="C185" s="201"/>
      <c r="D185" s="276"/>
      <c r="E185" s="277"/>
      <c r="F185" s="278"/>
      <c r="G185" s="51"/>
      <c r="H185" s="264"/>
      <c r="J185" s="33"/>
      <c r="K185" s="282"/>
      <c r="M185" s="14"/>
      <c r="N185" s="15"/>
      <c r="O185" s="15"/>
      <c r="P185" s="15"/>
      <c r="Y185" s="15"/>
      <c r="Z185" s="15"/>
      <c r="AA185" s="15"/>
      <c r="AB185" s="15"/>
      <c r="AJ185" s="75"/>
      <c r="AK185" s="76"/>
      <c r="AL185" s="76"/>
      <c r="AM185" s="77"/>
      <c r="BG185" s="3"/>
      <c r="BH185" s="3"/>
    </row>
    <row r="186" spans="2:60" ht="14.15" customHeight="1" x14ac:dyDescent="0.4">
      <c r="B186" s="157"/>
      <c r="C186" s="202"/>
      <c r="D186" s="279"/>
      <c r="E186" s="280"/>
      <c r="F186" s="281"/>
      <c r="G186" s="51"/>
      <c r="H186" s="265"/>
      <c r="J186" s="33"/>
      <c r="K186" s="282"/>
      <c r="M186" s="14"/>
      <c r="N186" s="15"/>
      <c r="O186" s="15"/>
      <c r="P186" s="15"/>
      <c r="Y186" s="15"/>
      <c r="Z186" s="15"/>
      <c r="AA186" s="15"/>
      <c r="AB186" s="15"/>
      <c r="AC186" s="15"/>
      <c r="AD186" s="3"/>
      <c r="AE186" s="3"/>
      <c r="AF186" s="3"/>
      <c r="AG186" s="3"/>
      <c r="AH186" s="3"/>
      <c r="AI186" s="3"/>
      <c r="AJ186" s="3"/>
      <c r="AK186" s="3"/>
      <c r="AL186" s="15"/>
      <c r="AM186" s="15"/>
      <c r="AN186" s="15"/>
      <c r="AO186" s="3"/>
      <c r="AP186" s="3"/>
      <c r="AQ186" s="3"/>
      <c r="AR186" s="15"/>
      <c r="AW186" s="3"/>
      <c r="AX186" s="15"/>
      <c r="AY186" s="15"/>
      <c r="AZ186" s="15"/>
      <c r="BA186" s="3"/>
      <c r="BB186" s="3"/>
      <c r="BC186" s="15"/>
      <c r="BD186" s="15"/>
      <c r="BE186" s="3"/>
      <c r="BF186" s="3"/>
      <c r="BG186" s="3"/>
      <c r="BH186" s="15"/>
    </row>
    <row r="187" spans="2:60" ht="15" customHeight="1" x14ac:dyDescent="0.4">
      <c r="B187" s="68"/>
      <c r="C187" s="69"/>
      <c r="D187" s="197" t="s">
        <v>124</v>
      </c>
      <c r="E187" s="283" t="s">
        <v>125</v>
      </c>
      <c r="F187" s="283"/>
      <c r="G187" s="284"/>
      <c r="I187" s="33"/>
      <c r="J187" s="287">
        <v>50000</v>
      </c>
      <c r="L187" s="63"/>
      <c r="M187" s="14"/>
      <c r="N187" s="15"/>
      <c r="O187" s="15"/>
      <c r="P187" s="15"/>
      <c r="Y187" s="15"/>
      <c r="Z187" s="15"/>
      <c r="AA187" s="15"/>
      <c r="AB187" s="15"/>
      <c r="AC187" s="15"/>
      <c r="AD187" s="3"/>
      <c r="AE187" s="3"/>
      <c r="AF187" s="3"/>
      <c r="AG187" s="3"/>
      <c r="AH187" s="3"/>
      <c r="AI187" s="3"/>
      <c r="AJ187" s="3"/>
      <c r="AK187" s="3"/>
      <c r="AL187" s="15"/>
      <c r="AM187" s="15"/>
      <c r="AN187" s="15"/>
      <c r="AO187" s="3"/>
      <c r="AP187" s="3"/>
      <c r="AQ187" s="3"/>
      <c r="AR187" s="15"/>
      <c r="AW187" s="3"/>
      <c r="AX187" s="15"/>
      <c r="AY187" s="15"/>
      <c r="AZ187" s="15"/>
      <c r="BA187" s="3"/>
      <c r="BB187" s="3"/>
      <c r="BC187" s="15"/>
      <c r="BD187" s="15"/>
      <c r="BE187" s="3"/>
      <c r="BF187" s="3"/>
      <c r="BG187" s="3"/>
      <c r="BH187" s="15"/>
    </row>
    <row r="188" spans="2:60" ht="15" customHeight="1" x14ac:dyDescent="0.4">
      <c r="B188" s="68"/>
      <c r="C188" s="69"/>
      <c r="D188" s="198"/>
      <c r="E188" s="283"/>
      <c r="F188" s="283"/>
      <c r="G188" s="285"/>
      <c r="I188" s="33"/>
      <c r="J188" s="288"/>
      <c r="L188" s="63"/>
      <c r="M188" s="14"/>
      <c r="N188" s="15"/>
      <c r="O188" s="15"/>
      <c r="P188" s="15"/>
      <c r="Y188" s="15"/>
      <c r="Z188" s="15"/>
      <c r="AA188" s="15"/>
      <c r="AB188" s="15"/>
      <c r="AC188" s="15"/>
      <c r="AD188" s="3"/>
      <c r="AE188" s="3"/>
      <c r="AF188" s="3"/>
      <c r="AG188" s="3"/>
      <c r="AH188" s="3"/>
      <c r="AI188" s="3"/>
      <c r="AJ188" s="78"/>
      <c r="AK188" s="79"/>
      <c r="AL188" s="15"/>
      <c r="AM188" s="15"/>
      <c r="AN188" s="15"/>
      <c r="AO188" s="3"/>
      <c r="AP188" s="3"/>
      <c r="AQ188" s="3"/>
      <c r="AR188" s="15"/>
      <c r="AW188" s="3"/>
      <c r="AX188" s="15"/>
      <c r="AY188" s="15"/>
      <c r="AZ188" s="15"/>
      <c r="BA188" s="3"/>
      <c r="BB188" s="3"/>
      <c r="BC188" s="15"/>
      <c r="BD188" s="15"/>
      <c r="BE188" s="3"/>
      <c r="BF188" s="3"/>
      <c r="BG188" s="3"/>
      <c r="BH188" s="15"/>
    </row>
    <row r="189" spans="2:60" ht="15" customHeight="1" x14ac:dyDescent="0.4">
      <c r="B189" s="68"/>
      <c r="C189" s="69"/>
      <c r="D189" s="198"/>
      <c r="E189" s="283"/>
      <c r="F189" s="283"/>
      <c r="G189" s="286"/>
      <c r="I189" s="33"/>
      <c r="J189" s="289"/>
      <c r="L189" s="33"/>
      <c r="M189" s="14"/>
      <c r="N189" s="15"/>
      <c r="O189" s="15"/>
      <c r="P189" s="15"/>
      <c r="Y189" s="15"/>
      <c r="Z189" s="15"/>
      <c r="AA189" s="15"/>
      <c r="AB189" s="15"/>
      <c r="AC189" s="15"/>
      <c r="AD189" s="3"/>
      <c r="AE189" s="3"/>
      <c r="AF189" s="3"/>
      <c r="AG189" s="3"/>
      <c r="AH189" s="3"/>
      <c r="AI189" s="3"/>
      <c r="AJ189" s="3"/>
      <c r="AK189" s="3"/>
      <c r="AL189" s="15"/>
      <c r="AM189" s="15"/>
      <c r="AN189" s="15"/>
      <c r="AO189" s="3"/>
      <c r="AP189" s="3"/>
      <c r="AQ189" s="3"/>
      <c r="AR189" s="15"/>
      <c r="AW189" s="3"/>
      <c r="AX189" s="15"/>
      <c r="AY189" s="15"/>
      <c r="AZ189" s="15"/>
      <c r="BA189" s="3"/>
      <c r="BB189" s="3"/>
      <c r="BC189" s="15"/>
      <c r="BD189" s="15"/>
      <c r="BE189" s="3"/>
      <c r="BF189" s="3"/>
      <c r="BG189" s="3"/>
      <c r="BH189" s="15"/>
    </row>
    <row r="190" spans="2:60" ht="15" customHeight="1" x14ac:dyDescent="0.4">
      <c r="B190" s="196"/>
      <c r="C190" s="196"/>
      <c r="D190" s="197" t="s">
        <v>126</v>
      </c>
      <c r="E190" s="272" t="s">
        <v>127</v>
      </c>
      <c r="F190" s="272"/>
      <c r="G190" s="170">
        <v>60</v>
      </c>
      <c r="I190" s="63"/>
      <c r="J190" s="64"/>
      <c r="K190" s="64"/>
      <c r="L190" s="33"/>
      <c r="M190" s="14"/>
      <c r="N190" s="15"/>
      <c r="O190" s="15"/>
      <c r="P190" s="15"/>
      <c r="Y190" s="15"/>
      <c r="Z190" s="15"/>
      <c r="AA190" s="15"/>
      <c r="AB190" s="15"/>
      <c r="AC190" s="15"/>
      <c r="AD190" s="3"/>
      <c r="AE190" s="3"/>
      <c r="AF190" s="3"/>
      <c r="AG190" s="3"/>
      <c r="AH190" s="3"/>
      <c r="AI190" s="3"/>
      <c r="AJ190" s="3"/>
      <c r="AK190" s="3"/>
      <c r="AL190" s="15"/>
      <c r="AM190" s="15"/>
      <c r="AN190" s="15"/>
      <c r="AO190" s="3"/>
      <c r="AP190" s="3"/>
      <c r="AQ190" s="3"/>
      <c r="AR190" s="15"/>
      <c r="AW190" s="3"/>
      <c r="AX190" s="15"/>
      <c r="AY190" s="15"/>
      <c r="AZ190" s="15"/>
      <c r="BA190" s="3"/>
      <c r="BB190" s="3"/>
      <c r="BC190" s="15"/>
      <c r="BD190" s="15"/>
      <c r="BE190" s="3"/>
      <c r="BF190" s="3"/>
      <c r="BG190" s="3"/>
      <c r="BH190" s="15"/>
    </row>
    <row r="191" spans="2:60" ht="15" customHeight="1" x14ac:dyDescent="0.4">
      <c r="B191" s="196"/>
      <c r="C191" s="196"/>
      <c r="D191" s="198"/>
      <c r="E191" s="272"/>
      <c r="F191" s="272"/>
      <c r="G191" s="171"/>
      <c r="I191" s="63"/>
      <c r="J191" s="63"/>
      <c r="K191" s="63"/>
      <c r="L191" s="33"/>
      <c r="M191" s="14"/>
      <c r="N191" s="15"/>
      <c r="O191" s="15"/>
      <c r="P191" s="15"/>
      <c r="AA191" s="15"/>
      <c r="AB191" s="15"/>
      <c r="AC191" s="15"/>
      <c r="AD191" s="3"/>
      <c r="AE191" s="3"/>
      <c r="AF191" s="3"/>
      <c r="AG191" s="3"/>
      <c r="AH191" s="3"/>
      <c r="AI191" s="3"/>
      <c r="AJ191" s="65"/>
      <c r="AK191" s="67"/>
      <c r="AL191" s="3"/>
      <c r="AM191" s="3"/>
      <c r="AN191" s="15"/>
      <c r="AO191" s="3"/>
      <c r="AP191" s="3"/>
      <c r="AQ191" s="3"/>
      <c r="AR191" s="15"/>
      <c r="AW191" s="3"/>
      <c r="AX191" s="15"/>
      <c r="AY191" s="15"/>
      <c r="AZ191" s="15"/>
      <c r="BA191" s="3"/>
      <c r="BB191" s="3"/>
      <c r="BC191" s="15"/>
      <c r="BD191" s="15"/>
      <c r="BE191" s="3"/>
      <c r="BF191" s="3"/>
      <c r="BG191" s="3"/>
      <c r="BH191" s="15"/>
    </row>
    <row r="192" spans="2:60" ht="15" customHeight="1" x14ac:dyDescent="0.4">
      <c r="B192" s="196"/>
      <c r="C192" s="196"/>
      <c r="D192" s="198"/>
      <c r="E192" s="272"/>
      <c r="F192" s="272"/>
      <c r="G192" s="172"/>
      <c r="I192" s="63"/>
      <c r="J192" s="63"/>
      <c r="K192" s="63"/>
      <c r="L192" s="33"/>
      <c r="M192" s="14"/>
      <c r="N192" s="15"/>
      <c r="O192" s="15"/>
      <c r="P192" s="15"/>
      <c r="Y192" s="15"/>
      <c r="Z192" s="15"/>
      <c r="AA192" s="15"/>
      <c r="AB192" s="15"/>
      <c r="AC192" s="15"/>
      <c r="AD192" s="3"/>
      <c r="AE192" s="3"/>
      <c r="AF192" s="3"/>
      <c r="AG192" s="3"/>
      <c r="AH192" s="3"/>
      <c r="AI192" s="3"/>
      <c r="AJ192" s="15"/>
      <c r="AK192" s="15"/>
      <c r="AL192" s="15"/>
      <c r="AM192" s="15"/>
      <c r="AN192" s="15"/>
      <c r="AO192" s="3"/>
      <c r="AP192" s="3"/>
      <c r="AQ192" s="3"/>
      <c r="AR192" s="15"/>
      <c r="AW192" s="3"/>
      <c r="AX192" s="15"/>
      <c r="AY192" s="15"/>
      <c r="AZ192" s="15"/>
      <c r="BA192" s="3"/>
      <c r="BB192" s="3"/>
      <c r="BC192" s="15"/>
      <c r="BD192" s="15"/>
      <c r="BE192" s="3"/>
      <c r="BF192" s="3"/>
      <c r="BG192" s="3"/>
      <c r="BH192" s="15"/>
    </row>
    <row r="193" spans="2:60" ht="14.15" customHeight="1" x14ac:dyDescent="0.4">
      <c r="B193" s="68"/>
      <c r="C193" s="69"/>
      <c r="D193" s="197" t="s">
        <v>128</v>
      </c>
      <c r="E193" s="266" t="s">
        <v>129</v>
      </c>
      <c r="F193" s="267"/>
      <c r="G193" s="170">
        <v>60</v>
      </c>
      <c r="I193" s="33"/>
      <c r="J193" s="33"/>
      <c r="K193" s="33"/>
      <c r="L193" s="63"/>
      <c r="M193" s="14"/>
      <c r="N193" s="15"/>
      <c r="O193" s="15"/>
      <c r="P193" s="15"/>
      <c r="Y193" s="15"/>
      <c r="Z193" s="15"/>
      <c r="AA193" s="15"/>
      <c r="AB193" s="15"/>
      <c r="AC193" s="15"/>
      <c r="AD193" s="3"/>
      <c r="AE193" s="3"/>
      <c r="AF193" s="3"/>
      <c r="AG193" s="3"/>
      <c r="AH193" s="3"/>
      <c r="AI193" s="3"/>
      <c r="AJ193" s="15"/>
      <c r="AK193" s="15"/>
      <c r="AL193" s="15"/>
      <c r="AM193" s="15"/>
      <c r="AN193" s="15"/>
      <c r="AO193" s="3"/>
      <c r="AP193" s="3"/>
      <c r="AQ193" s="3"/>
      <c r="AR193" s="15"/>
      <c r="AW193" s="3"/>
      <c r="AX193" s="15"/>
      <c r="AY193" s="15"/>
      <c r="AZ193" s="15"/>
      <c r="BA193" s="3"/>
      <c r="BB193" s="3"/>
      <c r="BC193" s="15"/>
      <c r="BD193" s="15"/>
      <c r="BE193" s="3"/>
      <c r="BF193" s="3"/>
      <c r="BG193" s="3"/>
      <c r="BH193" s="15"/>
    </row>
    <row r="194" spans="2:60" ht="14.15" customHeight="1" x14ac:dyDescent="0.4">
      <c r="B194" s="68"/>
      <c r="C194" s="69"/>
      <c r="D194" s="198"/>
      <c r="E194" s="268"/>
      <c r="F194" s="269"/>
      <c r="G194" s="171"/>
      <c r="I194" s="33"/>
      <c r="J194" s="33"/>
      <c r="K194" s="33"/>
      <c r="L194" s="63"/>
      <c r="M194" s="14"/>
      <c r="N194" s="15"/>
      <c r="O194" s="15"/>
      <c r="P194" s="15"/>
      <c r="Y194" s="15"/>
      <c r="Z194" s="15"/>
      <c r="AA194" s="15"/>
      <c r="AB194" s="15"/>
      <c r="AC194" s="15"/>
      <c r="AD194" s="3"/>
      <c r="AE194" s="3"/>
      <c r="AF194" s="3"/>
      <c r="AG194" s="3"/>
      <c r="AH194" s="3"/>
      <c r="AI194" s="3"/>
      <c r="AJ194" s="65"/>
      <c r="AK194" s="67"/>
      <c r="AL194" s="15"/>
      <c r="AM194" s="15"/>
      <c r="AN194" s="15"/>
      <c r="AO194" s="3"/>
      <c r="AP194" s="3"/>
      <c r="AQ194" s="3"/>
      <c r="AR194" s="15"/>
      <c r="AW194" s="3"/>
      <c r="AX194" s="15"/>
      <c r="AY194" s="15"/>
      <c r="AZ194" s="15"/>
      <c r="BA194" s="3"/>
      <c r="BB194" s="3"/>
      <c r="BC194" s="15"/>
      <c r="BD194" s="15"/>
      <c r="BE194" s="3"/>
      <c r="BF194" s="3"/>
      <c r="BG194" s="3"/>
      <c r="BH194" s="15"/>
    </row>
    <row r="195" spans="2:60" ht="14.15" customHeight="1" x14ac:dyDescent="0.4">
      <c r="B195" s="68"/>
      <c r="C195" s="69"/>
      <c r="D195" s="198"/>
      <c r="E195" s="270"/>
      <c r="F195" s="271"/>
      <c r="G195" s="172"/>
      <c r="I195" s="33"/>
      <c r="J195" s="33"/>
      <c r="K195" s="33"/>
      <c r="L195" s="33"/>
      <c r="M195" s="14"/>
      <c r="N195" s="15"/>
      <c r="O195" s="15"/>
      <c r="P195" s="15"/>
      <c r="Y195" s="15"/>
      <c r="Z195" s="15"/>
      <c r="AA195" s="15"/>
      <c r="AB195" s="15"/>
      <c r="AC195" s="15"/>
      <c r="AD195" s="3"/>
      <c r="AE195" s="3"/>
      <c r="AF195" s="3"/>
      <c r="AG195" s="3"/>
      <c r="AH195" s="3"/>
      <c r="AI195" s="3"/>
      <c r="AJ195" s="15"/>
      <c r="AK195" s="15"/>
      <c r="AL195" s="15"/>
      <c r="AM195" s="15"/>
      <c r="AN195" s="15"/>
      <c r="AO195" s="3"/>
      <c r="AP195" s="3"/>
      <c r="AQ195" s="3"/>
      <c r="AR195" s="15"/>
      <c r="AW195" s="3"/>
      <c r="AX195" s="15"/>
      <c r="AY195" s="15"/>
      <c r="AZ195" s="15"/>
      <c r="BA195" s="3"/>
      <c r="BB195" s="3"/>
      <c r="BC195" s="15"/>
      <c r="BD195" s="15"/>
      <c r="BE195" s="3"/>
      <c r="BF195" s="3"/>
      <c r="BG195" s="3"/>
      <c r="BH195" s="15"/>
    </row>
    <row r="196" spans="2:60" ht="16" customHeight="1" x14ac:dyDescent="0.4">
      <c r="B196" s="68"/>
      <c r="C196" s="69"/>
      <c r="D196" s="197" t="s">
        <v>130</v>
      </c>
      <c r="E196" s="266" t="s">
        <v>131</v>
      </c>
      <c r="F196" s="267"/>
      <c r="G196" s="170">
        <v>60</v>
      </c>
      <c r="I196" s="33"/>
      <c r="J196" s="33"/>
      <c r="K196" s="33"/>
      <c r="L196" s="63"/>
      <c r="M196" s="14"/>
      <c r="N196" s="15"/>
      <c r="O196" s="15"/>
      <c r="P196" s="15"/>
      <c r="Y196" s="15"/>
      <c r="Z196" s="15"/>
      <c r="AA196" s="15"/>
      <c r="AB196" s="15"/>
      <c r="AC196" s="15"/>
      <c r="AD196" s="3"/>
      <c r="AE196" s="3"/>
      <c r="AF196" s="3"/>
      <c r="AG196" s="3"/>
      <c r="AH196" s="3"/>
      <c r="AI196" s="3"/>
      <c r="AJ196" s="15"/>
      <c r="AK196" s="15"/>
      <c r="AL196" s="15"/>
      <c r="AM196" s="15"/>
      <c r="AN196" s="15"/>
      <c r="AO196" s="3"/>
      <c r="AP196" s="3"/>
      <c r="AQ196" s="3"/>
      <c r="AR196" s="15"/>
      <c r="AW196" s="3"/>
      <c r="AX196" s="15"/>
      <c r="AY196" s="15"/>
      <c r="AZ196" s="15"/>
      <c r="BA196" s="3"/>
      <c r="BB196" s="3"/>
      <c r="BC196" s="15"/>
      <c r="BD196" s="15"/>
      <c r="BE196" s="3"/>
      <c r="BF196" s="3"/>
      <c r="BG196" s="3"/>
      <c r="BH196" s="15"/>
    </row>
    <row r="197" spans="2:60" ht="16" customHeight="1" x14ac:dyDescent="0.4">
      <c r="B197" s="68"/>
      <c r="C197" s="69"/>
      <c r="D197" s="198"/>
      <c r="E197" s="268"/>
      <c r="F197" s="269"/>
      <c r="G197" s="171"/>
      <c r="I197" s="33"/>
      <c r="J197" s="33"/>
      <c r="K197" s="33"/>
      <c r="L197" s="63"/>
      <c r="M197" s="14"/>
      <c r="N197" s="15"/>
      <c r="O197" s="15"/>
      <c r="P197" s="15"/>
      <c r="Y197" s="15"/>
      <c r="Z197" s="15"/>
      <c r="AA197" s="15"/>
      <c r="AB197" s="15"/>
      <c r="AC197" s="15"/>
      <c r="AD197" s="3"/>
      <c r="AE197" s="3"/>
      <c r="AF197" s="3"/>
      <c r="AG197" s="3"/>
      <c r="AH197" s="3"/>
      <c r="AI197" s="3"/>
      <c r="AJ197" s="15"/>
      <c r="AK197" s="65"/>
      <c r="AL197" s="67"/>
      <c r="AM197" s="15"/>
      <c r="AN197" s="15"/>
      <c r="AO197" s="3"/>
      <c r="AP197" s="3"/>
      <c r="AQ197" s="3"/>
      <c r="AR197" s="15"/>
      <c r="AW197" s="3"/>
      <c r="AX197" s="15"/>
      <c r="AY197" s="15"/>
      <c r="AZ197" s="15"/>
      <c r="BA197" s="3"/>
      <c r="BB197" s="3"/>
      <c r="BC197" s="15"/>
      <c r="BD197" s="15"/>
      <c r="BE197" s="3"/>
      <c r="BF197" s="3"/>
      <c r="BG197" s="3"/>
      <c r="BH197" s="15"/>
    </row>
    <row r="198" spans="2:60" ht="16" customHeight="1" x14ac:dyDescent="0.4">
      <c r="B198" s="68"/>
      <c r="C198" s="69"/>
      <c r="D198" s="198"/>
      <c r="E198" s="268"/>
      <c r="F198" s="269"/>
      <c r="G198" s="172"/>
      <c r="I198" s="33"/>
      <c r="J198" s="33"/>
      <c r="K198" s="33"/>
      <c r="L198" s="33"/>
      <c r="M198" s="14"/>
      <c r="N198" s="15"/>
      <c r="O198" s="15"/>
      <c r="P198" s="15"/>
      <c r="Y198" s="15"/>
      <c r="Z198" s="15"/>
      <c r="AA198" s="15"/>
      <c r="AB198" s="15"/>
      <c r="AC198" s="15"/>
      <c r="AD198" s="3"/>
      <c r="AE198" s="3"/>
      <c r="AF198" s="3"/>
      <c r="AG198" s="3"/>
      <c r="AH198" s="3"/>
      <c r="AI198" s="3"/>
      <c r="AJ198" s="15"/>
      <c r="AK198" s="15"/>
      <c r="AL198" s="15"/>
      <c r="AM198" s="15"/>
      <c r="AN198" s="15"/>
      <c r="AO198" s="3"/>
      <c r="AP198" s="3"/>
      <c r="AQ198" s="3"/>
      <c r="AR198" s="15"/>
      <c r="AW198" s="3"/>
      <c r="AX198" s="15"/>
      <c r="AY198" s="15"/>
      <c r="AZ198" s="15"/>
      <c r="BA198" s="3"/>
      <c r="BB198" s="3"/>
      <c r="BC198" s="15"/>
      <c r="BD198" s="15"/>
      <c r="BE198" s="3"/>
      <c r="BF198" s="3"/>
      <c r="BG198" s="3"/>
      <c r="BH198" s="15"/>
    </row>
    <row r="199" spans="2:60" ht="16" customHeight="1" x14ac:dyDescent="0.4">
      <c r="B199" s="68"/>
      <c r="C199" s="69"/>
      <c r="D199" s="197" t="s">
        <v>132</v>
      </c>
      <c r="E199" s="266" t="s">
        <v>133</v>
      </c>
      <c r="F199" s="267"/>
      <c r="G199" s="170">
        <v>50</v>
      </c>
      <c r="I199" s="33"/>
      <c r="J199" s="33"/>
      <c r="K199" s="33"/>
      <c r="L199" s="63"/>
      <c r="M199" s="14"/>
      <c r="N199" s="15"/>
      <c r="O199" s="15"/>
      <c r="P199" s="15"/>
      <c r="Y199" s="15"/>
      <c r="Z199" s="15"/>
      <c r="AA199" s="15"/>
      <c r="AB199" s="15"/>
      <c r="AC199" s="15"/>
      <c r="AD199" s="3"/>
      <c r="AE199" s="3"/>
      <c r="AF199" s="3"/>
      <c r="AG199" s="3"/>
      <c r="AH199" s="3"/>
      <c r="AI199" s="3"/>
      <c r="AJ199" s="15"/>
      <c r="AK199" s="15"/>
      <c r="AL199" s="15"/>
      <c r="AM199" s="15"/>
      <c r="AN199" s="15"/>
      <c r="AO199" s="3"/>
      <c r="AP199" s="3"/>
      <c r="AQ199" s="3"/>
      <c r="AR199" s="15"/>
      <c r="AW199" s="3"/>
      <c r="AX199" s="15"/>
      <c r="AY199" s="15"/>
      <c r="AZ199" s="15"/>
      <c r="BA199" s="3"/>
      <c r="BB199" s="3"/>
      <c r="BC199" s="15"/>
      <c r="BD199" s="15"/>
      <c r="BE199" s="3"/>
      <c r="BF199" s="3"/>
      <c r="BG199" s="3"/>
      <c r="BH199" s="15"/>
    </row>
    <row r="200" spans="2:60" ht="16" customHeight="1" x14ac:dyDescent="0.4">
      <c r="B200" s="68"/>
      <c r="C200" s="69"/>
      <c r="D200" s="198"/>
      <c r="E200" s="268"/>
      <c r="F200" s="269"/>
      <c r="G200" s="171"/>
      <c r="I200" s="33"/>
      <c r="J200" s="33"/>
      <c r="K200" s="33"/>
      <c r="L200" s="63"/>
      <c r="M200" s="14"/>
      <c r="N200" s="15"/>
      <c r="O200" s="15"/>
      <c r="P200" s="15"/>
      <c r="Y200" s="15"/>
      <c r="Z200" s="15"/>
      <c r="AA200" s="15"/>
      <c r="AB200" s="15"/>
      <c r="AC200" s="15"/>
      <c r="AD200" s="3"/>
      <c r="AE200" s="3"/>
      <c r="AF200" s="3"/>
      <c r="AG200" s="3"/>
      <c r="AH200" s="3"/>
      <c r="AI200" s="3"/>
      <c r="AJ200" s="15"/>
      <c r="AK200" s="15"/>
      <c r="AL200" s="65"/>
      <c r="AM200" s="67"/>
      <c r="AN200" s="15"/>
      <c r="AO200" s="3"/>
      <c r="AP200" s="3"/>
      <c r="AQ200" s="3"/>
      <c r="AR200" s="15"/>
      <c r="AW200" s="3"/>
      <c r="AX200" s="15"/>
      <c r="AY200" s="15"/>
      <c r="AZ200" s="15"/>
      <c r="BA200" s="3"/>
      <c r="BB200" s="3"/>
      <c r="BC200" s="15"/>
      <c r="BD200" s="15"/>
      <c r="BE200" s="3"/>
      <c r="BF200" s="3"/>
      <c r="BG200" s="3"/>
      <c r="BH200" s="15"/>
    </row>
    <row r="201" spans="2:60" ht="16" customHeight="1" x14ac:dyDescent="0.4">
      <c r="B201" s="68"/>
      <c r="C201" s="69"/>
      <c r="D201" s="198"/>
      <c r="E201" s="268"/>
      <c r="F201" s="269"/>
      <c r="G201" s="172"/>
      <c r="I201" s="33"/>
      <c r="J201" s="33"/>
      <c r="K201" s="33"/>
      <c r="L201" s="33"/>
      <c r="M201" s="14"/>
      <c r="N201" s="15"/>
      <c r="O201" s="15"/>
      <c r="P201" s="15"/>
      <c r="Y201" s="15"/>
      <c r="Z201" s="15"/>
      <c r="AA201" s="15"/>
      <c r="AB201" s="15"/>
      <c r="AC201" s="15"/>
      <c r="AD201" s="3"/>
      <c r="AE201" s="3"/>
      <c r="AF201" s="3"/>
      <c r="AG201" s="3"/>
      <c r="AH201" s="3"/>
      <c r="AI201" s="3"/>
      <c r="AN201" s="15"/>
      <c r="AO201" s="3"/>
      <c r="AP201" s="3"/>
      <c r="AQ201" s="3"/>
      <c r="AR201" s="15"/>
      <c r="AW201" s="3"/>
      <c r="AX201" s="15"/>
      <c r="AY201" s="15"/>
      <c r="AZ201" s="15"/>
      <c r="BA201" s="3"/>
      <c r="BB201" s="3"/>
      <c r="BC201" s="15"/>
      <c r="BD201" s="15"/>
      <c r="BE201" s="3"/>
      <c r="BF201" s="3"/>
      <c r="BG201" s="3"/>
      <c r="BH201" s="15"/>
    </row>
    <row r="202" spans="2:60" ht="16" customHeight="1" x14ac:dyDescent="0.4">
      <c r="B202" s="68"/>
      <c r="C202" s="69"/>
      <c r="D202" s="197" t="s">
        <v>134</v>
      </c>
      <c r="E202" s="266" t="s">
        <v>135</v>
      </c>
      <c r="F202" s="267"/>
      <c r="G202" s="170">
        <v>50</v>
      </c>
      <c r="I202" s="33"/>
      <c r="J202" s="33"/>
      <c r="K202" s="33"/>
      <c r="L202" s="63"/>
      <c r="M202" s="14"/>
      <c r="N202" s="15"/>
      <c r="O202" s="15"/>
      <c r="P202" s="15"/>
      <c r="Y202" s="15"/>
      <c r="Z202" s="15"/>
      <c r="AA202" s="15"/>
      <c r="AB202" s="15"/>
      <c r="AC202" s="15"/>
      <c r="AD202" s="3"/>
      <c r="AE202" s="3"/>
      <c r="AF202" s="3"/>
      <c r="AG202" s="3"/>
      <c r="AH202" s="3"/>
      <c r="AI202" s="3"/>
      <c r="AJ202" s="3"/>
      <c r="AK202" s="3"/>
      <c r="AL202" s="15"/>
      <c r="AM202" s="15"/>
      <c r="AN202" s="15"/>
      <c r="AO202" s="3"/>
      <c r="AP202" s="3"/>
      <c r="AQ202" s="3"/>
      <c r="AR202" s="15"/>
      <c r="AW202" s="3"/>
      <c r="AX202" s="15"/>
      <c r="AY202" s="15"/>
      <c r="AZ202" s="15"/>
      <c r="BA202" s="3"/>
      <c r="BB202" s="3"/>
      <c r="BC202" s="15"/>
      <c r="BD202" s="15"/>
      <c r="BE202" s="3"/>
      <c r="BF202" s="3"/>
      <c r="BG202" s="3"/>
      <c r="BH202" s="15"/>
    </row>
    <row r="203" spans="2:60" ht="16" customHeight="1" x14ac:dyDescent="0.4">
      <c r="B203" s="68"/>
      <c r="C203" s="69"/>
      <c r="D203" s="198"/>
      <c r="E203" s="268"/>
      <c r="F203" s="269"/>
      <c r="G203" s="171"/>
      <c r="I203" s="33"/>
      <c r="J203" s="33"/>
      <c r="K203" s="33"/>
      <c r="L203" s="63"/>
      <c r="M203" s="14"/>
      <c r="N203" s="15"/>
      <c r="O203" s="15"/>
      <c r="P203" s="15"/>
      <c r="Y203" s="15"/>
      <c r="Z203" s="15"/>
      <c r="AA203" s="15"/>
      <c r="AB203" s="15"/>
      <c r="AC203" s="15"/>
      <c r="AD203" s="3"/>
      <c r="AE203" s="3"/>
      <c r="AF203" s="3"/>
      <c r="AG203" s="3"/>
      <c r="AH203" s="3"/>
      <c r="AI203" s="3"/>
      <c r="AJ203" s="3"/>
      <c r="AK203" s="3"/>
      <c r="AL203" s="65"/>
      <c r="AM203" s="67"/>
      <c r="AN203" s="15"/>
      <c r="AO203" s="3"/>
      <c r="AP203" s="3"/>
      <c r="AQ203" s="3"/>
      <c r="AR203" s="15"/>
      <c r="AW203" s="3"/>
      <c r="AX203" s="15"/>
      <c r="AY203" s="15"/>
      <c r="AZ203" s="15"/>
      <c r="BA203" s="3"/>
      <c r="BB203" s="3"/>
      <c r="BC203" s="15"/>
      <c r="BD203" s="15"/>
      <c r="BE203" s="3"/>
      <c r="BF203" s="3"/>
      <c r="BG203" s="3"/>
      <c r="BH203" s="15"/>
    </row>
    <row r="204" spans="2:60" ht="16" customHeight="1" x14ac:dyDescent="0.4">
      <c r="B204" s="68"/>
      <c r="C204" s="69"/>
      <c r="D204" s="198"/>
      <c r="E204" s="270"/>
      <c r="F204" s="271"/>
      <c r="G204" s="172"/>
      <c r="I204" s="33"/>
      <c r="J204" s="33"/>
      <c r="K204" s="33"/>
      <c r="L204" s="33"/>
      <c r="M204" s="14"/>
      <c r="N204" s="15"/>
      <c r="O204" s="15"/>
      <c r="P204" s="15"/>
      <c r="Y204" s="15"/>
      <c r="Z204" s="15"/>
      <c r="AA204" s="15"/>
      <c r="AB204" s="15"/>
      <c r="AC204" s="15"/>
      <c r="AD204" s="3"/>
      <c r="AE204" s="3"/>
      <c r="AF204" s="3"/>
      <c r="AG204" s="3"/>
      <c r="AH204" s="3"/>
      <c r="AI204" s="3"/>
      <c r="AJ204" s="3"/>
      <c r="AK204" s="3"/>
      <c r="AL204" s="15"/>
      <c r="AM204" s="15"/>
      <c r="AN204" s="15"/>
      <c r="AO204" s="3"/>
      <c r="AP204" s="3"/>
      <c r="AQ204" s="3"/>
      <c r="AR204" s="15"/>
      <c r="AW204" s="3"/>
      <c r="AX204" s="15"/>
      <c r="AY204" s="15"/>
      <c r="AZ204" s="15"/>
      <c r="BA204" s="3"/>
      <c r="BB204" s="3"/>
      <c r="BC204" s="15"/>
      <c r="BD204" s="15"/>
      <c r="BE204" s="3"/>
      <c r="BF204" s="3"/>
      <c r="BG204" s="3"/>
      <c r="BH204" s="15"/>
    </row>
    <row r="205" spans="2:60" ht="16" customHeight="1" x14ac:dyDescent="0.4">
      <c r="B205" s="106"/>
      <c r="C205" s="184" t="s">
        <v>31</v>
      </c>
      <c r="D205" s="187" t="s">
        <v>136</v>
      </c>
      <c r="E205" s="188"/>
      <c r="F205" s="189"/>
      <c r="G205" s="45"/>
      <c r="H205" s="263">
        <f>SUM(G208:G225)</f>
        <v>140</v>
      </c>
      <c r="I205" s="63"/>
      <c r="J205" s="33"/>
      <c r="K205" s="124">
        <f>H205*$J$8</f>
        <v>39392.5</v>
      </c>
      <c r="M205" s="14"/>
      <c r="N205" s="3"/>
      <c r="O205" s="15"/>
      <c r="P205" s="15"/>
      <c r="Y205" s="15"/>
      <c r="Z205" s="15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15"/>
      <c r="AM205" s="15"/>
      <c r="AN205" s="15"/>
      <c r="AO205" s="3"/>
      <c r="AP205" s="3"/>
      <c r="AQ205" s="3"/>
      <c r="AR205" s="3"/>
      <c r="AW205" s="3"/>
      <c r="AX205" s="15"/>
      <c r="AY205" s="15"/>
      <c r="AZ205" s="15"/>
      <c r="BA205" s="3"/>
      <c r="BB205" s="3"/>
      <c r="BC205" s="15"/>
      <c r="BD205" s="15"/>
      <c r="BE205" s="3"/>
      <c r="BF205" s="3"/>
      <c r="BG205" s="3"/>
      <c r="BH205" s="3"/>
    </row>
    <row r="206" spans="2:60" ht="16" customHeight="1" x14ac:dyDescent="0.4">
      <c r="B206" s="156"/>
      <c r="C206" s="201"/>
      <c r="D206" s="190"/>
      <c r="E206" s="191"/>
      <c r="F206" s="192"/>
      <c r="G206" s="51"/>
      <c r="H206" s="264"/>
      <c r="J206" s="33"/>
      <c r="K206" s="124"/>
      <c r="M206" s="14"/>
      <c r="N206" s="15"/>
      <c r="O206" s="15"/>
      <c r="P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3"/>
      <c r="AI206" s="3"/>
      <c r="AJ206" s="3"/>
      <c r="AK206" s="80"/>
      <c r="AL206" s="81"/>
      <c r="AM206" s="81"/>
      <c r="AN206" s="82"/>
      <c r="BC206" s="15"/>
      <c r="BD206" s="15"/>
      <c r="BE206" s="3"/>
      <c r="BF206" s="3"/>
      <c r="BG206" s="3"/>
      <c r="BH206" s="3"/>
    </row>
    <row r="207" spans="2:60" ht="16" customHeight="1" x14ac:dyDescent="0.4">
      <c r="B207" s="157"/>
      <c r="C207" s="202"/>
      <c r="D207" s="193"/>
      <c r="E207" s="194"/>
      <c r="F207" s="195"/>
      <c r="G207" s="51"/>
      <c r="H207" s="265"/>
      <c r="J207" s="33"/>
      <c r="K207" s="124"/>
      <c r="M207" s="14"/>
      <c r="N207" s="15"/>
      <c r="O207" s="15"/>
      <c r="P207" s="15"/>
      <c r="Y207" s="15"/>
      <c r="Z207" s="15"/>
      <c r="AA207" s="15"/>
      <c r="AB207" s="15"/>
      <c r="AC207" s="15"/>
      <c r="AD207" s="3"/>
      <c r="AE207" s="3"/>
      <c r="AF207" s="3"/>
      <c r="AG207" s="3"/>
      <c r="AH207" s="3"/>
      <c r="AI207" s="3"/>
      <c r="AJ207" s="3"/>
      <c r="AK207" s="3"/>
      <c r="AL207" s="15"/>
      <c r="AM207" s="15"/>
      <c r="AN207" s="15"/>
      <c r="AO207" s="3"/>
      <c r="AP207" s="3"/>
      <c r="AQ207" s="3"/>
      <c r="AR207" s="15"/>
      <c r="AW207" s="3"/>
      <c r="AX207" s="15"/>
      <c r="AY207" s="15"/>
      <c r="AZ207" s="15"/>
      <c r="BA207" s="3"/>
      <c r="BB207" s="3"/>
      <c r="BC207" s="15"/>
      <c r="BD207" s="15"/>
      <c r="BE207" s="3"/>
      <c r="BF207" s="3"/>
      <c r="BG207" s="3"/>
      <c r="BH207" s="15"/>
    </row>
    <row r="208" spans="2:60" ht="15.65" customHeight="1" x14ac:dyDescent="0.4">
      <c r="B208" s="68"/>
      <c r="C208" s="69"/>
      <c r="D208" s="197" t="s">
        <v>137</v>
      </c>
      <c r="E208" s="209" t="s">
        <v>138</v>
      </c>
      <c r="F208" s="210"/>
      <c r="G208" s="170">
        <v>25</v>
      </c>
      <c r="I208" s="33"/>
      <c r="J208" s="33"/>
      <c r="K208" s="33"/>
      <c r="L208" s="63"/>
      <c r="M208" s="14"/>
      <c r="N208" s="15"/>
      <c r="O208" s="15"/>
      <c r="P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15"/>
      <c r="BC208" s="3"/>
      <c r="BD208" s="3"/>
      <c r="BE208" s="3"/>
      <c r="BF208" s="3"/>
      <c r="BG208" s="3"/>
      <c r="BH208" s="15"/>
    </row>
    <row r="209" spans="2:60" ht="15.65" customHeight="1" x14ac:dyDescent="0.4">
      <c r="B209" s="68"/>
      <c r="C209" s="69"/>
      <c r="D209" s="198"/>
      <c r="E209" s="211"/>
      <c r="F209" s="212"/>
      <c r="G209" s="171"/>
      <c r="I209" s="33"/>
      <c r="J209" s="33"/>
      <c r="K209" s="33"/>
      <c r="L209" s="63"/>
      <c r="M209" s="14"/>
      <c r="N209" s="15"/>
      <c r="O209" s="15"/>
      <c r="P209" s="15"/>
      <c r="Y209" s="15"/>
      <c r="Z209" s="15"/>
      <c r="AA209" s="15"/>
      <c r="AB209" s="15"/>
      <c r="AK209" s="65"/>
      <c r="AL209" s="67"/>
      <c r="AM209" s="3"/>
      <c r="AN209" s="3"/>
      <c r="AW209" s="3"/>
      <c r="AX209" s="15"/>
      <c r="AY209" s="15"/>
      <c r="AZ209" s="15"/>
      <c r="BA209" s="3"/>
      <c r="BB209" s="3"/>
      <c r="BC209" s="3"/>
      <c r="BD209" s="3"/>
      <c r="BE209" s="3"/>
      <c r="BF209" s="3"/>
      <c r="BG209" s="3"/>
      <c r="BH209" s="15"/>
    </row>
    <row r="210" spans="2:60" ht="15.65" customHeight="1" x14ac:dyDescent="0.4">
      <c r="B210" s="68"/>
      <c r="C210" s="69"/>
      <c r="D210" s="198"/>
      <c r="E210" s="211"/>
      <c r="F210" s="212"/>
      <c r="G210" s="172"/>
      <c r="I210" s="33"/>
      <c r="J210" s="33"/>
      <c r="K210" s="33"/>
      <c r="L210" s="33"/>
      <c r="M210" s="14"/>
      <c r="N210" s="15"/>
      <c r="O210" s="15"/>
      <c r="P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3"/>
      <c r="AI210" s="3"/>
      <c r="AJ210" s="3"/>
      <c r="AK210" s="15"/>
      <c r="AL210" s="15"/>
      <c r="AM210" s="3"/>
      <c r="AN210" s="3"/>
      <c r="AO210" s="3"/>
      <c r="AP210" s="3"/>
      <c r="AQ210" s="3"/>
      <c r="AR210" s="15"/>
      <c r="BC210" s="3"/>
      <c r="BD210" s="3"/>
      <c r="BE210" s="3"/>
      <c r="BF210" s="3"/>
      <c r="BG210" s="3"/>
      <c r="BH210" s="15"/>
    </row>
    <row r="211" spans="2:60" ht="15.65" customHeight="1" x14ac:dyDescent="0.4">
      <c r="B211" s="68"/>
      <c r="C211" s="69"/>
      <c r="D211" s="197" t="s">
        <v>139</v>
      </c>
      <c r="E211" s="209" t="s">
        <v>140</v>
      </c>
      <c r="F211" s="210"/>
      <c r="G211" s="170">
        <v>25</v>
      </c>
      <c r="I211" s="33"/>
      <c r="J211" s="33"/>
      <c r="K211" s="33"/>
      <c r="L211" s="63"/>
      <c r="M211" s="14"/>
      <c r="N211" s="15"/>
      <c r="O211" s="15"/>
      <c r="P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3"/>
      <c r="AI211" s="3"/>
      <c r="AJ211" s="3"/>
      <c r="AK211" s="15"/>
      <c r="AL211" s="15"/>
      <c r="AM211" s="3"/>
      <c r="AN211" s="3"/>
      <c r="AO211" s="3"/>
      <c r="AP211" s="3"/>
      <c r="AQ211" s="3"/>
      <c r="AR211" s="15"/>
      <c r="AW211" s="3"/>
      <c r="AX211" s="15"/>
      <c r="AY211" s="15"/>
      <c r="AZ211" s="15"/>
      <c r="BA211" s="3"/>
      <c r="BB211" s="3"/>
      <c r="BC211" s="3"/>
      <c r="BD211" s="3"/>
      <c r="BE211" s="3"/>
      <c r="BF211" s="3"/>
      <c r="BG211" s="3"/>
      <c r="BH211" s="15"/>
    </row>
    <row r="212" spans="2:60" ht="15.65" customHeight="1" x14ac:dyDescent="0.4">
      <c r="B212" s="68"/>
      <c r="C212" s="69"/>
      <c r="D212" s="198"/>
      <c r="E212" s="211"/>
      <c r="F212" s="212"/>
      <c r="G212" s="171"/>
      <c r="I212" s="33"/>
      <c r="J212" s="33"/>
      <c r="K212" s="33"/>
      <c r="L212" s="63"/>
      <c r="M212" s="14"/>
      <c r="N212" s="15"/>
      <c r="O212" s="15"/>
      <c r="P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3"/>
      <c r="AI212" s="3"/>
      <c r="AJ212" s="3"/>
      <c r="AK212" s="65"/>
      <c r="AL212" s="67"/>
      <c r="AM212" s="15"/>
      <c r="AN212" s="15"/>
      <c r="AO212" s="3"/>
      <c r="AP212" s="3"/>
      <c r="AQ212" s="3"/>
      <c r="AR212" s="15"/>
      <c r="BC212" s="3"/>
      <c r="BD212" s="3"/>
      <c r="BE212" s="3"/>
      <c r="BF212" s="3"/>
      <c r="BG212" s="3"/>
      <c r="BH212" s="15"/>
    </row>
    <row r="213" spans="2:60" ht="15.65" customHeight="1" x14ac:dyDescent="0.4">
      <c r="B213" s="68"/>
      <c r="C213" s="69"/>
      <c r="D213" s="198"/>
      <c r="E213" s="211"/>
      <c r="F213" s="212"/>
      <c r="G213" s="172"/>
      <c r="I213" s="33"/>
      <c r="J213" s="33"/>
      <c r="K213" s="33"/>
      <c r="L213" s="33"/>
      <c r="M213" s="14"/>
      <c r="N213" s="15"/>
      <c r="O213" s="15"/>
      <c r="P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3"/>
      <c r="AI213" s="3"/>
      <c r="AJ213" s="3"/>
      <c r="AK213" s="15"/>
      <c r="AL213" s="15"/>
      <c r="AM213" s="3"/>
      <c r="AN213" s="3"/>
      <c r="AO213" s="3"/>
      <c r="AP213" s="3"/>
      <c r="AQ213" s="3"/>
      <c r="AR213" s="15"/>
      <c r="AW213" s="3"/>
      <c r="AX213" s="15"/>
      <c r="AY213" s="15"/>
      <c r="AZ213" s="15"/>
      <c r="BA213" s="3"/>
      <c r="BB213" s="3"/>
      <c r="BC213" s="3"/>
      <c r="BD213" s="3"/>
      <c r="BE213" s="3"/>
      <c r="BF213" s="3"/>
      <c r="BG213" s="3"/>
      <c r="BH213" s="15"/>
    </row>
    <row r="214" spans="2:60" ht="15.65" customHeight="1" x14ac:dyDescent="0.4">
      <c r="B214" s="68"/>
      <c r="C214" s="69"/>
      <c r="D214" s="197" t="s">
        <v>141</v>
      </c>
      <c r="E214" s="209" t="s">
        <v>142</v>
      </c>
      <c r="F214" s="210"/>
      <c r="G214" s="170">
        <v>25</v>
      </c>
      <c r="I214" s="33"/>
      <c r="J214" s="33"/>
      <c r="K214" s="33"/>
      <c r="L214" s="63"/>
      <c r="M214" s="14"/>
      <c r="N214" s="15"/>
      <c r="O214" s="15"/>
      <c r="P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3"/>
      <c r="AI214" s="3"/>
      <c r="AJ214" s="3"/>
      <c r="AK214" s="15"/>
      <c r="AL214" s="15"/>
      <c r="AM214" s="3"/>
      <c r="AN214" s="3"/>
      <c r="AO214" s="3"/>
      <c r="AP214" s="3"/>
      <c r="AQ214" s="3"/>
      <c r="AR214" s="15"/>
      <c r="BC214" s="3"/>
      <c r="BD214" s="3"/>
      <c r="BE214" s="3"/>
      <c r="BF214" s="3"/>
      <c r="BG214" s="3"/>
      <c r="BH214" s="15"/>
    </row>
    <row r="215" spans="2:60" ht="15.65" customHeight="1" x14ac:dyDescent="0.4">
      <c r="B215" s="68"/>
      <c r="C215" s="69"/>
      <c r="D215" s="198"/>
      <c r="E215" s="211"/>
      <c r="F215" s="212"/>
      <c r="G215" s="171"/>
      <c r="I215" s="33"/>
      <c r="J215" s="33"/>
      <c r="K215" s="33"/>
      <c r="L215" s="63"/>
      <c r="M215" s="14"/>
      <c r="N215" s="15"/>
      <c r="O215" s="15"/>
      <c r="P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3"/>
      <c r="AI215" s="3"/>
      <c r="AJ215" s="3"/>
      <c r="AK215" s="15"/>
      <c r="AL215" s="65"/>
      <c r="AM215" s="67"/>
      <c r="AN215" s="3"/>
      <c r="AO215" s="3"/>
      <c r="AP215" s="3"/>
      <c r="AQ215" s="3"/>
      <c r="AR215" s="15"/>
      <c r="AW215" s="3"/>
      <c r="AX215" s="15"/>
      <c r="AY215" s="15"/>
      <c r="AZ215" s="15"/>
      <c r="BA215" s="3"/>
      <c r="BB215" s="3"/>
      <c r="BC215" s="3"/>
      <c r="BD215" s="3"/>
      <c r="BE215" s="3"/>
      <c r="BF215" s="3"/>
      <c r="BG215" s="3"/>
      <c r="BH215" s="15"/>
    </row>
    <row r="216" spans="2:60" ht="15.65" customHeight="1" x14ac:dyDescent="0.4">
      <c r="B216" s="68"/>
      <c r="C216" s="69"/>
      <c r="D216" s="198"/>
      <c r="E216" s="211"/>
      <c r="F216" s="212"/>
      <c r="G216" s="172"/>
      <c r="I216" s="33"/>
      <c r="J216" s="33"/>
      <c r="K216" s="33"/>
      <c r="L216" s="33"/>
      <c r="M216" s="14"/>
      <c r="N216" s="15"/>
      <c r="O216" s="15"/>
      <c r="P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3"/>
      <c r="AI216" s="3"/>
      <c r="AJ216" s="3"/>
      <c r="AK216" s="15"/>
      <c r="AL216" s="15"/>
      <c r="AM216" s="3"/>
      <c r="AN216" s="3"/>
      <c r="AO216" s="3"/>
      <c r="AP216" s="3"/>
      <c r="AQ216" s="3"/>
      <c r="AR216" s="15"/>
      <c r="BC216" s="3"/>
      <c r="BD216" s="3"/>
      <c r="BE216" s="3"/>
      <c r="BF216" s="3"/>
      <c r="BG216" s="3"/>
      <c r="BH216" s="15"/>
    </row>
    <row r="217" spans="2:60" ht="15.65" customHeight="1" x14ac:dyDescent="0.4">
      <c r="B217" s="68"/>
      <c r="C217" s="69"/>
      <c r="D217" s="197" t="s">
        <v>143</v>
      </c>
      <c r="E217" s="209" t="s">
        <v>144</v>
      </c>
      <c r="F217" s="210"/>
      <c r="G217" s="170">
        <v>25</v>
      </c>
      <c r="I217" s="33"/>
      <c r="J217" s="33"/>
      <c r="K217" s="33"/>
      <c r="L217" s="63"/>
      <c r="M217" s="14"/>
      <c r="N217" s="15"/>
      <c r="O217" s="15"/>
      <c r="P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3"/>
      <c r="AI217" s="3"/>
      <c r="AJ217" s="3"/>
      <c r="AK217" s="15"/>
      <c r="AL217" s="15"/>
      <c r="AM217" s="3"/>
      <c r="AN217" s="3"/>
      <c r="AO217" s="3"/>
      <c r="AP217" s="3"/>
      <c r="AQ217" s="3"/>
      <c r="AR217" s="15"/>
      <c r="AW217" s="3"/>
      <c r="AX217" s="15"/>
      <c r="AY217" s="15"/>
      <c r="AZ217" s="15"/>
      <c r="BA217" s="3"/>
      <c r="BB217" s="3"/>
      <c r="BC217" s="3"/>
      <c r="BD217" s="3"/>
      <c r="BE217" s="3"/>
      <c r="BF217" s="3"/>
      <c r="BG217" s="3"/>
      <c r="BH217" s="15"/>
    </row>
    <row r="218" spans="2:60" ht="15.65" customHeight="1" x14ac:dyDescent="0.4">
      <c r="B218" s="68"/>
      <c r="C218" s="69"/>
      <c r="D218" s="198"/>
      <c r="E218" s="211"/>
      <c r="F218" s="212"/>
      <c r="G218" s="171"/>
      <c r="I218" s="33"/>
      <c r="J218" s="33"/>
      <c r="K218" s="33"/>
      <c r="L218" s="63"/>
      <c r="M218" s="14"/>
      <c r="N218" s="15"/>
      <c r="O218" s="15"/>
      <c r="P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3"/>
      <c r="AI218" s="3"/>
      <c r="AJ218" s="3"/>
      <c r="AK218" s="15"/>
      <c r="AL218" s="65"/>
      <c r="AM218" s="67"/>
      <c r="AN218" s="3"/>
      <c r="AO218" s="3"/>
      <c r="AP218" s="3"/>
      <c r="AQ218" s="3"/>
      <c r="AR218" s="15"/>
      <c r="BE218" s="3"/>
      <c r="BF218" s="15"/>
      <c r="BG218" s="3"/>
      <c r="BH218" s="15"/>
    </row>
    <row r="219" spans="2:60" ht="15.65" customHeight="1" x14ac:dyDescent="0.4">
      <c r="B219" s="68"/>
      <c r="C219" s="69"/>
      <c r="D219" s="198"/>
      <c r="E219" s="211"/>
      <c r="F219" s="212"/>
      <c r="G219" s="172"/>
      <c r="I219" s="33"/>
      <c r="J219" s="33"/>
      <c r="K219" s="33"/>
      <c r="L219" s="33"/>
      <c r="M219" s="14"/>
      <c r="N219" s="15"/>
      <c r="O219" s="15"/>
      <c r="P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3"/>
      <c r="AI219" s="3"/>
      <c r="AJ219" s="3"/>
      <c r="AK219" s="15"/>
      <c r="AL219" s="15"/>
      <c r="AM219" s="3"/>
      <c r="AN219" s="3"/>
      <c r="AO219" s="3"/>
      <c r="AP219" s="3"/>
      <c r="AQ219" s="3"/>
      <c r="AR219" s="15"/>
      <c r="AW219" s="3"/>
      <c r="AX219" s="15"/>
      <c r="AY219" s="15"/>
      <c r="AZ219" s="15"/>
      <c r="BA219" s="3"/>
      <c r="BB219" s="3"/>
      <c r="BC219" s="3"/>
      <c r="BD219" s="3"/>
      <c r="BE219" s="3"/>
      <c r="BF219" s="3"/>
      <c r="BG219" s="3"/>
      <c r="BH219" s="15"/>
    </row>
    <row r="220" spans="2:60" ht="15.65" customHeight="1" x14ac:dyDescent="0.4">
      <c r="B220" s="68"/>
      <c r="C220" s="69"/>
      <c r="D220" s="197" t="s">
        <v>145</v>
      </c>
      <c r="E220" s="199" t="s">
        <v>146</v>
      </c>
      <c r="F220" s="199"/>
      <c r="G220" s="170">
        <v>20</v>
      </c>
      <c r="I220" s="33"/>
      <c r="J220" s="33"/>
      <c r="K220" s="33"/>
      <c r="L220" s="63"/>
      <c r="M220" s="14"/>
      <c r="N220" s="15"/>
      <c r="O220" s="15"/>
      <c r="P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3"/>
      <c r="AI220" s="3"/>
      <c r="AJ220" s="3"/>
      <c r="AK220" s="15"/>
      <c r="AL220" s="15"/>
      <c r="AM220" s="3"/>
      <c r="AN220" s="3"/>
      <c r="AO220" s="3"/>
      <c r="AP220" s="3"/>
      <c r="AQ220" s="3"/>
      <c r="AR220" s="15"/>
      <c r="BC220" s="3"/>
      <c r="BD220" s="3"/>
      <c r="BE220" s="3"/>
      <c r="BF220" s="3"/>
      <c r="BG220" s="3"/>
      <c r="BH220" s="15"/>
    </row>
    <row r="221" spans="2:60" ht="15.65" customHeight="1" x14ac:dyDescent="0.4">
      <c r="B221" s="68"/>
      <c r="C221" s="69"/>
      <c r="D221" s="198"/>
      <c r="E221" s="199"/>
      <c r="F221" s="199"/>
      <c r="G221" s="171"/>
      <c r="I221" s="33"/>
      <c r="J221" s="33"/>
      <c r="K221" s="33"/>
      <c r="L221" s="63"/>
      <c r="M221" s="14"/>
      <c r="N221" s="15"/>
      <c r="O221" s="15"/>
      <c r="P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3"/>
      <c r="AI221" s="3"/>
      <c r="AJ221" s="3"/>
      <c r="AK221" s="15"/>
      <c r="AL221" s="65"/>
      <c r="AM221" s="67"/>
      <c r="AN221" s="3"/>
      <c r="AO221" s="3"/>
      <c r="AP221" s="3"/>
      <c r="AQ221" s="3"/>
      <c r="AR221" s="15"/>
      <c r="AW221" s="3"/>
      <c r="AX221" s="15"/>
      <c r="AY221" s="15"/>
      <c r="AZ221" s="15"/>
      <c r="BA221" s="3"/>
      <c r="BB221" s="3"/>
      <c r="BE221" s="3"/>
      <c r="BF221" s="15"/>
      <c r="BG221" s="3"/>
      <c r="BH221" s="15"/>
    </row>
    <row r="222" spans="2:60" ht="15.65" customHeight="1" x14ac:dyDescent="0.4">
      <c r="B222" s="68"/>
      <c r="C222" s="69"/>
      <c r="D222" s="198"/>
      <c r="E222" s="199"/>
      <c r="F222" s="199"/>
      <c r="G222" s="172"/>
      <c r="I222" s="33"/>
      <c r="J222" s="33"/>
      <c r="K222" s="33"/>
      <c r="L222" s="33"/>
      <c r="M222" s="14"/>
      <c r="N222" s="15"/>
      <c r="O222" s="15"/>
      <c r="P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3"/>
      <c r="AI222" s="3"/>
      <c r="AJ222" s="3"/>
      <c r="AK222" s="15"/>
      <c r="AL222" s="15"/>
      <c r="AM222" s="3"/>
      <c r="AN222" s="3"/>
      <c r="AO222" s="3"/>
      <c r="AP222" s="3"/>
      <c r="AQ222" s="3"/>
      <c r="AR222" s="15"/>
      <c r="BC222" s="3"/>
      <c r="BD222" s="3"/>
      <c r="BE222" s="3"/>
      <c r="BF222" s="3"/>
      <c r="BG222" s="3"/>
      <c r="BH222" s="15"/>
    </row>
    <row r="223" spans="2:60" ht="15.65" customHeight="1" x14ac:dyDescent="0.4">
      <c r="B223" s="68"/>
      <c r="C223" s="69"/>
      <c r="D223" s="197" t="s">
        <v>147</v>
      </c>
      <c r="E223" s="199" t="s">
        <v>148</v>
      </c>
      <c r="F223" s="199"/>
      <c r="G223" s="170">
        <v>20</v>
      </c>
      <c r="I223" s="33"/>
      <c r="J223" s="33"/>
      <c r="K223" s="33"/>
      <c r="L223" s="63"/>
      <c r="M223" s="14"/>
      <c r="N223" s="15"/>
      <c r="O223" s="15"/>
      <c r="P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3"/>
      <c r="AI223" s="3"/>
      <c r="AJ223" s="3"/>
      <c r="AK223" s="15"/>
      <c r="AL223" s="15"/>
      <c r="AM223" s="3"/>
      <c r="AN223" s="3"/>
      <c r="AO223" s="3"/>
      <c r="AP223" s="3"/>
      <c r="AQ223" s="3"/>
      <c r="AR223" s="15"/>
      <c r="AW223" s="3"/>
      <c r="AX223" s="15"/>
      <c r="AY223" s="15"/>
      <c r="AZ223" s="15"/>
      <c r="BA223" s="3"/>
      <c r="BB223" s="3"/>
      <c r="BC223" s="3"/>
      <c r="BD223" s="3"/>
      <c r="BE223" s="3"/>
      <c r="BF223" s="3"/>
      <c r="BG223" s="3"/>
      <c r="BH223" s="15"/>
    </row>
    <row r="224" spans="2:60" ht="15.65" customHeight="1" x14ac:dyDescent="0.4">
      <c r="B224" s="68"/>
      <c r="C224" s="69"/>
      <c r="D224" s="198"/>
      <c r="E224" s="199"/>
      <c r="F224" s="199"/>
      <c r="G224" s="171"/>
      <c r="I224" s="33"/>
      <c r="J224" s="33"/>
      <c r="K224" s="33"/>
      <c r="L224" s="63"/>
      <c r="M224" s="14"/>
      <c r="N224" s="15"/>
      <c r="O224" s="15"/>
      <c r="P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3"/>
      <c r="AI224" s="3"/>
      <c r="AJ224" s="3"/>
      <c r="AK224" s="15"/>
      <c r="AL224" s="15"/>
      <c r="AM224" s="65"/>
      <c r="AN224" s="67"/>
      <c r="AO224" s="3"/>
      <c r="AP224" s="3"/>
      <c r="AQ224" s="3"/>
      <c r="AR224" s="15"/>
      <c r="BE224" s="3"/>
      <c r="BF224" s="15"/>
      <c r="BG224" s="3"/>
      <c r="BH224" s="15"/>
    </row>
    <row r="225" spans="2:60" ht="15.65" customHeight="1" x14ac:dyDescent="0.4">
      <c r="B225" s="68"/>
      <c r="C225" s="69"/>
      <c r="D225" s="198"/>
      <c r="E225" s="199"/>
      <c r="F225" s="199"/>
      <c r="G225" s="172"/>
      <c r="I225" s="33"/>
      <c r="J225" s="33"/>
      <c r="K225" s="33"/>
      <c r="L225" s="33"/>
      <c r="M225" s="14"/>
      <c r="N225" s="15"/>
      <c r="O225" s="15"/>
      <c r="P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15"/>
      <c r="AW225" s="3"/>
      <c r="AX225" s="15"/>
      <c r="AY225" s="15"/>
      <c r="AZ225" s="15"/>
      <c r="BA225" s="3"/>
      <c r="BB225" s="3"/>
      <c r="BC225" s="3"/>
      <c r="BD225" s="3"/>
      <c r="BE225" s="3"/>
      <c r="BF225" s="3"/>
      <c r="BG225" s="3"/>
      <c r="BH225" s="15"/>
    </row>
    <row r="226" spans="2:60" ht="15.65" customHeight="1" x14ac:dyDescent="0.4">
      <c r="B226" s="125" t="s">
        <v>149</v>
      </c>
      <c r="C226" s="254" t="s">
        <v>150</v>
      </c>
      <c r="D226" s="255"/>
      <c r="E226" s="255"/>
      <c r="F226" s="256"/>
      <c r="G226" s="182">
        <f>I226*250</f>
        <v>73750</v>
      </c>
      <c r="H226" s="140"/>
      <c r="I226" s="143">
        <f>SUM(H229:H264)</f>
        <v>295</v>
      </c>
      <c r="J226" s="33"/>
      <c r="K226" s="33"/>
      <c r="L226" s="155">
        <f>SUM(K229:K264)</f>
        <v>83005.625</v>
      </c>
      <c r="M226" s="14"/>
      <c r="N226" s="3"/>
      <c r="O226" s="15"/>
      <c r="P226" s="15"/>
      <c r="Y226" s="15"/>
      <c r="Z226" s="15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15"/>
      <c r="AM226" s="15"/>
      <c r="AN226" s="15"/>
      <c r="AO226" s="3"/>
      <c r="AP226" s="3"/>
      <c r="AQ226" s="3"/>
      <c r="AR226" s="3"/>
      <c r="AW226" s="3"/>
      <c r="AX226" s="15"/>
      <c r="AY226" s="15"/>
      <c r="AZ226" s="15"/>
      <c r="BA226" s="3"/>
      <c r="BB226" s="3"/>
      <c r="BC226" s="15"/>
      <c r="BD226" s="15"/>
      <c r="BE226" s="3"/>
      <c r="BF226" s="3"/>
      <c r="BG226" s="3"/>
      <c r="BH226" s="3"/>
    </row>
    <row r="227" spans="2:60" ht="15.65" customHeight="1" x14ac:dyDescent="0.4">
      <c r="B227" s="126"/>
      <c r="C227" s="257"/>
      <c r="D227" s="258"/>
      <c r="E227" s="258"/>
      <c r="F227" s="259"/>
      <c r="G227" s="183"/>
      <c r="H227" s="141"/>
      <c r="I227" s="143"/>
      <c r="J227" s="33"/>
      <c r="K227" s="33"/>
      <c r="L227" s="155"/>
      <c r="M227" s="14"/>
      <c r="N227" s="15"/>
      <c r="O227" s="15"/>
      <c r="P227" s="15"/>
      <c r="Y227" s="15"/>
      <c r="Z227" s="15"/>
      <c r="AA227" s="15"/>
      <c r="AB227" s="3"/>
      <c r="AC227" s="3"/>
      <c r="AD227" s="3"/>
      <c r="AE227" s="3"/>
      <c r="AF227" s="3"/>
      <c r="AG227" s="56"/>
      <c r="AH227" s="57"/>
      <c r="AI227" s="57"/>
      <c r="AJ227" s="57"/>
      <c r="AK227" s="57"/>
      <c r="AL227" s="57"/>
      <c r="AM227" s="58"/>
      <c r="BF227" s="3"/>
      <c r="BG227" s="3"/>
      <c r="BH227" s="3"/>
    </row>
    <row r="228" spans="2:60" ht="15.65" customHeight="1" x14ac:dyDescent="0.4">
      <c r="B228" s="127"/>
      <c r="C228" s="260"/>
      <c r="D228" s="261"/>
      <c r="E228" s="261"/>
      <c r="F228" s="262"/>
      <c r="G228" s="183"/>
      <c r="H228" s="142"/>
      <c r="I228" s="143"/>
      <c r="J228" s="33"/>
      <c r="K228" s="33"/>
      <c r="L228" s="155"/>
      <c r="M228" s="14"/>
      <c r="N228" s="15"/>
      <c r="O228" s="15"/>
      <c r="P228" s="15"/>
      <c r="Y228" s="15"/>
      <c r="Z228" s="15"/>
      <c r="AA228" s="15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15"/>
      <c r="AM228" s="15"/>
      <c r="AN228" s="15"/>
      <c r="AO228" s="3"/>
      <c r="AP228" s="3"/>
      <c r="AQ228" s="3"/>
      <c r="AR228" s="15"/>
      <c r="AW228" s="3"/>
      <c r="AX228" s="15"/>
      <c r="AY228" s="15"/>
      <c r="AZ228" s="15"/>
      <c r="BA228" s="3"/>
      <c r="BB228" s="3"/>
      <c r="BC228" s="15"/>
      <c r="BD228" s="15"/>
      <c r="BE228" s="3"/>
      <c r="BF228" s="3"/>
      <c r="BG228" s="3"/>
      <c r="BH228" s="15"/>
    </row>
    <row r="229" spans="2:60" ht="15.65" customHeight="1" x14ac:dyDescent="0.4">
      <c r="B229" s="106"/>
      <c r="C229" s="184" t="s">
        <v>25</v>
      </c>
      <c r="D229" s="187" t="s">
        <v>151</v>
      </c>
      <c r="E229" s="188"/>
      <c r="F229" s="189"/>
      <c r="G229" s="45"/>
      <c r="H229" s="253">
        <f>SUM(G232:G240)</f>
        <v>70</v>
      </c>
      <c r="J229" s="33"/>
      <c r="K229" s="124">
        <f>H229*$J$8</f>
        <v>19696.25</v>
      </c>
      <c r="M229" s="14"/>
      <c r="N229" s="3"/>
      <c r="O229" s="15"/>
      <c r="P229" s="15"/>
      <c r="Y229" s="15"/>
      <c r="Z229" s="15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15"/>
      <c r="AM229" s="15"/>
      <c r="AN229" s="15"/>
      <c r="AO229" s="3"/>
      <c r="AP229" s="3"/>
      <c r="AQ229" s="3"/>
      <c r="AR229" s="3"/>
      <c r="AW229" s="3"/>
      <c r="AX229" s="15"/>
      <c r="AY229" s="15"/>
      <c r="AZ229" s="15"/>
      <c r="BA229" s="3"/>
      <c r="BB229" s="3"/>
      <c r="BC229" s="15"/>
      <c r="BD229" s="15"/>
      <c r="BE229" s="3"/>
      <c r="BF229" s="3"/>
      <c r="BG229" s="3"/>
      <c r="BH229" s="3"/>
    </row>
    <row r="230" spans="2:60" ht="15.65" customHeight="1" x14ac:dyDescent="0.4">
      <c r="B230" s="156"/>
      <c r="C230" s="201"/>
      <c r="D230" s="190"/>
      <c r="E230" s="191"/>
      <c r="F230" s="192"/>
      <c r="G230" s="51"/>
      <c r="H230" s="253"/>
      <c r="J230" s="33"/>
      <c r="K230" s="124"/>
      <c r="M230" s="14"/>
      <c r="N230" s="15"/>
      <c r="O230" s="15"/>
      <c r="P230" s="15"/>
      <c r="Y230" s="15"/>
      <c r="Z230" s="15"/>
      <c r="AA230" s="15"/>
      <c r="AB230" s="15"/>
      <c r="AC230" s="15"/>
      <c r="AD230" s="15"/>
      <c r="AE230" s="15"/>
      <c r="AF230" s="15"/>
      <c r="AG230" s="59"/>
      <c r="AH230" s="60"/>
      <c r="AI230" s="60"/>
      <c r="AJ230" s="61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3"/>
      <c r="BF230" s="3"/>
      <c r="BG230" s="3"/>
      <c r="BH230" s="3"/>
    </row>
    <row r="231" spans="2:60" ht="15.65" customHeight="1" x14ac:dyDescent="0.4">
      <c r="B231" s="157"/>
      <c r="C231" s="202"/>
      <c r="D231" s="193"/>
      <c r="E231" s="194"/>
      <c r="F231" s="195"/>
      <c r="G231" s="51"/>
      <c r="H231" s="253"/>
      <c r="J231" s="33"/>
      <c r="K231" s="124"/>
      <c r="M231" s="14"/>
      <c r="N231" s="15"/>
      <c r="O231" s="15"/>
      <c r="P231" s="15"/>
      <c r="Y231" s="15"/>
      <c r="Z231" s="15"/>
      <c r="AA231" s="15"/>
      <c r="AB231" s="15"/>
      <c r="AC231" s="15"/>
      <c r="AD231" s="3"/>
      <c r="AE231" s="3"/>
      <c r="AF231" s="3"/>
      <c r="AG231" s="3"/>
      <c r="AH231" s="3"/>
      <c r="AI231" s="3"/>
      <c r="AJ231" s="3"/>
      <c r="AK231" s="3"/>
      <c r="AL231" s="15"/>
      <c r="AM231" s="15"/>
      <c r="AN231" s="15"/>
      <c r="AO231" s="3"/>
      <c r="AP231" s="3"/>
      <c r="AQ231" s="3"/>
      <c r="AR231" s="15"/>
      <c r="AW231" s="3"/>
      <c r="AX231" s="15"/>
      <c r="AY231" s="15"/>
      <c r="AZ231" s="15"/>
      <c r="BA231" s="3"/>
      <c r="BB231" s="3"/>
      <c r="BC231" s="15"/>
      <c r="BD231" s="15"/>
      <c r="BE231" s="3"/>
      <c r="BF231" s="3"/>
      <c r="BG231" s="3"/>
      <c r="BH231" s="15"/>
    </row>
    <row r="232" spans="2:60" ht="15.65" customHeight="1" x14ac:dyDescent="0.4">
      <c r="B232" s="196"/>
      <c r="C232" s="196"/>
      <c r="D232" s="197" t="s">
        <v>100</v>
      </c>
      <c r="E232" s="251" t="s">
        <v>152</v>
      </c>
      <c r="F232" s="251"/>
      <c r="G232" s="170">
        <v>20</v>
      </c>
      <c r="I232" s="33"/>
      <c r="J232" s="33"/>
      <c r="K232" s="33"/>
      <c r="L232" s="33"/>
      <c r="M232" s="14"/>
      <c r="N232" s="15"/>
      <c r="O232" s="15"/>
      <c r="P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3"/>
      <c r="AI232" s="3"/>
      <c r="AJ232" s="3"/>
      <c r="AK232" s="15"/>
      <c r="AL232" s="15"/>
      <c r="AM232" s="15"/>
      <c r="AN232" s="15"/>
      <c r="AO232" s="3"/>
      <c r="AP232" s="3"/>
      <c r="AQ232" s="3"/>
      <c r="AR232" s="15"/>
      <c r="AW232" s="15"/>
      <c r="AX232" s="15"/>
      <c r="AY232" s="15"/>
      <c r="AZ232" s="15"/>
      <c r="BA232" s="3"/>
      <c r="BB232" s="3"/>
      <c r="BC232" s="15"/>
      <c r="BD232" s="15"/>
      <c r="BE232" s="3"/>
      <c r="BF232" s="3"/>
      <c r="BG232" s="3"/>
      <c r="BH232" s="15"/>
    </row>
    <row r="233" spans="2:60" ht="15.65" customHeight="1" x14ac:dyDescent="0.4">
      <c r="B233" s="196"/>
      <c r="C233" s="196"/>
      <c r="D233" s="198"/>
      <c r="E233" s="251"/>
      <c r="F233" s="251"/>
      <c r="G233" s="171"/>
      <c r="I233" s="33"/>
      <c r="J233" s="33"/>
      <c r="K233" s="33"/>
      <c r="L233" s="33"/>
      <c r="M233" s="14"/>
      <c r="N233" s="15"/>
      <c r="O233" s="15"/>
      <c r="P233" s="15"/>
      <c r="Y233" s="15"/>
      <c r="Z233" s="15"/>
      <c r="AA233" s="15"/>
      <c r="AB233" s="15"/>
      <c r="AG233" s="65"/>
      <c r="AH233" s="66"/>
      <c r="AI233" s="67"/>
      <c r="AJ233" s="15"/>
      <c r="AK233" s="15"/>
      <c r="AL233" s="15"/>
      <c r="AM233" s="15"/>
      <c r="AN233" s="15"/>
      <c r="AO233" s="15"/>
      <c r="AP233" s="15"/>
      <c r="AQ233" s="15"/>
      <c r="AR233" s="15"/>
      <c r="BC233" s="3"/>
      <c r="BD233" s="3"/>
      <c r="BE233" s="3"/>
      <c r="BF233" s="3"/>
      <c r="BG233" s="3"/>
      <c r="BH233" s="15"/>
    </row>
    <row r="234" spans="2:60" ht="15.65" customHeight="1" x14ac:dyDescent="0.4">
      <c r="B234" s="196"/>
      <c r="C234" s="196"/>
      <c r="D234" s="198"/>
      <c r="E234" s="251"/>
      <c r="F234" s="251"/>
      <c r="G234" s="172"/>
      <c r="I234" s="33"/>
      <c r="J234" s="33"/>
      <c r="K234" s="33"/>
      <c r="L234" s="33"/>
      <c r="M234" s="14"/>
      <c r="N234" s="15"/>
      <c r="O234" s="15"/>
      <c r="P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3"/>
      <c r="AI234" s="3"/>
      <c r="AJ234" s="3"/>
      <c r="AK234" s="15"/>
      <c r="AL234" s="15"/>
      <c r="AM234" s="15"/>
      <c r="AN234" s="15"/>
      <c r="AO234" s="3"/>
      <c r="AP234" s="3"/>
      <c r="AQ234" s="3"/>
      <c r="AR234" s="15"/>
      <c r="AW234" s="15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15"/>
    </row>
    <row r="235" spans="2:60" ht="15.65" customHeight="1" x14ac:dyDescent="0.4">
      <c r="B235" s="196"/>
      <c r="C235" s="196"/>
      <c r="D235" s="197" t="s">
        <v>102</v>
      </c>
      <c r="E235" s="251" t="s">
        <v>153</v>
      </c>
      <c r="F235" s="251"/>
      <c r="G235" s="170">
        <v>30</v>
      </c>
      <c r="I235" s="33"/>
      <c r="J235" s="33"/>
      <c r="K235" s="33"/>
      <c r="L235" s="33"/>
      <c r="M235" s="14"/>
      <c r="N235" s="15"/>
      <c r="O235" s="15"/>
      <c r="P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3"/>
      <c r="AI235" s="3"/>
      <c r="AJ235" s="3"/>
      <c r="AK235" s="15"/>
      <c r="AL235" s="3"/>
      <c r="AM235" s="3"/>
      <c r="AN235" s="3"/>
      <c r="AO235" s="3"/>
      <c r="AP235" s="3"/>
      <c r="AQ235" s="3"/>
      <c r="AR235" s="15"/>
      <c r="AW235" s="15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15"/>
    </row>
    <row r="236" spans="2:60" ht="15.65" customHeight="1" x14ac:dyDescent="0.4">
      <c r="B236" s="196"/>
      <c r="C236" s="196"/>
      <c r="D236" s="198"/>
      <c r="E236" s="251"/>
      <c r="F236" s="251"/>
      <c r="G236" s="171"/>
      <c r="I236" s="33"/>
      <c r="J236" s="33"/>
      <c r="K236" s="33"/>
      <c r="L236" s="33"/>
      <c r="M236" s="14"/>
      <c r="N236" s="15"/>
      <c r="O236" s="15"/>
      <c r="P236" s="15"/>
      <c r="AC236" s="15"/>
      <c r="AD236" s="15"/>
      <c r="AE236" s="15"/>
      <c r="AF236" s="15"/>
      <c r="AH236" s="65"/>
      <c r="AI236" s="67"/>
      <c r="BC236" s="3"/>
      <c r="BD236" s="3"/>
      <c r="BE236" s="3"/>
      <c r="BF236" s="3"/>
      <c r="BG236" s="3"/>
      <c r="BH236" s="15"/>
    </row>
    <row r="237" spans="2:60" ht="15.65" customHeight="1" x14ac:dyDescent="0.4">
      <c r="B237" s="196"/>
      <c r="C237" s="196"/>
      <c r="D237" s="198"/>
      <c r="E237" s="251"/>
      <c r="F237" s="251"/>
      <c r="G237" s="172"/>
      <c r="I237" s="33"/>
      <c r="J237" s="33"/>
      <c r="K237" s="33"/>
      <c r="L237" s="33"/>
      <c r="M237" s="14"/>
      <c r="N237" s="15"/>
      <c r="O237" s="15"/>
      <c r="P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3"/>
      <c r="AI237" s="3"/>
      <c r="AJ237" s="3"/>
      <c r="AK237" s="15"/>
      <c r="AL237" s="3"/>
      <c r="AM237" s="3"/>
      <c r="AN237" s="3"/>
      <c r="AO237" s="3"/>
      <c r="AP237" s="3"/>
      <c r="AQ237" s="3"/>
      <c r="AR237" s="15"/>
      <c r="AW237" s="15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15"/>
    </row>
    <row r="238" spans="2:60" ht="15.65" customHeight="1" x14ac:dyDescent="0.4">
      <c r="B238" s="196"/>
      <c r="C238" s="196"/>
      <c r="D238" s="197" t="s">
        <v>104</v>
      </c>
      <c r="E238" s="251" t="s">
        <v>154</v>
      </c>
      <c r="F238" s="251"/>
      <c r="G238" s="170">
        <v>20</v>
      </c>
      <c r="I238" s="33"/>
      <c r="J238" s="33"/>
      <c r="K238" s="33"/>
      <c r="L238" s="33"/>
      <c r="M238" s="14"/>
      <c r="N238" s="15"/>
      <c r="O238" s="15"/>
      <c r="P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3"/>
      <c r="AW238" s="15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15"/>
    </row>
    <row r="239" spans="2:60" ht="15.65" customHeight="1" x14ac:dyDescent="0.4">
      <c r="B239" s="196"/>
      <c r="C239" s="196"/>
      <c r="D239" s="198"/>
      <c r="E239" s="251"/>
      <c r="F239" s="251"/>
      <c r="G239" s="171"/>
      <c r="I239" s="33"/>
      <c r="J239" s="33"/>
      <c r="K239" s="33"/>
      <c r="L239" s="33"/>
      <c r="M239" s="14"/>
      <c r="N239" s="15"/>
      <c r="O239" s="15"/>
      <c r="P239" s="15"/>
      <c r="AC239" s="15"/>
      <c r="AD239" s="15"/>
      <c r="AE239" s="15"/>
      <c r="AF239" s="15"/>
      <c r="AG239" s="15"/>
      <c r="AH239" s="15"/>
      <c r="AI239" s="65"/>
      <c r="AJ239" s="67"/>
      <c r="AK239" s="15"/>
      <c r="AL239" s="15"/>
      <c r="AM239" s="15"/>
      <c r="AN239" s="3"/>
      <c r="BC239" s="3"/>
      <c r="BD239" s="3"/>
      <c r="BE239" s="3"/>
      <c r="BF239" s="3"/>
      <c r="BG239" s="3"/>
      <c r="BH239" s="15"/>
    </row>
    <row r="240" spans="2:60" ht="15.65" customHeight="1" x14ac:dyDescent="0.4">
      <c r="B240" s="196"/>
      <c r="C240" s="196"/>
      <c r="D240" s="198"/>
      <c r="E240" s="251"/>
      <c r="F240" s="251"/>
      <c r="G240" s="172"/>
      <c r="I240" s="33"/>
      <c r="J240" s="33"/>
      <c r="K240" s="33"/>
      <c r="L240" s="33"/>
      <c r="M240" s="14"/>
      <c r="N240" s="15"/>
      <c r="O240" s="15"/>
      <c r="P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3"/>
      <c r="AI240" s="3"/>
      <c r="AJ240" s="3"/>
      <c r="AK240" s="15"/>
      <c r="AL240" s="3"/>
      <c r="AM240" s="3"/>
      <c r="AN240" s="3"/>
      <c r="AO240" s="3"/>
      <c r="AP240" s="3"/>
      <c r="AQ240" s="3"/>
      <c r="AR240" s="15"/>
      <c r="AW240" s="15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15"/>
    </row>
    <row r="241" spans="2:60" ht="15.65" customHeight="1" x14ac:dyDescent="0.4">
      <c r="B241" s="106"/>
      <c r="C241" s="184" t="s">
        <v>27</v>
      </c>
      <c r="D241" s="187" t="s">
        <v>155</v>
      </c>
      <c r="E241" s="188"/>
      <c r="F241" s="189"/>
      <c r="G241" s="45"/>
      <c r="H241" s="253">
        <f>SUM(G244:G264)</f>
        <v>225</v>
      </c>
      <c r="J241" s="33"/>
      <c r="K241" s="124">
        <f>H241*$J$8</f>
        <v>63309.375</v>
      </c>
      <c r="M241" s="14"/>
      <c r="N241" s="3"/>
      <c r="O241" s="15"/>
      <c r="P241" s="15"/>
      <c r="Y241" s="15"/>
      <c r="Z241" s="15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15"/>
      <c r="AM241" s="15"/>
      <c r="AN241" s="15"/>
      <c r="AO241" s="3"/>
      <c r="AP241" s="3"/>
      <c r="AQ241" s="3"/>
      <c r="AR241" s="3"/>
      <c r="AW241" s="3"/>
      <c r="AX241" s="15"/>
      <c r="AY241" s="15"/>
      <c r="AZ241" s="15"/>
      <c r="BA241" s="3"/>
      <c r="BB241" s="3"/>
      <c r="BC241" s="15"/>
      <c r="BD241" s="15"/>
      <c r="BE241" s="3"/>
      <c r="BF241" s="3"/>
      <c r="BG241" s="3"/>
      <c r="BH241" s="3"/>
    </row>
    <row r="242" spans="2:60" ht="15.65" customHeight="1" x14ac:dyDescent="0.4">
      <c r="B242" s="156"/>
      <c r="C242" s="201"/>
      <c r="D242" s="190"/>
      <c r="E242" s="191"/>
      <c r="F242" s="192"/>
      <c r="G242" s="51"/>
      <c r="H242" s="253"/>
      <c r="J242" s="33"/>
      <c r="K242" s="124"/>
      <c r="M242" s="14"/>
      <c r="N242" s="15"/>
      <c r="O242" s="15"/>
      <c r="P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59"/>
      <c r="AK242" s="60"/>
      <c r="AL242" s="60"/>
      <c r="AM242" s="61"/>
      <c r="BC242" s="15"/>
      <c r="BD242" s="15"/>
      <c r="BE242" s="3"/>
      <c r="BF242" s="3"/>
      <c r="BG242" s="3"/>
      <c r="BH242" s="3"/>
    </row>
    <row r="243" spans="2:60" ht="15.65" customHeight="1" x14ac:dyDescent="0.4">
      <c r="B243" s="157"/>
      <c r="C243" s="202"/>
      <c r="D243" s="193"/>
      <c r="E243" s="194"/>
      <c r="F243" s="195"/>
      <c r="G243" s="51"/>
      <c r="H243" s="253"/>
      <c r="J243" s="33"/>
      <c r="K243" s="124"/>
      <c r="M243" s="14"/>
      <c r="N243" s="15"/>
      <c r="O243" s="15"/>
      <c r="P243" s="15"/>
      <c r="Y243" s="15"/>
      <c r="Z243" s="15"/>
      <c r="AA243" s="15"/>
      <c r="AB243" s="15"/>
      <c r="AC243" s="15"/>
      <c r="AD243" s="3"/>
      <c r="AE243" s="3"/>
      <c r="AF243" s="3"/>
      <c r="AG243" s="3"/>
      <c r="AH243" s="3"/>
      <c r="AI243" s="3"/>
      <c r="AJ243" s="3"/>
      <c r="AK243" s="3"/>
      <c r="AL243" s="15"/>
      <c r="AM243" s="15"/>
      <c r="AN243" s="15"/>
      <c r="AO243" s="3"/>
      <c r="AP243" s="3"/>
      <c r="AQ243" s="3"/>
      <c r="BC243" s="15"/>
      <c r="BD243" s="15"/>
      <c r="BE243" s="3"/>
      <c r="BF243" s="3"/>
      <c r="BG243" s="3"/>
      <c r="BH243" s="15"/>
    </row>
    <row r="244" spans="2:60" ht="15.65" customHeight="1" x14ac:dyDescent="0.4">
      <c r="B244" s="196"/>
      <c r="C244" s="196"/>
      <c r="D244" s="197" t="s">
        <v>109</v>
      </c>
      <c r="E244" s="199" t="s">
        <v>156</v>
      </c>
      <c r="F244" s="199"/>
      <c r="G244" s="170">
        <v>35</v>
      </c>
      <c r="I244" s="63"/>
      <c r="J244" s="64"/>
      <c r="K244" s="64"/>
      <c r="L244" s="33"/>
      <c r="M244" s="14"/>
      <c r="N244" s="15"/>
      <c r="O244" s="15"/>
      <c r="P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3"/>
      <c r="AI244" s="3"/>
      <c r="AJ244" s="3"/>
      <c r="AK244" s="15"/>
      <c r="AL244" s="3"/>
      <c r="AM244" s="3"/>
      <c r="AN244" s="3"/>
      <c r="AO244" s="3"/>
      <c r="AP244" s="3"/>
      <c r="AQ244" s="3"/>
      <c r="BC244" s="3"/>
      <c r="BD244" s="3"/>
      <c r="BE244" s="3"/>
      <c r="BF244" s="3"/>
      <c r="BG244" s="3"/>
      <c r="BH244" s="15"/>
    </row>
    <row r="245" spans="2:60" ht="15.65" customHeight="1" x14ac:dyDescent="0.4">
      <c r="B245" s="196"/>
      <c r="C245" s="196"/>
      <c r="D245" s="198"/>
      <c r="E245" s="199"/>
      <c r="F245" s="199"/>
      <c r="G245" s="171"/>
      <c r="I245" s="63"/>
      <c r="J245" s="63"/>
      <c r="K245" s="63"/>
      <c r="L245" s="33"/>
      <c r="M245" s="14"/>
      <c r="N245" s="15"/>
      <c r="O245" s="15"/>
      <c r="P245" s="15"/>
      <c r="AC245" s="15"/>
      <c r="AD245" s="15"/>
      <c r="AE245" s="15"/>
      <c r="AF245" s="15"/>
      <c r="AG245" s="15"/>
      <c r="AH245" s="15"/>
      <c r="AI245" s="15"/>
      <c r="AJ245" s="65"/>
      <c r="AK245" s="67"/>
      <c r="AL245" s="3"/>
      <c r="AM245" s="3"/>
      <c r="AN245" s="15"/>
      <c r="AO245" s="15"/>
      <c r="AP245" s="3"/>
      <c r="AQ245" s="3"/>
      <c r="BC245" s="3"/>
      <c r="BD245" s="3"/>
      <c r="BE245" s="3"/>
      <c r="BF245" s="3"/>
      <c r="BG245" s="3"/>
      <c r="BH245" s="15"/>
    </row>
    <row r="246" spans="2:60" ht="15.65" customHeight="1" x14ac:dyDescent="0.4">
      <c r="B246" s="196"/>
      <c r="C246" s="196"/>
      <c r="D246" s="198"/>
      <c r="E246" s="199"/>
      <c r="F246" s="199"/>
      <c r="G246" s="172"/>
      <c r="I246" s="63"/>
      <c r="J246" s="63"/>
      <c r="K246" s="63"/>
      <c r="L246" s="33"/>
      <c r="M246" s="14"/>
      <c r="N246" s="15"/>
      <c r="O246" s="15"/>
      <c r="P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3"/>
      <c r="AI246" s="3"/>
      <c r="AJ246" s="15"/>
      <c r="AK246" s="15"/>
      <c r="AL246" s="3"/>
      <c r="AM246" s="3"/>
      <c r="AN246" s="3"/>
      <c r="AO246" s="3"/>
      <c r="AP246" s="3"/>
      <c r="AQ246" s="3"/>
      <c r="BC246" s="3"/>
      <c r="BD246" s="3"/>
      <c r="BE246" s="3"/>
      <c r="BF246" s="3"/>
      <c r="BG246" s="3"/>
      <c r="BH246" s="15"/>
    </row>
    <row r="247" spans="2:60" ht="15.65" customHeight="1" x14ac:dyDescent="0.4">
      <c r="B247" s="196"/>
      <c r="C247" s="196"/>
      <c r="D247" s="197" t="s">
        <v>111</v>
      </c>
      <c r="E247" s="251" t="s">
        <v>157</v>
      </c>
      <c r="F247" s="251"/>
      <c r="G247" s="170">
        <v>35</v>
      </c>
      <c r="I247" s="33"/>
      <c r="J247" s="33"/>
      <c r="K247" s="33"/>
      <c r="L247" s="33"/>
      <c r="M247" s="14"/>
      <c r="N247" s="15"/>
      <c r="O247" s="15"/>
      <c r="P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3"/>
      <c r="AI247" s="3"/>
      <c r="AJ247" s="15"/>
      <c r="AK247" s="15"/>
      <c r="AL247" s="3"/>
      <c r="AM247" s="3"/>
      <c r="AN247" s="3"/>
      <c r="AO247" s="3"/>
      <c r="AP247" s="3"/>
      <c r="AQ247" s="3"/>
      <c r="BC247" s="3"/>
      <c r="BD247" s="3"/>
      <c r="BE247" s="3"/>
      <c r="BF247" s="3"/>
      <c r="BG247" s="3"/>
      <c r="BH247" s="15"/>
    </row>
    <row r="248" spans="2:60" ht="15.65" customHeight="1" x14ac:dyDescent="0.4">
      <c r="B248" s="196"/>
      <c r="C248" s="196"/>
      <c r="D248" s="198"/>
      <c r="E248" s="251"/>
      <c r="F248" s="251"/>
      <c r="G248" s="171"/>
      <c r="I248" s="33"/>
      <c r="J248" s="33"/>
      <c r="K248" s="33"/>
      <c r="L248" s="33"/>
      <c r="M248" s="14"/>
      <c r="N248" s="15"/>
      <c r="O248" s="15"/>
      <c r="P248" s="15"/>
      <c r="AC248" s="15"/>
      <c r="AD248" s="15"/>
      <c r="AE248" s="15"/>
      <c r="AF248" s="15"/>
      <c r="AG248" s="15"/>
      <c r="AH248" s="15"/>
      <c r="AI248" s="15"/>
      <c r="AJ248" s="65"/>
      <c r="AK248" s="67"/>
      <c r="AL248" s="15"/>
      <c r="AM248" s="15"/>
      <c r="AN248" s="3"/>
      <c r="AO248" s="15"/>
      <c r="AP248" s="3"/>
      <c r="AQ248" s="3"/>
      <c r="BC248" s="3"/>
      <c r="BD248" s="3"/>
      <c r="BE248" s="3"/>
      <c r="BF248" s="3"/>
      <c r="BG248" s="3"/>
      <c r="BH248" s="15"/>
    </row>
    <row r="249" spans="2:60" ht="15.65" customHeight="1" x14ac:dyDescent="0.4">
      <c r="B249" s="196"/>
      <c r="C249" s="196"/>
      <c r="D249" s="198"/>
      <c r="E249" s="251"/>
      <c r="F249" s="251"/>
      <c r="G249" s="172"/>
      <c r="I249" s="33"/>
      <c r="J249" s="33"/>
      <c r="K249" s="33"/>
      <c r="L249" s="33"/>
      <c r="M249" s="14"/>
      <c r="N249" s="15"/>
      <c r="O249" s="15"/>
      <c r="P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3"/>
      <c r="AI249" s="3"/>
      <c r="AJ249" s="15"/>
      <c r="AK249" s="15"/>
      <c r="AL249" s="3"/>
      <c r="AM249" s="3"/>
      <c r="AN249" s="3"/>
      <c r="AO249" s="3"/>
      <c r="AP249" s="3"/>
      <c r="AQ249" s="3"/>
      <c r="BC249" s="3"/>
      <c r="BD249" s="3"/>
      <c r="BE249" s="3"/>
      <c r="BF249" s="3"/>
      <c r="BG249" s="3"/>
      <c r="BH249" s="15"/>
    </row>
    <row r="250" spans="2:60" ht="15.65" customHeight="1" x14ac:dyDescent="0.4">
      <c r="B250" s="196"/>
      <c r="C250" s="196"/>
      <c r="D250" s="197" t="s">
        <v>113</v>
      </c>
      <c r="E250" s="252" t="s">
        <v>158</v>
      </c>
      <c r="F250" s="252"/>
      <c r="G250" s="170">
        <v>35</v>
      </c>
      <c r="I250" s="33"/>
      <c r="J250" s="33"/>
      <c r="K250" s="33"/>
      <c r="L250" s="33"/>
      <c r="M250" s="14"/>
      <c r="N250" s="15"/>
      <c r="O250" s="15"/>
      <c r="P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3"/>
      <c r="AI250" s="3"/>
      <c r="AJ250" s="15"/>
      <c r="AK250" s="15"/>
      <c r="AL250" s="3"/>
      <c r="AM250" s="3"/>
      <c r="AN250" s="3"/>
      <c r="AO250" s="3"/>
      <c r="AP250" s="3"/>
      <c r="AQ250" s="3"/>
      <c r="BC250" s="3"/>
      <c r="BD250" s="3"/>
      <c r="BE250" s="3"/>
      <c r="BF250" s="3"/>
      <c r="BG250" s="3"/>
      <c r="BH250" s="15"/>
    </row>
    <row r="251" spans="2:60" ht="15.65" customHeight="1" x14ac:dyDescent="0.4">
      <c r="B251" s="196"/>
      <c r="C251" s="196"/>
      <c r="D251" s="198"/>
      <c r="E251" s="252"/>
      <c r="F251" s="252"/>
      <c r="G251" s="171"/>
      <c r="I251" s="33"/>
      <c r="J251" s="33"/>
      <c r="K251" s="33"/>
      <c r="L251" s="33"/>
      <c r="M251" s="14"/>
      <c r="N251" s="15"/>
      <c r="O251" s="15"/>
      <c r="P251" s="15"/>
      <c r="AC251" s="15"/>
      <c r="AD251" s="15"/>
      <c r="AE251" s="15"/>
      <c r="AF251" s="15"/>
      <c r="AG251" s="15"/>
      <c r="AH251" s="15"/>
      <c r="AI251" s="15"/>
      <c r="AJ251" s="15"/>
      <c r="AK251" s="65"/>
      <c r="AL251" s="67"/>
      <c r="AM251" s="3"/>
      <c r="AN251" s="3"/>
      <c r="AO251" s="15"/>
      <c r="AP251" s="3"/>
      <c r="AQ251" s="3"/>
      <c r="BC251" s="3"/>
      <c r="BD251" s="3"/>
      <c r="BE251" s="3"/>
      <c r="BF251" s="3"/>
      <c r="BG251" s="3"/>
      <c r="BH251" s="15"/>
    </row>
    <row r="252" spans="2:60" ht="15.65" customHeight="1" x14ac:dyDescent="0.4">
      <c r="B252" s="196"/>
      <c r="C252" s="196"/>
      <c r="D252" s="198"/>
      <c r="E252" s="252"/>
      <c r="F252" s="252"/>
      <c r="G252" s="172"/>
      <c r="I252" s="33"/>
      <c r="J252" s="33"/>
      <c r="K252" s="33"/>
      <c r="L252" s="33"/>
      <c r="M252" s="14"/>
      <c r="N252" s="15"/>
      <c r="O252" s="15"/>
      <c r="P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3"/>
      <c r="AI252" s="3"/>
      <c r="AJ252" s="15"/>
      <c r="AK252" s="15"/>
      <c r="AL252" s="3"/>
      <c r="AM252" s="3"/>
      <c r="AN252" s="3"/>
      <c r="AO252" s="3"/>
      <c r="AP252" s="3"/>
      <c r="AQ252" s="3"/>
      <c r="BC252" s="3"/>
      <c r="BD252" s="3"/>
      <c r="BE252" s="3"/>
      <c r="BF252" s="3"/>
      <c r="BG252" s="3"/>
      <c r="BH252" s="15"/>
    </row>
    <row r="253" spans="2:60" ht="15.65" customHeight="1" x14ac:dyDescent="0.4">
      <c r="B253" s="196"/>
      <c r="C253" s="196"/>
      <c r="D253" s="197" t="s">
        <v>115</v>
      </c>
      <c r="E253" s="252" t="s">
        <v>159</v>
      </c>
      <c r="F253" s="252"/>
      <c r="G253" s="170">
        <v>35</v>
      </c>
      <c r="I253" s="33"/>
      <c r="J253" s="33"/>
      <c r="K253" s="33"/>
      <c r="L253" s="33"/>
      <c r="M253" s="14"/>
      <c r="N253" s="15"/>
      <c r="O253" s="15"/>
      <c r="P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3"/>
      <c r="AI253" s="3"/>
      <c r="AJ253" s="15"/>
      <c r="AK253" s="15"/>
      <c r="AL253" s="3"/>
      <c r="AM253" s="3"/>
      <c r="AN253" s="3"/>
      <c r="AO253" s="3"/>
      <c r="AP253" s="3"/>
      <c r="AQ253" s="3"/>
      <c r="BC253" s="3"/>
      <c r="BD253" s="3"/>
      <c r="BE253" s="3"/>
      <c r="BF253" s="3"/>
      <c r="BG253" s="3"/>
      <c r="BH253" s="15"/>
    </row>
    <row r="254" spans="2:60" ht="15.65" customHeight="1" x14ac:dyDescent="0.4">
      <c r="B254" s="196"/>
      <c r="C254" s="196"/>
      <c r="D254" s="198"/>
      <c r="E254" s="252"/>
      <c r="F254" s="252"/>
      <c r="G254" s="171"/>
      <c r="I254" s="33"/>
      <c r="J254" s="33"/>
      <c r="K254" s="33"/>
      <c r="L254" s="33"/>
      <c r="M254" s="14"/>
      <c r="N254" s="15"/>
      <c r="O254" s="15"/>
      <c r="P254" s="15"/>
      <c r="AC254" s="15"/>
      <c r="AD254" s="15"/>
      <c r="AE254" s="15"/>
      <c r="AF254" s="15"/>
      <c r="AG254" s="15"/>
      <c r="AH254" s="15"/>
      <c r="AI254" s="15"/>
      <c r="AJ254" s="15"/>
      <c r="AK254" s="65"/>
      <c r="AL254" s="67"/>
      <c r="AM254" s="3"/>
      <c r="AN254" s="3"/>
      <c r="AO254" s="15"/>
      <c r="AP254" s="3"/>
      <c r="AQ254" s="3"/>
      <c r="BC254" s="3"/>
      <c r="BD254" s="3"/>
      <c r="BE254" s="3"/>
      <c r="BF254" s="3"/>
      <c r="BG254" s="3"/>
      <c r="BH254" s="15"/>
    </row>
    <row r="255" spans="2:60" ht="15.65" customHeight="1" x14ac:dyDescent="0.4">
      <c r="B255" s="196"/>
      <c r="C255" s="196"/>
      <c r="D255" s="198"/>
      <c r="E255" s="252"/>
      <c r="F255" s="252"/>
      <c r="G255" s="172"/>
      <c r="I255" s="33"/>
      <c r="J255" s="33"/>
      <c r="K255" s="33"/>
      <c r="L255" s="33"/>
      <c r="M255" s="14"/>
      <c r="N255" s="15"/>
      <c r="O255" s="15"/>
      <c r="P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3"/>
      <c r="AI255" s="3"/>
      <c r="AJ255" s="15"/>
      <c r="AK255" s="15"/>
      <c r="AL255" s="3"/>
      <c r="AM255" s="3"/>
      <c r="AN255" s="3"/>
      <c r="AO255" s="3"/>
      <c r="AP255" s="3"/>
      <c r="AQ255" s="3"/>
      <c r="BC255" s="3"/>
      <c r="BD255" s="3"/>
      <c r="BE255" s="3"/>
      <c r="BF255" s="3"/>
      <c r="BG255" s="3"/>
      <c r="BH255" s="15"/>
    </row>
    <row r="256" spans="2:60" ht="15.65" customHeight="1" x14ac:dyDescent="0.4">
      <c r="B256" s="196"/>
      <c r="C256" s="196"/>
      <c r="D256" s="197" t="s">
        <v>117</v>
      </c>
      <c r="E256" s="252" t="s">
        <v>160</v>
      </c>
      <c r="F256" s="252"/>
      <c r="G256" s="170">
        <v>35</v>
      </c>
      <c r="I256" s="33"/>
      <c r="J256" s="33"/>
      <c r="K256" s="33"/>
      <c r="L256" s="33"/>
      <c r="M256" s="14"/>
      <c r="N256" s="15"/>
      <c r="O256" s="15"/>
      <c r="P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3"/>
      <c r="AI256" s="3"/>
      <c r="AJ256" s="15"/>
      <c r="AK256" s="15"/>
      <c r="AL256" s="3"/>
      <c r="AM256" s="3"/>
      <c r="AN256" s="3"/>
      <c r="AO256" s="3"/>
      <c r="AP256" s="3"/>
      <c r="AQ256" s="3"/>
      <c r="BC256" s="3"/>
      <c r="BD256" s="3"/>
      <c r="BE256" s="3"/>
      <c r="BF256" s="3"/>
      <c r="BG256" s="3"/>
      <c r="BH256" s="15"/>
    </row>
    <row r="257" spans="2:60" ht="15.65" customHeight="1" x14ac:dyDescent="0.4">
      <c r="B257" s="196"/>
      <c r="C257" s="196"/>
      <c r="D257" s="198"/>
      <c r="E257" s="252"/>
      <c r="F257" s="252"/>
      <c r="G257" s="171"/>
      <c r="I257" s="33"/>
      <c r="J257" s="33"/>
      <c r="K257" s="33"/>
      <c r="L257" s="33"/>
      <c r="M257" s="14"/>
      <c r="N257" s="15"/>
      <c r="O257" s="15"/>
      <c r="P257" s="15"/>
      <c r="AC257" s="15"/>
      <c r="AD257" s="15"/>
      <c r="AE257" s="15"/>
      <c r="AF257" s="15"/>
      <c r="AG257" s="15"/>
      <c r="AH257" s="15"/>
      <c r="AI257" s="15"/>
      <c r="AJ257" s="15"/>
      <c r="AK257" s="65"/>
      <c r="AL257" s="67"/>
      <c r="AM257" s="3"/>
      <c r="AN257" s="3"/>
      <c r="AO257" s="15"/>
      <c r="AP257" s="3"/>
      <c r="AQ257" s="3"/>
      <c r="BC257" s="3"/>
      <c r="BD257" s="3"/>
      <c r="BE257" s="3"/>
      <c r="BF257" s="3"/>
      <c r="BG257" s="3"/>
      <c r="BH257" s="15"/>
    </row>
    <row r="258" spans="2:60" ht="15.65" customHeight="1" x14ac:dyDescent="0.4">
      <c r="B258" s="196"/>
      <c r="C258" s="196"/>
      <c r="D258" s="198"/>
      <c r="E258" s="252"/>
      <c r="F258" s="252"/>
      <c r="G258" s="172"/>
      <c r="I258" s="33"/>
      <c r="J258" s="33"/>
      <c r="K258" s="33"/>
      <c r="L258" s="33"/>
      <c r="M258" s="14"/>
      <c r="N258" s="15"/>
      <c r="O258" s="15"/>
      <c r="P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3"/>
      <c r="AI258" s="3"/>
      <c r="AJ258" s="15"/>
      <c r="AK258" s="15"/>
      <c r="AL258" s="3"/>
      <c r="AM258" s="3"/>
      <c r="AN258" s="3"/>
      <c r="AO258" s="3"/>
      <c r="AP258" s="3"/>
      <c r="AQ258" s="3"/>
      <c r="BC258" s="3"/>
      <c r="BD258" s="3"/>
      <c r="BE258" s="3"/>
      <c r="BF258" s="3"/>
      <c r="BG258" s="3"/>
      <c r="BH258" s="15"/>
    </row>
    <row r="259" spans="2:60" ht="15.65" customHeight="1" x14ac:dyDescent="0.4">
      <c r="B259" s="196"/>
      <c r="C259" s="196"/>
      <c r="D259" s="197" t="s">
        <v>119</v>
      </c>
      <c r="E259" s="251" t="s">
        <v>161</v>
      </c>
      <c r="F259" s="251"/>
      <c r="G259" s="170">
        <v>25</v>
      </c>
      <c r="I259" s="33"/>
      <c r="J259" s="33"/>
      <c r="K259" s="33"/>
      <c r="L259" s="33"/>
      <c r="M259" s="14"/>
      <c r="N259" s="15"/>
      <c r="O259" s="15"/>
      <c r="P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3"/>
      <c r="AI259" s="3"/>
      <c r="AJ259" s="15"/>
      <c r="AK259" s="15"/>
      <c r="AL259" s="3"/>
      <c r="AM259" s="3"/>
      <c r="AN259" s="3"/>
      <c r="AO259" s="3"/>
      <c r="AP259" s="3"/>
      <c r="AQ259" s="3"/>
      <c r="BC259" s="3"/>
      <c r="BD259" s="3"/>
      <c r="BE259" s="3"/>
      <c r="BF259" s="3"/>
      <c r="BG259" s="3"/>
      <c r="BH259" s="15"/>
    </row>
    <row r="260" spans="2:60" ht="15.65" customHeight="1" x14ac:dyDescent="0.4">
      <c r="B260" s="196"/>
      <c r="C260" s="196"/>
      <c r="D260" s="198"/>
      <c r="E260" s="251"/>
      <c r="F260" s="251"/>
      <c r="G260" s="171"/>
      <c r="I260" s="33"/>
      <c r="J260" s="33"/>
      <c r="K260" s="33"/>
      <c r="L260" s="33"/>
      <c r="M260" s="14"/>
      <c r="N260" s="15"/>
      <c r="O260" s="15"/>
      <c r="P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65"/>
      <c r="AM260" s="67"/>
      <c r="AN260" s="3"/>
      <c r="AO260" s="15"/>
      <c r="AP260" s="3"/>
      <c r="AQ260" s="3"/>
      <c r="BC260" s="3"/>
      <c r="BD260" s="3"/>
      <c r="BE260" s="3"/>
      <c r="BF260" s="3"/>
      <c r="BG260" s="3"/>
      <c r="BH260" s="15"/>
    </row>
    <row r="261" spans="2:60" ht="15.65" customHeight="1" x14ac:dyDescent="0.4">
      <c r="B261" s="196"/>
      <c r="C261" s="196"/>
      <c r="D261" s="198"/>
      <c r="E261" s="251"/>
      <c r="F261" s="251"/>
      <c r="G261" s="172"/>
      <c r="I261" s="33"/>
      <c r="J261" s="33"/>
      <c r="K261" s="33"/>
      <c r="L261" s="33"/>
      <c r="M261" s="14"/>
      <c r="N261" s="15"/>
      <c r="O261" s="15"/>
      <c r="P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3"/>
      <c r="AI261" s="3"/>
      <c r="AJ261" s="15"/>
      <c r="AK261" s="15"/>
      <c r="AL261" s="3"/>
      <c r="AM261" s="3"/>
      <c r="AN261" s="3"/>
      <c r="AO261" s="3"/>
      <c r="AP261" s="3"/>
      <c r="AQ261" s="3"/>
      <c r="BC261" s="3"/>
      <c r="BD261" s="3"/>
      <c r="BE261" s="3"/>
      <c r="BF261" s="3"/>
      <c r="BG261" s="3"/>
      <c r="BH261" s="15"/>
    </row>
    <row r="262" spans="2:60" ht="15.65" customHeight="1" x14ac:dyDescent="0.4">
      <c r="B262" s="196"/>
      <c r="C262" s="196"/>
      <c r="D262" s="197" t="s">
        <v>121</v>
      </c>
      <c r="E262" s="251" t="s">
        <v>162</v>
      </c>
      <c r="F262" s="251"/>
      <c r="G262" s="170">
        <v>25</v>
      </c>
      <c r="I262" s="33"/>
      <c r="J262" s="33"/>
      <c r="K262" s="33"/>
      <c r="L262" s="33"/>
      <c r="M262" s="14"/>
      <c r="N262" s="15"/>
      <c r="O262" s="15"/>
      <c r="P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3"/>
      <c r="AI262" s="3"/>
      <c r="AJ262" s="15"/>
      <c r="AK262" s="15"/>
      <c r="AL262" s="3"/>
      <c r="AM262" s="3"/>
      <c r="AN262" s="3"/>
      <c r="AO262" s="3"/>
      <c r="AP262" s="3"/>
      <c r="AQ262" s="3"/>
      <c r="BC262" s="3"/>
      <c r="BD262" s="3"/>
      <c r="BE262" s="3"/>
      <c r="BF262" s="3"/>
      <c r="BG262" s="3"/>
      <c r="BH262" s="15"/>
    </row>
    <row r="263" spans="2:60" ht="15.65" customHeight="1" x14ac:dyDescent="0.4">
      <c r="B263" s="196"/>
      <c r="C263" s="196"/>
      <c r="D263" s="198"/>
      <c r="E263" s="251"/>
      <c r="F263" s="251"/>
      <c r="G263" s="171"/>
      <c r="I263" s="33"/>
      <c r="J263" s="33"/>
      <c r="K263" s="33"/>
      <c r="L263" s="33"/>
      <c r="M263" s="14"/>
      <c r="N263" s="15"/>
      <c r="O263" s="15"/>
      <c r="P263" s="15"/>
      <c r="AC263" s="15"/>
      <c r="AD263" s="15"/>
      <c r="AE263" s="15"/>
      <c r="AF263" s="15"/>
      <c r="AG263" s="15"/>
      <c r="AH263" s="15"/>
      <c r="AI263" s="15"/>
      <c r="AJ263" s="15"/>
      <c r="AK263" s="65"/>
      <c r="AL263" s="66"/>
      <c r="AM263" s="67"/>
      <c r="AN263" s="3"/>
      <c r="AO263" s="15"/>
      <c r="AP263" s="3"/>
      <c r="AQ263" s="3"/>
      <c r="BC263" s="3"/>
      <c r="BD263" s="3"/>
      <c r="BE263" s="3"/>
      <c r="BF263" s="3"/>
      <c r="BG263" s="3"/>
      <c r="BH263" s="15"/>
    </row>
    <row r="264" spans="2:60" ht="15.65" customHeight="1" x14ac:dyDescent="0.4">
      <c r="B264" s="196"/>
      <c r="C264" s="196"/>
      <c r="D264" s="198"/>
      <c r="E264" s="251"/>
      <c r="F264" s="251"/>
      <c r="G264" s="172"/>
      <c r="I264" s="33"/>
      <c r="J264" s="33"/>
      <c r="K264" s="33"/>
      <c r="L264" s="33"/>
      <c r="M264" s="14"/>
      <c r="N264" s="15"/>
      <c r="O264" s="15"/>
      <c r="P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3"/>
      <c r="AI264" s="3"/>
      <c r="AJ264" s="3"/>
      <c r="AK264" s="15"/>
      <c r="AL264" s="3"/>
      <c r="AM264" s="3"/>
      <c r="AN264" s="3"/>
      <c r="AO264" s="3"/>
      <c r="AP264" s="3"/>
      <c r="AQ264" s="3"/>
      <c r="BC264" s="3"/>
      <c r="BD264" s="3"/>
      <c r="BE264" s="3"/>
      <c r="BF264" s="3"/>
      <c r="BG264" s="3"/>
      <c r="BH264" s="15"/>
    </row>
    <row r="265" spans="2:60" ht="15.65" customHeight="1" x14ac:dyDescent="0.4">
      <c r="B265" s="125" t="s">
        <v>163</v>
      </c>
      <c r="C265" s="173" t="s">
        <v>164</v>
      </c>
      <c r="D265" s="174"/>
      <c r="E265" s="174"/>
      <c r="F265" s="175"/>
      <c r="G265" s="249">
        <f>I265*250</f>
        <v>271750</v>
      </c>
      <c r="H265" s="140"/>
      <c r="I265" s="250">
        <f>SUM(H268:H393)</f>
        <v>1087</v>
      </c>
      <c r="J265" s="33"/>
      <c r="K265" s="33"/>
      <c r="L265" s="155">
        <f>SUM(K268:K393)</f>
        <v>305854.625</v>
      </c>
      <c r="M265" s="14"/>
      <c r="N265" s="15"/>
      <c r="O265" s="15"/>
      <c r="P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</row>
    <row r="266" spans="2:60" ht="15.65" customHeight="1" x14ac:dyDescent="0.4">
      <c r="B266" s="126"/>
      <c r="C266" s="176"/>
      <c r="D266" s="177"/>
      <c r="E266" s="177"/>
      <c r="F266" s="178"/>
      <c r="G266" s="249"/>
      <c r="H266" s="141"/>
      <c r="I266" s="250"/>
      <c r="J266" s="33"/>
      <c r="K266" s="33"/>
      <c r="L266" s="155"/>
      <c r="M266" s="14"/>
      <c r="N266" s="15"/>
      <c r="O266" s="15"/>
      <c r="P266" s="15"/>
      <c r="Y266" s="15"/>
      <c r="Z266" s="15"/>
      <c r="AA266" s="15"/>
      <c r="AC266" s="56"/>
      <c r="AD266" s="57"/>
      <c r="AE266" s="57"/>
      <c r="AF266" s="57"/>
      <c r="AG266" s="57"/>
      <c r="AH266" s="57"/>
      <c r="AI266" s="57"/>
      <c r="AJ266" s="57"/>
      <c r="AK266" s="57"/>
      <c r="AL266" s="57"/>
      <c r="AM266" s="57"/>
      <c r="AN266" s="58"/>
      <c r="AO266" s="15"/>
      <c r="AP266" s="15"/>
      <c r="AQ266" s="15"/>
      <c r="AR266" s="15"/>
      <c r="BC266" s="15"/>
      <c r="BD266" s="15"/>
      <c r="BE266" s="3"/>
      <c r="BF266" s="3"/>
      <c r="BG266" s="3"/>
      <c r="BH266" s="3"/>
    </row>
    <row r="267" spans="2:60" ht="15.65" customHeight="1" x14ac:dyDescent="0.4">
      <c r="B267" s="127"/>
      <c r="C267" s="179"/>
      <c r="D267" s="180"/>
      <c r="E267" s="180"/>
      <c r="F267" s="181"/>
      <c r="G267" s="249"/>
      <c r="H267" s="141"/>
      <c r="I267" s="250"/>
      <c r="J267" s="33"/>
      <c r="K267" s="33"/>
      <c r="L267" s="155"/>
      <c r="M267" s="14"/>
      <c r="N267" s="15"/>
      <c r="O267" s="15"/>
      <c r="P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</row>
    <row r="268" spans="2:60" ht="15" customHeight="1" x14ac:dyDescent="0.4">
      <c r="B268" s="106"/>
      <c r="C268" s="109" t="s">
        <v>25</v>
      </c>
      <c r="D268" s="187" t="s">
        <v>165</v>
      </c>
      <c r="E268" s="188"/>
      <c r="F268" s="189"/>
      <c r="G268" s="51"/>
      <c r="H268" s="121">
        <f>SUM(G271:G285)</f>
        <v>155</v>
      </c>
      <c r="I268" s="33"/>
      <c r="J268" s="33"/>
      <c r="K268" s="124">
        <f>H268*$J$8</f>
        <v>43613.125</v>
      </c>
      <c r="M268" s="14"/>
      <c r="N268" s="3"/>
      <c r="O268" s="15"/>
      <c r="P268" s="15"/>
      <c r="Y268" s="15"/>
      <c r="Z268" s="15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15"/>
      <c r="AM268" s="15"/>
      <c r="AN268" s="15"/>
      <c r="AO268" s="3"/>
      <c r="AP268" s="3"/>
      <c r="AQ268" s="3"/>
      <c r="AR268" s="3"/>
      <c r="AW268" s="3"/>
      <c r="AX268" s="15"/>
      <c r="AY268" s="15"/>
      <c r="AZ268" s="15"/>
      <c r="BA268" s="3"/>
      <c r="BB268" s="3"/>
      <c r="BC268" s="15"/>
      <c r="BD268" s="15"/>
      <c r="BE268" s="3"/>
      <c r="BF268" s="3"/>
      <c r="BG268" s="3"/>
      <c r="BH268" s="3"/>
    </row>
    <row r="269" spans="2:60" ht="15" customHeight="1" x14ac:dyDescent="0.4">
      <c r="B269" s="156"/>
      <c r="C269" s="153"/>
      <c r="D269" s="190"/>
      <c r="E269" s="191"/>
      <c r="F269" s="192"/>
      <c r="G269" s="51"/>
      <c r="H269" s="122"/>
      <c r="I269" s="33"/>
      <c r="J269" s="33"/>
      <c r="K269" s="124"/>
      <c r="M269" s="14"/>
      <c r="N269" s="15"/>
      <c r="O269" s="15"/>
      <c r="P269" s="15"/>
      <c r="Y269" s="15"/>
      <c r="Z269" s="15"/>
      <c r="AA269" s="15"/>
      <c r="AC269" s="59"/>
      <c r="AD269" s="60"/>
      <c r="AE269" s="60"/>
      <c r="AF269" s="61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BC269" s="15"/>
      <c r="BD269" s="15"/>
      <c r="BE269" s="3"/>
      <c r="BF269" s="3"/>
      <c r="BG269" s="3"/>
      <c r="BH269" s="3"/>
    </row>
    <row r="270" spans="2:60" ht="15" customHeight="1" x14ac:dyDescent="0.4">
      <c r="B270" s="157"/>
      <c r="C270" s="154"/>
      <c r="D270" s="193"/>
      <c r="E270" s="194"/>
      <c r="F270" s="195"/>
      <c r="G270" s="51"/>
      <c r="H270" s="123"/>
      <c r="I270" s="33"/>
      <c r="J270" s="33"/>
      <c r="K270" s="124"/>
      <c r="M270" s="14"/>
      <c r="N270" s="15"/>
      <c r="O270" s="15"/>
      <c r="P270" s="15"/>
      <c r="Y270" s="15"/>
      <c r="Z270" s="15"/>
      <c r="AA270" s="15"/>
      <c r="AB270" s="15"/>
      <c r="AC270" s="15"/>
      <c r="AD270" s="3"/>
      <c r="AE270" s="3"/>
      <c r="AF270" s="3"/>
      <c r="AG270" s="3"/>
      <c r="AH270" s="3"/>
      <c r="AI270" s="3"/>
      <c r="AJ270" s="3"/>
      <c r="AK270" s="3"/>
      <c r="AL270" s="15"/>
      <c r="AM270" s="15"/>
      <c r="AN270" s="15"/>
      <c r="AO270" s="3"/>
      <c r="AP270" s="3"/>
      <c r="AQ270" s="15"/>
      <c r="AR270" s="15"/>
      <c r="BB270" s="3"/>
      <c r="BC270" s="15"/>
      <c r="BD270" s="15"/>
      <c r="BE270" s="3"/>
      <c r="BF270" s="3"/>
      <c r="BG270" s="3"/>
      <c r="BH270" s="3"/>
    </row>
    <row r="271" spans="2:60" ht="15" customHeight="1" x14ac:dyDescent="0.4">
      <c r="B271" s="158"/>
      <c r="C271" s="158"/>
      <c r="D271" s="161" t="s">
        <v>100</v>
      </c>
      <c r="E271" s="203" t="s">
        <v>166</v>
      </c>
      <c r="F271" s="204"/>
      <c r="G271" s="170">
        <v>31</v>
      </c>
      <c r="H271" s="72"/>
      <c r="I271" s="63"/>
      <c r="J271" s="64"/>
      <c r="K271" s="64"/>
      <c r="L271" s="33"/>
      <c r="M271" s="14"/>
      <c r="N271" s="15"/>
      <c r="O271" s="15"/>
      <c r="P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3"/>
      <c r="AI271" s="3"/>
      <c r="AJ271" s="3"/>
      <c r="AK271" s="15"/>
      <c r="AL271" s="3"/>
      <c r="AM271" s="3"/>
      <c r="AN271" s="3"/>
      <c r="AO271" s="3"/>
      <c r="AP271" s="3"/>
      <c r="AQ271" s="15"/>
      <c r="AR271" s="15"/>
      <c r="BB271" s="3"/>
      <c r="BC271" s="3"/>
      <c r="BD271" s="3"/>
      <c r="BE271" s="3"/>
      <c r="BF271" s="3"/>
      <c r="BG271" s="3"/>
      <c r="BH271" s="15"/>
    </row>
    <row r="272" spans="2:60" ht="15" customHeight="1" x14ac:dyDescent="0.4">
      <c r="B272" s="159"/>
      <c r="C272" s="159"/>
      <c r="D272" s="162"/>
      <c r="E272" s="205"/>
      <c r="F272" s="206"/>
      <c r="G272" s="171"/>
      <c r="H272" s="73"/>
      <c r="I272" s="63"/>
      <c r="J272" s="63"/>
      <c r="K272" s="63"/>
      <c r="L272" s="33"/>
      <c r="M272" s="14"/>
      <c r="N272" s="15"/>
      <c r="O272" s="15"/>
      <c r="P272" s="15"/>
      <c r="AC272" s="65"/>
      <c r="AD272" s="67"/>
      <c r="AE272" s="3"/>
      <c r="AN272" s="3"/>
      <c r="AO272" s="3"/>
      <c r="AP272" s="3"/>
      <c r="AQ272" s="15"/>
      <c r="AR272" s="15"/>
      <c r="BB272" s="3"/>
      <c r="BC272" s="3"/>
      <c r="BD272" s="3"/>
      <c r="BE272" s="3"/>
      <c r="BF272" s="3"/>
      <c r="BG272" s="3"/>
      <c r="BH272" s="15"/>
    </row>
    <row r="273" spans="2:60" ht="15" customHeight="1" x14ac:dyDescent="0.4">
      <c r="B273" s="160"/>
      <c r="C273" s="160"/>
      <c r="D273" s="163"/>
      <c r="E273" s="207"/>
      <c r="F273" s="208"/>
      <c r="G273" s="172"/>
      <c r="H273" s="74"/>
      <c r="I273" s="63"/>
      <c r="J273" s="63"/>
      <c r="K273" s="63"/>
      <c r="L273" s="33"/>
      <c r="M273" s="14"/>
      <c r="N273" s="15"/>
      <c r="O273" s="15"/>
      <c r="P273" s="15"/>
      <c r="Y273" s="15"/>
      <c r="Z273" s="15"/>
      <c r="AA273" s="15"/>
      <c r="AB273" s="15"/>
      <c r="AC273" s="15"/>
      <c r="AD273" s="15"/>
      <c r="AE273" s="3"/>
      <c r="AF273" s="15"/>
      <c r="AG273" s="15"/>
      <c r="AH273" s="3"/>
      <c r="AI273" s="3"/>
      <c r="AJ273" s="3"/>
      <c r="AK273" s="15"/>
      <c r="AL273" s="3"/>
      <c r="AM273" s="3"/>
      <c r="AN273" s="3"/>
      <c r="AO273" s="3"/>
      <c r="AP273" s="3"/>
      <c r="AQ273" s="15"/>
      <c r="AR273" s="15"/>
      <c r="BB273" s="3"/>
      <c r="BC273" s="3"/>
      <c r="BD273" s="3"/>
      <c r="BE273" s="3"/>
      <c r="BF273" s="3"/>
      <c r="BG273" s="3"/>
      <c r="BH273" s="15"/>
    </row>
    <row r="274" spans="2:60" ht="15" customHeight="1" x14ac:dyDescent="0.4">
      <c r="B274" s="158"/>
      <c r="C274" s="158"/>
      <c r="D274" s="161" t="s">
        <v>102</v>
      </c>
      <c r="E274" s="203" t="s">
        <v>167</v>
      </c>
      <c r="F274" s="204"/>
      <c r="G274" s="170">
        <v>31</v>
      </c>
      <c r="H274" s="72"/>
      <c r="I274" s="33"/>
      <c r="J274" s="33"/>
      <c r="K274" s="33"/>
      <c r="L274" s="63"/>
      <c r="M274" s="14"/>
      <c r="N274" s="15"/>
      <c r="O274" s="15"/>
      <c r="P274" s="15"/>
      <c r="Y274" s="15"/>
      <c r="Z274" s="15"/>
      <c r="AA274" s="15"/>
      <c r="AB274" s="15"/>
      <c r="AC274" s="15"/>
      <c r="AD274" s="15"/>
      <c r="AE274" s="3"/>
      <c r="AF274" s="15"/>
      <c r="AG274" s="15"/>
      <c r="AH274" s="3"/>
      <c r="AI274" s="3"/>
      <c r="AJ274" s="3"/>
      <c r="AK274" s="3"/>
      <c r="AL274" s="3"/>
      <c r="AM274" s="3"/>
      <c r="AN274" s="3"/>
      <c r="AO274" s="3"/>
      <c r="AP274" s="3"/>
      <c r="AQ274" s="15"/>
      <c r="AR274" s="15"/>
      <c r="BB274" s="3"/>
      <c r="BC274" s="3"/>
      <c r="BD274" s="3"/>
      <c r="BE274" s="3"/>
      <c r="BF274" s="3"/>
      <c r="BG274" s="3"/>
      <c r="BH274" s="15"/>
    </row>
    <row r="275" spans="2:60" ht="15" customHeight="1" x14ac:dyDescent="0.4">
      <c r="B275" s="159"/>
      <c r="C275" s="159"/>
      <c r="D275" s="162"/>
      <c r="E275" s="205"/>
      <c r="F275" s="206"/>
      <c r="G275" s="171"/>
      <c r="H275" s="73"/>
      <c r="I275" s="33"/>
      <c r="J275" s="33"/>
      <c r="K275" s="33"/>
      <c r="L275" s="63"/>
      <c r="M275" s="14"/>
      <c r="N275" s="15"/>
      <c r="O275" s="15"/>
      <c r="P275" s="15"/>
      <c r="Y275" s="15"/>
      <c r="Z275" s="15"/>
      <c r="AA275" s="15"/>
      <c r="AB275" s="15"/>
      <c r="AC275" s="65"/>
      <c r="AD275" s="67"/>
      <c r="AE275" s="15"/>
      <c r="AF275" s="15"/>
      <c r="AG275" s="15"/>
      <c r="AH275" s="3"/>
      <c r="AI275" s="3"/>
      <c r="AJ275" s="3"/>
      <c r="AK275" s="3"/>
      <c r="AL275" s="3"/>
      <c r="AM275" s="3"/>
      <c r="AN275" s="3"/>
      <c r="AO275" s="3"/>
      <c r="AP275" s="3"/>
      <c r="AQ275" s="15"/>
      <c r="AR275" s="15"/>
      <c r="BB275" s="3"/>
      <c r="BC275" s="3"/>
      <c r="BD275" s="3"/>
      <c r="BE275" s="3"/>
      <c r="BF275" s="3"/>
      <c r="BG275" s="3"/>
      <c r="BH275" s="15"/>
    </row>
    <row r="276" spans="2:60" ht="15" customHeight="1" x14ac:dyDescent="0.4">
      <c r="B276" s="160"/>
      <c r="C276" s="159"/>
      <c r="D276" s="163"/>
      <c r="E276" s="207"/>
      <c r="F276" s="208"/>
      <c r="G276" s="172"/>
      <c r="H276" s="74"/>
      <c r="I276" s="33"/>
      <c r="J276" s="33"/>
      <c r="K276" s="33"/>
      <c r="L276" s="33"/>
      <c r="M276" s="14"/>
      <c r="N276" s="15"/>
      <c r="O276" s="15"/>
      <c r="P276" s="15"/>
      <c r="Y276" s="15"/>
      <c r="Z276" s="15"/>
      <c r="AA276" s="15"/>
      <c r="AB276" s="15"/>
      <c r="AC276" s="15"/>
      <c r="AD276" s="15"/>
      <c r="AE276" s="3"/>
      <c r="AF276" s="15"/>
      <c r="AG276" s="15"/>
      <c r="AH276" s="3"/>
      <c r="AI276" s="3"/>
      <c r="AJ276" s="3"/>
      <c r="AK276" s="3"/>
      <c r="AL276" s="3"/>
      <c r="AM276" s="3"/>
      <c r="AN276" s="3"/>
      <c r="AO276" s="3"/>
      <c r="AP276" s="3"/>
      <c r="AQ276" s="15"/>
      <c r="AR276" s="15"/>
      <c r="BB276" s="3"/>
      <c r="BC276" s="3"/>
      <c r="BD276" s="3"/>
      <c r="BE276" s="3"/>
      <c r="BF276" s="3"/>
      <c r="BG276" s="3"/>
      <c r="BH276" s="15"/>
    </row>
    <row r="277" spans="2:60" ht="15" customHeight="1" x14ac:dyDescent="0.4">
      <c r="B277" s="158"/>
      <c r="C277" s="158"/>
      <c r="D277" s="161" t="s">
        <v>104</v>
      </c>
      <c r="E277" s="203" t="s">
        <v>168</v>
      </c>
      <c r="F277" s="204"/>
      <c r="G277" s="170">
        <v>31</v>
      </c>
      <c r="H277" s="72"/>
      <c r="I277" s="33"/>
      <c r="J277" s="33"/>
      <c r="K277" s="33"/>
      <c r="L277" s="63"/>
      <c r="M277" s="14"/>
      <c r="N277" s="15"/>
      <c r="O277" s="15"/>
      <c r="P277" s="15"/>
      <c r="Y277" s="15"/>
      <c r="Z277" s="15"/>
      <c r="AA277" s="15"/>
      <c r="AB277" s="15"/>
      <c r="AC277" s="15"/>
      <c r="AD277" s="15"/>
      <c r="AE277" s="3"/>
      <c r="AF277" s="15"/>
      <c r="AG277" s="15"/>
      <c r="AH277" s="3"/>
      <c r="AI277" s="3"/>
      <c r="AJ277" s="3"/>
      <c r="AK277" s="3"/>
      <c r="AL277" s="3"/>
      <c r="AM277" s="3"/>
      <c r="AN277" s="3"/>
      <c r="AO277" s="3"/>
      <c r="AP277" s="3"/>
      <c r="AQ277" s="15"/>
      <c r="AR277" s="15"/>
      <c r="BB277" s="3"/>
      <c r="BC277" s="3"/>
      <c r="BD277" s="3"/>
      <c r="BE277" s="3"/>
      <c r="BF277" s="3"/>
      <c r="BG277" s="3"/>
      <c r="BH277" s="15"/>
    </row>
    <row r="278" spans="2:60" ht="15" customHeight="1" x14ac:dyDescent="0.4">
      <c r="B278" s="159"/>
      <c r="C278" s="159"/>
      <c r="D278" s="162"/>
      <c r="E278" s="205"/>
      <c r="F278" s="206"/>
      <c r="G278" s="171"/>
      <c r="H278" s="73"/>
      <c r="I278" s="33"/>
      <c r="J278" s="33"/>
      <c r="K278" s="33"/>
      <c r="L278" s="63"/>
      <c r="M278" s="14"/>
      <c r="N278" s="15"/>
      <c r="O278" s="15"/>
      <c r="P278" s="15"/>
      <c r="Y278" s="15"/>
      <c r="Z278" s="15"/>
      <c r="AA278" s="15"/>
      <c r="AB278" s="15"/>
      <c r="AC278" s="15"/>
      <c r="AD278" s="65"/>
      <c r="AE278" s="67"/>
      <c r="AF278" s="15"/>
      <c r="AG278" s="15"/>
      <c r="AH278" s="3"/>
      <c r="AI278" s="3"/>
      <c r="AJ278" s="3"/>
      <c r="AK278" s="3"/>
      <c r="AL278" s="3"/>
      <c r="AM278" s="3"/>
      <c r="AN278" s="3"/>
      <c r="AO278" s="3"/>
      <c r="AP278" s="3"/>
      <c r="AQ278" s="15"/>
      <c r="AR278" s="15"/>
      <c r="BB278" s="3"/>
      <c r="BC278" s="3"/>
      <c r="BD278" s="3"/>
      <c r="BE278" s="3"/>
      <c r="BF278" s="3"/>
      <c r="BG278" s="3"/>
      <c r="BH278" s="15"/>
    </row>
    <row r="279" spans="2:60" ht="15" customHeight="1" x14ac:dyDescent="0.4">
      <c r="B279" s="160"/>
      <c r="C279" s="159"/>
      <c r="D279" s="163"/>
      <c r="E279" s="207"/>
      <c r="F279" s="208"/>
      <c r="G279" s="172"/>
      <c r="H279" s="74"/>
      <c r="I279" s="33"/>
      <c r="J279" s="33"/>
      <c r="K279" s="33"/>
      <c r="L279" s="33"/>
      <c r="M279" s="14"/>
      <c r="N279" s="15"/>
      <c r="O279" s="15"/>
      <c r="P279" s="15"/>
      <c r="Y279" s="15"/>
      <c r="Z279" s="15"/>
      <c r="AA279" s="15"/>
      <c r="AB279" s="15"/>
      <c r="AC279" s="15"/>
      <c r="AD279" s="15"/>
      <c r="AE279" s="3"/>
      <c r="AF279" s="15"/>
      <c r="AG279" s="15"/>
      <c r="AH279" s="3"/>
      <c r="AI279" s="3"/>
      <c r="AJ279" s="3"/>
      <c r="AK279" s="3"/>
      <c r="AL279" s="3"/>
      <c r="AM279" s="3"/>
      <c r="AN279" s="3"/>
      <c r="AO279" s="3"/>
      <c r="AP279" s="3"/>
      <c r="AQ279" s="15"/>
      <c r="AR279" s="15"/>
      <c r="BB279" s="3"/>
      <c r="BC279" s="3"/>
      <c r="BD279" s="3"/>
      <c r="BE279" s="3"/>
      <c r="BF279" s="3"/>
      <c r="BG279" s="3"/>
      <c r="BH279" s="15"/>
    </row>
    <row r="280" spans="2:60" ht="15" customHeight="1" x14ac:dyDescent="0.4">
      <c r="B280" s="158"/>
      <c r="C280" s="158"/>
      <c r="D280" s="161" t="s">
        <v>106</v>
      </c>
      <c r="E280" s="203" t="s">
        <v>169</v>
      </c>
      <c r="F280" s="204"/>
      <c r="G280" s="170">
        <v>31</v>
      </c>
      <c r="H280" s="72"/>
      <c r="I280" s="33"/>
      <c r="J280" s="33"/>
      <c r="K280" s="33"/>
      <c r="L280" s="63"/>
      <c r="M280" s="14"/>
      <c r="N280" s="15"/>
      <c r="O280" s="15"/>
      <c r="P280" s="15"/>
      <c r="Y280" s="15"/>
      <c r="Z280" s="15"/>
      <c r="AA280" s="15"/>
      <c r="AB280" s="15"/>
      <c r="AC280" s="15"/>
      <c r="AD280" s="15"/>
      <c r="AE280" s="3"/>
      <c r="AF280" s="15"/>
      <c r="AG280" s="15"/>
      <c r="AH280" s="3"/>
      <c r="AI280" s="3"/>
      <c r="AJ280" s="3"/>
      <c r="AK280" s="3"/>
      <c r="AL280" s="3"/>
      <c r="AM280" s="3"/>
      <c r="AN280" s="3"/>
      <c r="AO280" s="3"/>
      <c r="AP280" s="3"/>
      <c r="AQ280" s="15"/>
      <c r="AR280" s="15"/>
      <c r="BB280" s="3"/>
      <c r="BC280" s="3"/>
      <c r="BD280" s="3"/>
      <c r="BE280" s="3"/>
      <c r="BF280" s="3"/>
      <c r="BG280" s="3"/>
      <c r="BH280" s="15"/>
    </row>
    <row r="281" spans="2:60" ht="15" customHeight="1" x14ac:dyDescent="0.4">
      <c r="B281" s="159"/>
      <c r="C281" s="159"/>
      <c r="D281" s="162"/>
      <c r="E281" s="205"/>
      <c r="F281" s="206"/>
      <c r="G281" s="171"/>
      <c r="H281" s="73"/>
      <c r="I281" s="33"/>
      <c r="J281" s="33"/>
      <c r="K281" s="33"/>
      <c r="L281" s="63"/>
      <c r="M281" s="14"/>
      <c r="N281" s="15"/>
      <c r="O281" s="15"/>
      <c r="P281" s="15"/>
      <c r="Y281" s="15"/>
      <c r="Z281" s="15"/>
      <c r="AA281" s="15"/>
      <c r="AB281" s="15"/>
      <c r="AC281" s="15"/>
      <c r="AE281" s="65"/>
      <c r="AF281" s="67"/>
      <c r="AG281" s="15"/>
      <c r="AH281" s="3"/>
      <c r="AI281" s="3"/>
      <c r="AJ281" s="3"/>
      <c r="AK281" s="3"/>
      <c r="AL281" s="3"/>
      <c r="AM281" s="3"/>
      <c r="AN281" s="3"/>
      <c r="AO281" s="3"/>
      <c r="AP281" s="3"/>
      <c r="AQ281" s="15"/>
      <c r="AR281" s="15"/>
      <c r="BB281" s="3"/>
      <c r="BC281" s="3"/>
      <c r="BD281" s="3"/>
      <c r="BE281" s="3"/>
      <c r="BF281" s="3"/>
      <c r="BG281" s="3"/>
      <c r="BH281" s="15"/>
    </row>
    <row r="282" spans="2:60" ht="15" customHeight="1" x14ac:dyDescent="0.4">
      <c r="B282" s="160"/>
      <c r="C282" s="159"/>
      <c r="D282" s="163"/>
      <c r="E282" s="207"/>
      <c r="F282" s="208"/>
      <c r="G282" s="172"/>
      <c r="H282" s="74"/>
      <c r="I282" s="33"/>
      <c r="J282" s="33"/>
      <c r="K282" s="33"/>
      <c r="L282" s="33"/>
      <c r="M282" s="14"/>
      <c r="N282" s="15"/>
      <c r="O282" s="15"/>
      <c r="P282" s="15"/>
      <c r="Y282" s="15"/>
      <c r="Z282" s="15"/>
      <c r="AA282" s="15"/>
      <c r="AB282" s="15"/>
      <c r="AC282" s="15"/>
      <c r="AE282" s="15"/>
      <c r="AF282" s="3"/>
      <c r="AG282" s="15"/>
      <c r="AH282" s="3"/>
      <c r="AI282" s="3"/>
      <c r="AJ282" s="3"/>
      <c r="AK282" s="3"/>
      <c r="AL282" s="3"/>
      <c r="AM282" s="3"/>
      <c r="AN282" s="3"/>
      <c r="AO282" s="3"/>
      <c r="AP282" s="3"/>
      <c r="AQ282" s="15"/>
      <c r="AR282" s="15"/>
      <c r="BB282" s="3"/>
      <c r="BC282" s="3"/>
      <c r="BD282" s="3"/>
      <c r="BE282" s="3"/>
      <c r="BF282" s="3"/>
      <c r="BG282" s="3"/>
      <c r="BH282" s="15"/>
    </row>
    <row r="283" spans="2:60" ht="15" customHeight="1" x14ac:dyDescent="0.4">
      <c r="B283" s="158"/>
      <c r="C283" s="158"/>
      <c r="D283" s="161" t="s">
        <v>170</v>
      </c>
      <c r="E283" s="203" t="s">
        <v>171</v>
      </c>
      <c r="F283" s="204"/>
      <c r="G283" s="170">
        <v>31</v>
      </c>
      <c r="H283" s="72"/>
      <c r="I283" s="33"/>
      <c r="J283" s="33"/>
      <c r="K283" s="33"/>
      <c r="L283" s="63"/>
      <c r="M283" s="14"/>
      <c r="N283" s="15"/>
      <c r="O283" s="15"/>
      <c r="P283" s="15"/>
      <c r="Y283" s="15"/>
      <c r="Z283" s="15"/>
      <c r="AA283" s="15"/>
      <c r="AB283" s="15"/>
      <c r="AC283" s="15"/>
      <c r="AE283" s="15"/>
      <c r="AF283" s="3"/>
      <c r="AG283" s="15"/>
      <c r="AH283" s="3"/>
      <c r="AI283" s="3"/>
      <c r="AJ283" s="3"/>
      <c r="AK283" s="3"/>
      <c r="AL283" s="3"/>
      <c r="AM283" s="3"/>
      <c r="AN283" s="3"/>
      <c r="AO283" s="3"/>
      <c r="AP283" s="3"/>
      <c r="AQ283" s="15"/>
      <c r="AR283" s="15"/>
      <c r="BB283" s="3"/>
      <c r="BC283" s="3"/>
      <c r="BD283" s="3"/>
      <c r="BE283" s="3"/>
      <c r="BF283" s="3"/>
      <c r="BG283" s="3"/>
      <c r="BH283" s="15"/>
    </row>
    <row r="284" spans="2:60" ht="15" customHeight="1" x14ac:dyDescent="0.4">
      <c r="B284" s="159"/>
      <c r="C284" s="159"/>
      <c r="D284" s="162"/>
      <c r="E284" s="205"/>
      <c r="F284" s="206"/>
      <c r="G284" s="171"/>
      <c r="H284" s="73"/>
      <c r="I284" s="33"/>
      <c r="J284" s="33"/>
      <c r="K284" s="33"/>
      <c r="L284" s="63"/>
      <c r="M284" s="14"/>
      <c r="N284" s="15"/>
      <c r="O284" s="15"/>
      <c r="P284" s="15"/>
      <c r="Y284" s="15"/>
      <c r="Z284" s="15"/>
      <c r="AA284" s="15"/>
      <c r="AB284" s="15"/>
      <c r="AC284" s="15"/>
      <c r="AD284" s="65"/>
      <c r="AE284" s="66"/>
      <c r="AF284" s="67"/>
      <c r="AG284" s="15"/>
      <c r="AH284" s="3"/>
      <c r="AI284" s="3"/>
      <c r="AJ284" s="3"/>
      <c r="AK284" s="3"/>
      <c r="AL284" s="3"/>
      <c r="AM284" s="3"/>
      <c r="AN284" s="3"/>
      <c r="AO284" s="3"/>
      <c r="AP284" s="3"/>
      <c r="AQ284" s="15"/>
      <c r="AR284" s="15"/>
      <c r="BB284" s="3"/>
      <c r="BC284" s="3"/>
      <c r="BD284" s="3"/>
      <c r="BE284" s="3"/>
      <c r="BF284" s="3"/>
      <c r="BG284" s="3"/>
      <c r="BH284" s="15"/>
    </row>
    <row r="285" spans="2:60" ht="15" customHeight="1" x14ac:dyDescent="0.4">
      <c r="B285" s="160"/>
      <c r="C285" s="159"/>
      <c r="D285" s="163"/>
      <c r="E285" s="207"/>
      <c r="F285" s="208"/>
      <c r="G285" s="172"/>
      <c r="H285" s="74"/>
      <c r="I285" s="33"/>
      <c r="J285" s="33"/>
      <c r="K285" s="33"/>
      <c r="L285" s="33"/>
      <c r="M285" s="14"/>
      <c r="N285" s="15"/>
      <c r="O285" s="15"/>
      <c r="P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3"/>
      <c r="AI285" s="3"/>
      <c r="AJ285" s="3"/>
      <c r="AK285" s="3"/>
      <c r="AL285" s="3"/>
      <c r="AM285" s="3"/>
      <c r="AN285" s="3"/>
      <c r="AO285" s="3"/>
      <c r="AP285" s="3"/>
      <c r="AQ285" s="15"/>
      <c r="AR285" s="15"/>
      <c r="BB285" s="3"/>
      <c r="BC285" s="3"/>
      <c r="BD285" s="3"/>
      <c r="BE285" s="3"/>
      <c r="BF285" s="3"/>
      <c r="BG285" s="3"/>
      <c r="BH285" s="15"/>
    </row>
    <row r="286" spans="2:60" ht="15" customHeight="1" x14ac:dyDescent="0.4">
      <c r="B286" s="106"/>
      <c r="C286" s="184" t="s">
        <v>27</v>
      </c>
      <c r="D286" s="187" t="s">
        <v>172</v>
      </c>
      <c r="E286" s="188"/>
      <c r="F286" s="189"/>
      <c r="G286" s="51"/>
      <c r="H286" s="121">
        <f>SUM(G289:G306)</f>
        <v>318</v>
      </c>
      <c r="I286" s="33"/>
      <c r="J286" s="33"/>
      <c r="K286" s="124">
        <f>H286*$J$8</f>
        <v>89477.25</v>
      </c>
      <c r="M286" s="14"/>
      <c r="N286" s="3"/>
      <c r="O286" s="15"/>
      <c r="P286" s="15"/>
      <c r="Y286" s="15"/>
      <c r="Z286" s="15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15"/>
      <c r="AM286" s="15"/>
      <c r="AN286" s="15"/>
      <c r="AO286" s="3"/>
      <c r="AP286" s="3"/>
      <c r="AQ286" s="3"/>
      <c r="AR286" s="3"/>
      <c r="AW286" s="3"/>
      <c r="AX286" s="15"/>
      <c r="AY286" s="15"/>
      <c r="AZ286" s="15"/>
      <c r="BA286" s="3"/>
      <c r="BB286" s="3"/>
      <c r="BC286" s="15"/>
      <c r="BD286" s="15"/>
      <c r="BE286" s="3"/>
      <c r="BF286" s="3"/>
      <c r="BG286" s="3"/>
      <c r="BH286" s="3"/>
    </row>
    <row r="287" spans="2:60" ht="15" customHeight="1" x14ac:dyDescent="0.4">
      <c r="B287" s="156"/>
      <c r="C287" s="201"/>
      <c r="D287" s="190"/>
      <c r="E287" s="191"/>
      <c r="F287" s="192"/>
      <c r="G287" s="51"/>
      <c r="H287" s="122"/>
      <c r="I287" s="33"/>
      <c r="J287" s="33"/>
      <c r="K287" s="124"/>
      <c r="M287" s="14"/>
      <c r="N287" s="15"/>
      <c r="O287" s="15"/>
      <c r="P287" s="15"/>
      <c r="Y287" s="15"/>
      <c r="Z287" s="15"/>
      <c r="AA287" s="15"/>
      <c r="AB287" s="15"/>
      <c r="AC287" s="15"/>
      <c r="AD287" s="15"/>
      <c r="AE287" s="15"/>
      <c r="AF287" s="59"/>
      <c r="AG287" s="60"/>
      <c r="AH287" s="60"/>
      <c r="AI287" s="61"/>
      <c r="AJ287" s="3"/>
      <c r="AK287" s="15"/>
      <c r="AL287" s="15"/>
      <c r="AM287" s="15"/>
      <c r="AN287" s="15"/>
      <c r="AO287" s="15"/>
      <c r="AP287" s="15"/>
      <c r="AQ287" s="15"/>
      <c r="AR287" s="15"/>
      <c r="AW287" s="3"/>
      <c r="AX287" s="15"/>
      <c r="AY287" s="15"/>
      <c r="AZ287" s="15"/>
      <c r="BA287" s="3"/>
      <c r="BB287" s="3"/>
      <c r="BC287" s="15"/>
      <c r="BD287" s="15"/>
      <c r="BE287" s="3"/>
      <c r="BF287" s="3"/>
      <c r="BG287" s="3"/>
      <c r="BH287" s="3"/>
    </row>
    <row r="288" spans="2:60" ht="15" customHeight="1" x14ac:dyDescent="0.4">
      <c r="B288" s="157"/>
      <c r="C288" s="202"/>
      <c r="D288" s="193"/>
      <c r="E288" s="194"/>
      <c r="F288" s="195"/>
      <c r="G288" s="51"/>
      <c r="H288" s="123"/>
      <c r="I288" s="33"/>
      <c r="J288" s="33"/>
      <c r="K288" s="124"/>
      <c r="M288" s="14"/>
      <c r="N288" s="15"/>
      <c r="O288" s="15"/>
      <c r="P288" s="15"/>
      <c r="Y288" s="15"/>
      <c r="Z288" s="15"/>
      <c r="AA288" s="15"/>
      <c r="AB288" s="15"/>
      <c r="AC288" s="15"/>
      <c r="AD288" s="3"/>
      <c r="AE288" s="3"/>
      <c r="AF288" s="15"/>
      <c r="AG288" s="3"/>
      <c r="AH288" s="3"/>
      <c r="AI288" s="3"/>
      <c r="AJ288" s="3"/>
      <c r="AK288" s="3"/>
      <c r="AL288" s="15"/>
      <c r="AM288" s="15"/>
      <c r="AN288" s="15"/>
      <c r="AO288" s="3"/>
      <c r="AP288" s="3"/>
      <c r="AQ288" s="3"/>
      <c r="AR288" s="15"/>
      <c r="AW288" s="3"/>
      <c r="AX288" s="15"/>
      <c r="AY288" s="15"/>
      <c r="AZ288" s="15"/>
      <c r="BA288" s="3"/>
      <c r="BB288" s="3"/>
      <c r="BC288" s="15"/>
      <c r="BD288" s="15"/>
      <c r="BE288" s="3"/>
      <c r="BF288" s="3"/>
      <c r="BG288" s="3"/>
      <c r="BH288" s="3"/>
    </row>
    <row r="289" spans="2:60" ht="13" customHeight="1" x14ac:dyDescent="0.4">
      <c r="B289" s="68"/>
      <c r="C289" s="69"/>
      <c r="D289" s="197" t="s">
        <v>109</v>
      </c>
      <c r="E289" s="209" t="s">
        <v>173</v>
      </c>
      <c r="F289" s="210"/>
      <c r="G289" s="170">
        <v>53</v>
      </c>
      <c r="H289" s="72"/>
      <c r="I289" s="33"/>
      <c r="J289" s="33"/>
      <c r="K289" s="33"/>
      <c r="L289" s="63"/>
      <c r="M289" s="14"/>
      <c r="N289" s="15"/>
      <c r="O289" s="15"/>
      <c r="P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3"/>
      <c r="AK289" s="3"/>
      <c r="AL289" s="3"/>
      <c r="AM289" s="3"/>
      <c r="AN289" s="3"/>
      <c r="AO289" s="3"/>
      <c r="AP289" s="3"/>
      <c r="AQ289" s="3"/>
      <c r="AR289" s="15"/>
      <c r="AW289" s="3"/>
      <c r="AX289" s="15"/>
      <c r="AY289" s="15"/>
      <c r="AZ289" s="15"/>
      <c r="BA289" s="3"/>
      <c r="BB289" s="3"/>
      <c r="BC289" s="15"/>
      <c r="BD289" s="3"/>
      <c r="BE289" s="3"/>
      <c r="BF289" s="3"/>
      <c r="BG289" s="3"/>
      <c r="BH289" s="15"/>
    </row>
    <row r="290" spans="2:60" ht="13" customHeight="1" x14ac:dyDescent="0.4">
      <c r="B290" s="68"/>
      <c r="C290" s="69"/>
      <c r="D290" s="198"/>
      <c r="E290" s="211"/>
      <c r="F290" s="212"/>
      <c r="G290" s="171"/>
      <c r="H290" s="73"/>
      <c r="I290" s="33"/>
      <c r="J290" s="33"/>
      <c r="K290" s="33"/>
      <c r="L290" s="63"/>
      <c r="M290" s="14"/>
      <c r="N290" s="15"/>
      <c r="O290" s="15"/>
      <c r="P290" s="15"/>
      <c r="Y290" s="15"/>
      <c r="Z290" s="15"/>
      <c r="AA290" s="15"/>
      <c r="AB290" s="15"/>
      <c r="AC290" s="15"/>
      <c r="AD290" s="15"/>
      <c r="AE290" s="15"/>
      <c r="AF290" s="65"/>
      <c r="AG290" s="66"/>
      <c r="AH290" s="67"/>
      <c r="AI290" s="3"/>
      <c r="AJ290" s="3"/>
      <c r="AK290" s="3"/>
      <c r="AL290" s="3"/>
      <c r="AM290" s="3"/>
      <c r="AN290" s="3"/>
      <c r="AO290" s="3"/>
      <c r="AP290" s="3"/>
      <c r="AQ290" s="3"/>
      <c r="AR290" s="15"/>
      <c r="AW290" s="3"/>
      <c r="AX290" s="15"/>
      <c r="AY290" s="15"/>
      <c r="AZ290" s="15"/>
      <c r="BA290" s="3"/>
      <c r="BB290" s="3"/>
      <c r="BC290" s="15"/>
      <c r="BD290" s="3"/>
      <c r="BE290" s="3"/>
      <c r="BF290" s="3"/>
      <c r="BG290" s="3"/>
      <c r="BH290" s="15"/>
    </row>
    <row r="291" spans="2:60" ht="13" customHeight="1" x14ac:dyDescent="0.4">
      <c r="B291" s="68"/>
      <c r="C291" s="69"/>
      <c r="D291" s="198"/>
      <c r="E291" s="213"/>
      <c r="F291" s="214"/>
      <c r="G291" s="172"/>
      <c r="H291" s="74"/>
      <c r="I291" s="33"/>
      <c r="J291" s="33"/>
      <c r="K291" s="33"/>
      <c r="L291" s="33"/>
      <c r="M291" s="14"/>
      <c r="N291" s="15"/>
      <c r="O291" s="15"/>
      <c r="P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3"/>
      <c r="AI291" s="15"/>
      <c r="AJ291" s="3"/>
      <c r="AK291" s="3"/>
      <c r="AL291" s="3"/>
      <c r="AM291" s="3"/>
      <c r="AN291" s="3"/>
      <c r="AO291" s="3"/>
      <c r="AP291" s="3"/>
      <c r="AQ291" s="3"/>
      <c r="AR291" s="15"/>
      <c r="AW291" s="3"/>
      <c r="AX291" s="15"/>
      <c r="AY291" s="15"/>
      <c r="AZ291" s="15"/>
      <c r="BA291" s="3"/>
      <c r="BB291" s="3"/>
      <c r="BC291" s="15"/>
      <c r="BD291" s="3"/>
      <c r="BE291" s="3"/>
      <c r="BF291" s="3"/>
      <c r="BG291" s="3"/>
      <c r="BH291" s="15"/>
    </row>
    <row r="292" spans="2:60" ht="13" customHeight="1" x14ac:dyDescent="0.4">
      <c r="B292" s="68"/>
      <c r="C292" s="69"/>
      <c r="D292" s="197" t="s">
        <v>111</v>
      </c>
      <c r="E292" s="209" t="s">
        <v>174</v>
      </c>
      <c r="F292" s="210"/>
      <c r="G292" s="170">
        <v>53</v>
      </c>
      <c r="H292" s="72"/>
      <c r="I292" s="33"/>
      <c r="J292" s="33"/>
      <c r="K292" s="33"/>
      <c r="L292" s="63"/>
      <c r="M292" s="14"/>
      <c r="N292" s="15"/>
      <c r="O292" s="15"/>
      <c r="P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3"/>
      <c r="AI292" s="15"/>
      <c r="AJ292" s="3"/>
      <c r="AK292" s="3"/>
      <c r="AL292" s="3"/>
      <c r="AM292" s="3"/>
      <c r="AN292" s="3"/>
      <c r="AO292" s="3"/>
      <c r="AP292" s="3"/>
      <c r="AQ292" s="3"/>
      <c r="AR292" s="15"/>
      <c r="AW292" s="3"/>
      <c r="AX292" s="15"/>
      <c r="AY292" s="15"/>
      <c r="AZ292" s="15"/>
      <c r="BA292" s="3"/>
      <c r="BB292" s="3"/>
      <c r="BC292" s="15"/>
      <c r="BD292" s="3"/>
      <c r="BE292" s="3"/>
      <c r="BF292" s="3"/>
      <c r="BG292" s="3"/>
      <c r="BH292" s="15"/>
    </row>
    <row r="293" spans="2:60" ht="13" customHeight="1" x14ac:dyDescent="0.4">
      <c r="B293" s="68"/>
      <c r="C293" s="69"/>
      <c r="D293" s="198"/>
      <c r="E293" s="211"/>
      <c r="F293" s="212"/>
      <c r="G293" s="171"/>
      <c r="H293" s="73"/>
      <c r="I293" s="33"/>
      <c r="J293" s="33"/>
      <c r="K293" s="33"/>
      <c r="L293" s="63"/>
      <c r="M293" s="14"/>
      <c r="N293" s="15"/>
      <c r="O293" s="15"/>
      <c r="P293" s="15"/>
      <c r="Y293" s="15"/>
      <c r="Z293" s="15"/>
      <c r="AA293" s="15"/>
      <c r="AB293" s="15"/>
      <c r="AC293" s="15"/>
      <c r="AD293" s="15"/>
      <c r="AE293" s="15"/>
      <c r="AF293" s="65"/>
      <c r="AG293" s="67"/>
      <c r="AH293" s="15"/>
      <c r="AI293" s="15"/>
      <c r="AJ293" s="3"/>
      <c r="AK293" s="3"/>
      <c r="AL293" s="3"/>
      <c r="AM293" s="3"/>
      <c r="AN293" s="3"/>
      <c r="AO293" s="3"/>
      <c r="AP293" s="3"/>
      <c r="AQ293" s="3"/>
      <c r="AR293" s="15"/>
      <c r="AW293" s="3"/>
      <c r="AX293" s="15"/>
      <c r="AY293" s="15"/>
      <c r="AZ293" s="15"/>
      <c r="BA293" s="3"/>
      <c r="BB293" s="3"/>
      <c r="BC293" s="15"/>
      <c r="BD293" s="3"/>
      <c r="BE293" s="3"/>
      <c r="BF293" s="3"/>
      <c r="BG293" s="3"/>
      <c r="BH293" s="15"/>
    </row>
    <row r="294" spans="2:60" ht="13" customHeight="1" x14ac:dyDescent="0.4">
      <c r="B294" s="68"/>
      <c r="C294" s="69"/>
      <c r="D294" s="198"/>
      <c r="E294" s="213"/>
      <c r="F294" s="214"/>
      <c r="G294" s="172"/>
      <c r="H294" s="74"/>
      <c r="I294" s="33"/>
      <c r="J294" s="33"/>
      <c r="K294" s="33"/>
      <c r="L294" s="33"/>
      <c r="M294" s="14"/>
      <c r="N294" s="15"/>
      <c r="O294" s="15"/>
      <c r="P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3"/>
      <c r="AI294" s="15"/>
      <c r="AJ294" s="3"/>
      <c r="AK294" s="3"/>
      <c r="AL294" s="3"/>
      <c r="AM294" s="3"/>
      <c r="AN294" s="3"/>
      <c r="AO294" s="3"/>
      <c r="AP294" s="3"/>
      <c r="AQ294" s="3"/>
      <c r="AR294" s="15"/>
      <c r="AW294" s="3"/>
      <c r="AX294" s="15"/>
      <c r="AY294" s="15"/>
      <c r="AZ294" s="15"/>
      <c r="BA294" s="3"/>
      <c r="BB294" s="3"/>
      <c r="BC294" s="15"/>
      <c r="BD294" s="3"/>
      <c r="BE294" s="3"/>
      <c r="BF294" s="3"/>
      <c r="BG294" s="3"/>
      <c r="BH294" s="15"/>
    </row>
    <row r="295" spans="2:60" ht="13" customHeight="1" x14ac:dyDescent="0.4">
      <c r="B295" s="68"/>
      <c r="C295" s="69"/>
      <c r="D295" s="197" t="s">
        <v>113</v>
      </c>
      <c r="E295" s="209" t="s">
        <v>175</v>
      </c>
      <c r="F295" s="210"/>
      <c r="G295" s="170">
        <v>53</v>
      </c>
      <c r="H295" s="72"/>
      <c r="I295" s="33"/>
      <c r="J295" s="33"/>
      <c r="K295" s="33"/>
      <c r="L295" s="63"/>
      <c r="M295" s="14"/>
      <c r="N295" s="15"/>
      <c r="O295" s="15"/>
      <c r="P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3"/>
      <c r="AI295" s="15"/>
      <c r="AJ295" s="3"/>
      <c r="AK295" s="3"/>
      <c r="AL295" s="3"/>
      <c r="AM295" s="3"/>
      <c r="AN295" s="3"/>
      <c r="AO295" s="3"/>
      <c r="AP295" s="3"/>
      <c r="AQ295" s="3"/>
      <c r="AR295" s="15"/>
      <c r="AW295" s="3"/>
      <c r="AX295" s="15"/>
      <c r="AY295" s="15"/>
      <c r="AZ295" s="15"/>
      <c r="BA295" s="3"/>
      <c r="BB295" s="3"/>
      <c r="BC295" s="15"/>
      <c r="BD295" s="3"/>
      <c r="BE295" s="3"/>
      <c r="BF295" s="3"/>
      <c r="BG295" s="3"/>
      <c r="BH295" s="15"/>
    </row>
    <row r="296" spans="2:60" ht="13" customHeight="1" x14ac:dyDescent="0.4">
      <c r="B296" s="68"/>
      <c r="C296" s="69"/>
      <c r="D296" s="198"/>
      <c r="E296" s="211"/>
      <c r="F296" s="212"/>
      <c r="G296" s="171"/>
      <c r="H296" s="73"/>
      <c r="I296" s="33"/>
      <c r="J296" s="33"/>
      <c r="K296" s="33"/>
      <c r="L296" s="63"/>
      <c r="M296" s="14"/>
      <c r="N296" s="15"/>
      <c r="O296" s="15"/>
      <c r="P296" s="15"/>
      <c r="Y296" s="15"/>
      <c r="Z296" s="15"/>
      <c r="AA296" s="15"/>
      <c r="AB296" s="15"/>
      <c r="AC296" s="15"/>
      <c r="AD296" s="15"/>
      <c r="AE296" s="15"/>
      <c r="AF296" s="15"/>
      <c r="AG296" s="65"/>
      <c r="AH296" s="67"/>
      <c r="AI296" s="15"/>
      <c r="AJ296" s="3"/>
      <c r="AK296" s="3"/>
      <c r="AL296" s="3"/>
      <c r="AM296" s="3"/>
      <c r="AN296" s="3"/>
      <c r="AO296" s="3"/>
      <c r="AP296" s="3"/>
      <c r="AQ296" s="3"/>
      <c r="AR296" s="15"/>
      <c r="AW296" s="3"/>
      <c r="AX296" s="15"/>
      <c r="AY296" s="15"/>
      <c r="AZ296" s="15"/>
      <c r="BA296" s="3"/>
      <c r="BB296" s="3"/>
      <c r="BC296" s="15"/>
      <c r="BD296" s="3"/>
      <c r="BE296" s="3"/>
      <c r="BF296" s="3"/>
      <c r="BG296" s="3"/>
      <c r="BH296" s="15"/>
    </row>
    <row r="297" spans="2:60" ht="13" customHeight="1" x14ac:dyDescent="0.4">
      <c r="B297" s="68"/>
      <c r="C297" s="69"/>
      <c r="D297" s="198"/>
      <c r="E297" s="213"/>
      <c r="F297" s="214"/>
      <c r="G297" s="172"/>
      <c r="H297" s="74"/>
      <c r="I297" s="33"/>
      <c r="J297" s="33"/>
      <c r="K297" s="33"/>
      <c r="L297" s="33"/>
      <c r="M297" s="14"/>
      <c r="N297" s="15"/>
      <c r="O297" s="15"/>
      <c r="P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3"/>
      <c r="AI297" s="15"/>
      <c r="AJ297" s="3"/>
      <c r="AK297" s="3"/>
      <c r="AL297" s="3"/>
      <c r="AM297" s="3"/>
      <c r="AN297" s="3"/>
      <c r="AO297" s="3"/>
      <c r="AP297" s="3"/>
      <c r="AQ297" s="3"/>
      <c r="AR297" s="15"/>
      <c r="AW297" s="3"/>
      <c r="AX297" s="15"/>
      <c r="AY297" s="15"/>
      <c r="AZ297" s="15"/>
      <c r="BA297" s="3"/>
      <c r="BB297" s="3"/>
      <c r="BC297" s="15"/>
      <c r="BD297" s="3"/>
      <c r="BE297" s="3"/>
      <c r="BF297" s="3"/>
      <c r="BG297" s="3"/>
      <c r="BH297" s="15"/>
    </row>
    <row r="298" spans="2:60" ht="13" customHeight="1" x14ac:dyDescent="0.4">
      <c r="B298" s="68"/>
      <c r="C298" s="69"/>
      <c r="D298" s="197" t="s">
        <v>115</v>
      </c>
      <c r="E298" s="209" t="s">
        <v>176</v>
      </c>
      <c r="F298" s="210"/>
      <c r="G298" s="170">
        <v>53</v>
      </c>
      <c r="H298" s="72"/>
      <c r="I298" s="33"/>
      <c r="J298" s="33"/>
      <c r="K298" s="33"/>
      <c r="L298" s="63"/>
      <c r="M298" s="14"/>
      <c r="N298" s="15"/>
      <c r="O298" s="15"/>
      <c r="P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3"/>
      <c r="AI298" s="15"/>
      <c r="AJ298" s="3"/>
      <c r="AK298" s="3"/>
      <c r="AL298" s="3"/>
      <c r="AM298" s="3"/>
      <c r="AN298" s="3"/>
      <c r="AO298" s="3"/>
      <c r="AP298" s="3"/>
      <c r="AQ298" s="3"/>
      <c r="AR298" s="15"/>
      <c r="AW298" s="3"/>
      <c r="AX298" s="15"/>
      <c r="AY298" s="15"/>
      <c r="AZ298" s="15"/>
      <c r="BA298" s="3"/>
      <c r="BB298" s="3"/>
      <c r="BC298" s="15"/>
      <c r="BD298" s="3"/>
      <c r="BE298" s="3"/>
      <c r="BF298" s="3"/>
      <c r="BG298" s="3"/>
      <c r="BH298" s="15"/>
    </row>
    <row r="299" spans="2:60" ht="13" customHeight="1" x14ac:dyDescent="0.4">
      <c r="B299" s="68"/>
      <c r="C299" s="69"/>
      <c r="D299" s="198"/>
      <c r="E299" s="211"/>
      <c r="F299" s="212"/>
      <c r="G299" s="171"/>
      <c r="H299" s="73"/>
      <c r="I299" s="33"/>
      <c r="J299" s="33"/>
      <c r="K299" s="33"/>
      <c r="L299" s="63"/>
      <c r="M299" s="14"/>
      <c r="N299" s="15"/>
      <c r="O299" s="15"/>
      <c r="P299" s="15"/>
      <c r="Y299" s="15"/>
      <c r="Z299" s="15"/>
      <c r="AA299" s="15"/>
      <c r="AB299" s="15"/>
      <c r="AC299" s="15"/>
      <c r="AD299" s="15"/>
      <c r="AE299" s="15"/>
      <c r="AF299" s="15"/>
      <c r="AH299" s="65"/>
      <c r="AI299" s="67"/>
      <c r="AJ299" s="3"/>
      <c r="AK299" s="3"/>
      <c r="AL299" s="3"/>
      <c r="AM299" s="3"/>
      <c r="AN299" s="3"/>
      <c r="AO299" s="3"/>
      <c r="AP299" s="3"/>
      <c r="AQ299" s="3"/>
      <c r="AR299" s="15"/>
      <c r="AW299" s="3"/>
      <c r="AX299" s="15"/>
      <c r="AY299" s="15"/>
      <c r="AZ299" s="15"/>
      <c r="BA299" s="3"/>
      <c r="BB299" s="3"/>
      <c r="BC299" s="15"/>
      <c r="BD299" s="3"/>
      <c r="BE299" s="3"/>
      <c r="BF299" s="3"/>
      <c r="BG299" s="3"/>
      <c r="BH299" s="15"/>
    </row>
    <row r="300" spans="2:60" ht="13" customHeight="1" x14ac:dyDescent="0.4">
      <c r="B300" s="68"/>
      <c r="C300" s="69"/>
      <c r="D300" s="198"/>
      <c r="E300" s="213"/>
      <c r="F300" s="214"/>
      <c r="G300" s="172"/>
      <c r="H300" s="74"/>
      <c r="I300" s="33"/>
      <c r="J300" s="33"/>
      <c r="K300" s="33"/>
      <c r="L300" s="33"/>
      <c r="M300" s="14"/>
      <c r="N300" s="15"/>
      <c r="O300" s="15"/>
      <c r="P300" s="15"/>
      <c r="Y300" s="15"/>
      <c r="Z300" s="15"/>
      <c r="AA300" s="15"/>
      <c r="AB300" s="15"/>
      <c r="AC300" s="15"/>
      <c r="AD300" s="15"/>
      <c r="AE300" s="15"/>
      <c r="AF300" s="15"/>
      <c r="AH300" s="15"/>
      <c r="AI300" s="3"/>
      <c r="AJ300" s="3"/>
      <c r="AK300" s="3"/>
      <c r="AL300" s="3"/>
      <c r="AM300" s="3"/>
      <c r="AN300" s="3"/>
      <c r="AO300" s="3"/>
      <c r="AP300" s="3"/>
      <c r="AQ300" s="3"/>
      <c r="AR300" s="15"/>
      <c r="AW300" s="3"/>
      <c r="AX300" s="15"/>
      <c r="AY300" s="15"/>
      <c r="AZ300" s="15"/>
      <c r="BA300" s="3"/>
      <c r="BB300" s="3"/>
      <c r="BC300" s="15"/>
      <c r="BD300" s="3"/>
      <c r="BE300" s="3"/>
      <c r="BF300" s="3"/>
      <c r="BG300" s="3"/>
      <c r="BH300" s="15"/>
    </row>
    <row r="301" spans="2:60" ht="15" customHeight="1" x14ac:dyDescent="0.4">
      <c r="B301" s="68"/>
      <c r="C301" s="69"/>
      <c r="D301" s="197" t="s">
        <v>117</v>
      </c>
      <c r="E301" s="209" t="s">
        <v>177</v>
      </c>
      <c r="F301" s="210"/>
      <c r="G301" s="170">
        <v>53</v>
      </c>
      <c r="H301" s="72"/>
      <c r="I301" s="33"/>
      <c r="J301" s="33"/>
      <c r="K301" s="33"/>
      <c r="L301" s="63"/>
      <c r="M301" s="14"/>
      <c r="N301" s="15"/>
      <c r="O301" s="15"/>
      <c r="P301" s="15"/>
      <c r="Y301" s="15"/>
      <c r="Z301" s="15"/>
      <c r="AA301" s="15"/>
      <c r="AB301" s="15"/>
      <c r="AC301" s="15"/>
      <c r="AD301" s="15"/>
      <c r="AE301" s="15"/>
      <c r="AF301" s="15"/>
      <c r="AH301" s="15"/>
      <c r="AI301" s="3"/>
      <c r="AJ301" s="3"/>
      <c r="AK301" s="3"/>
      <c r="AL301" s="3"/>
      <c r="AM301" s="3"/>
      <c r="AN301" s="3"/>
      <c r="AO301" s="3"/>
      <c r="AP301" s="3"/>
      <c r="AQ301" s="3"/>
      <c r="AR301" s="15"/>
      <c r="AW301" s="3"/>
      <c r="AX301" s="15"/>
      <c r="AY301" s="15"/>
      <c r="AZ301" s="15"/>
      <c r="BA301" s="3"/>
      <c r="BB301" s="3"/>
      <c r="BC301" s="15"/>
      <c r="BD301" s="3"/>
      <c r="BE301" s="3"/>
      <c r="BF301" s="3"/>
      <c r="BG301" s="3"/>
      <c r="BH301" s="15"/>
    </row>
    <row r="302" spans="2:60" ht="15" customHeight="1" x14ac:dyDescent="0.4">
      <c r="B302" s="68"/>
      <c r="C302" s="69"/>
      <c r="D302" s="198"/>
      <c r="E302" s="211"/>
      <c r="F302" s="212"/>
      <c r="G302" s="171"/>
      <c r="H302" s="73"/>
      <c r="I302" s="33"/>
      <c r="J302" s="33"/>
      <c r="K302" s="33"/>
      <c r="L302" s="63"/>
      <c r="M302" s="14"/>
      <c r="N302" s="15"/>
      <c r="O302" s="15"/>
      <c r="P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65"/>
      <c r="AI302" s="67"/>
      <c r="AJ302" s="3"/>
      <c r="AK302" s="3"/>
      <c r="AL302" s="3"/>
      <c r="AM302" s="3"/>
      <c r="AN302" s="3"/>
      <c r="AO302" s="3"/>
      <c r="AP302" s="3"/>
      <c r="AQ302" s="3"/>
      <c r="AR302" s="15"/>
      <c r="AW302" s="3"/>
      <c r="AX302" s="15"/>
      <c r="AY302" s="15"/>
      <c r="AZ302" s="15"/>
      <c r="BA302" s="3"/>
      <c r="BB302" s="3"/>
      <c r="BC302" s="15"/>
      <c r="BD302" s="3"/>
      <c r="BE302" s="3"/>
      <c r="BF302" s="3"/>
      <c r="BG302" s="3"/>
      <c r="BH302" s="15"/>
    </row>
    <row r="303" spans="2:60" ht="15" customHeight="1" x14ac:dyDescent="0.4">
      <c r="B303" s="68"/>
      <c r="C303" s="69"/>
      <c r="D303" s="198"/>
      <c r="E303" s="213"/>
      <c r="F303" s="214"/>
      <c r="G303" s="172"/>
      <c r="H303" s="74"/>
      <c r="I303" s="33"/>
      <c r="J303" s="33"/>
      <c r="K303" s="33"/>
      <c r="L303" s="33"/>
      <c r="M303" s="14"/>
      <c r="N303" s="15"/>
      <c r="O303" s="15"/>
      <c r="P303" s="15"/>
      <c r="Y303" s="15"/>
      <c r="Z303" s="15"/>
      <c r="AA303" s="15"/>
      <c r="AB303" s="15"/>
      <c r="AC303" s="15"/>
      <c r="AD303" s="15"/>
      <c r="AE303" s="15"/>
      <c r="AK303" s="3"/>
      <c r="AL303" s="3"/>
      <c r="AM303" s="3"/>
      <c r="AN303" s="3"/>
      <c r="AO303" s="3"/>
      <c r="AP303" s="3"/>
      <c r="AQ303" s="3"/>
      <c r="AR303" s="15"/>
      <c r="AW303" s="3"/>
      <c r="AX303" s="15"/>
      <c r="AY303" s="15"/>
      <c r="AZ303" s="15"/>
      <c r="BA303" s="3"/>
      <c r="BB303" s="3"/>
      <c r="BC303" s="15"/>
      <c r="BD303" s="3"/>
      <c r="BE303" s="3"/>
      <c r="BF303" s="3"/>
      <c r="BG303" s="3"/>
      <c r="BH303" s="15"/>
    </row>
    <row r="304" spans="2:60" ht="15" customHeight="1" x14ac:dyDescent="0.4">
      <c r="B304" s="68"/>
      <c r="C304" s="69"/>
      <c r="D304" s="197" t="s">
        <v>119</v>
      </c>
      <c r="E304" s="209" t="s">
        <v>178</v>
      </c>
      <c r="F304" s="210"/>
      <c r="G304" s="170">
        <v>53</v>
      </c>
      <c r="H304" s="72"/>
      <c r="I304" s="33"/>
      <c r="J304" s="33"/>
      <c r="K304" s="33"/>
      <c r="L304" s="63"/>
      <c r="M304" s="14"/>
      <c r="N304" s="15"/>
      <c r="O304" s="15"/>
      <c r="P304" s="15"/>
      <c r="Y304" s="15"/>
      <c r="Z304" s="15"/>
      <c r="AA304" s="15"/>
      <c r="AB304" s="15"/>
      <c r="AC304" s="15"/>
      <c r="AD304" s="15"/>
      <c r="AE304" s="15"/>
      <c r="AK304" s="3"/>
      <c r="AL304" s="3"/>
      <c r="AM304" s="3"/>
      <c r="AN304" s="3"/>
      <c r="AO304" s="3"/>
      <c r="AP304" s="3"/>
      <c r="AQ304" s="3"/>
      <c r="AR304" s="15"/>
      <c r="AW304" s="3"/>
      <c r="AX304" s="15"/>
      <c r="AY304" s="15"/>
      <c r="AZ304" s="15"/>
      <c r="BA304" s="3"/>
      <c r="BB304" s="3"/>
      <c r="BC304" s="15"/>
      <c r="BD304" s="3"/>
      <c r="BE304" s="3"/>
      <c r="BF304" s="3"/>
      <c r="BG304" s="3"/>
      <c r="BH304" s="15"/>
    </row>
    <row r="305" spans="2:60" ht="15" customHeight="1" x14ac:dyDescent="0.4">
      <c r="B305" s="68"/>
      <c r="C305" s="69"/>
      <c r="D305" s="198"/>
      <c r="E305" s="211"/>
      <c r="F305" s="212"/>
      <c r="G305" s="171"/>
      <c r="H305" s="73"/>
      <c r="I305" s="33"/>
      <c r="J305" s="33"/>
      <c r="K305" s="33"/>
      <c r="L305" s="63"/>
      <c r="M305" s="14"/>
      <c r="N305" s="15"/>
      <c r="O305" s="15"/>
      <c r="P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65"/>
      <c r="AI305" s="67"/>
      <c r="AJ305" s="3"/>
      <c r="AK305" s="3"/>
      <c r="AL305" s="3"/>
      <c r="AM305" s="3"/>
      <c r="AN305" s="3"/>
      <c r="AO305" s="3"/>
      <c r="AP305" s="3"/>
      <c r="AQ305" s="3"/>
      <c r="AR305" s="15"/>
      <c r="AW305" s="3"/>
      <c r="AX305" s="15"/>
      <c r="AY305" s="15"/>
      <c r="AZ305" s="15"/>
      <c r="BA305" s="3"/>
      <c r="BB305" s="3"/>
      <c r="BC305" s="15"/>
      <c r="BD305" s="3"/>
      <c r="BE305" s="3"/>
      <c r="BF305" s="3"/>
      <c r="BG305" s="3"/>
      <c r="BH305" s="15"/>
    </row>
    <row r="306" spans="2:60" ht="15" customHeight="1" x14ac:dyDescent="0.4">
      <c r="B306" s="68"/>
      <c r="C306" s="69"/>
      <c r="D306" s="198"/>
      <c r="E306" s="213"/>
      <c r="F306" s="214"/>
      <c r="G306" s="172"/>
      <c r="H306" s="74"/>
      <c r="I306" s="33"/>
      <c r="J306" s="33"/>
      <c r="K306" s="33"/>
      <c r="L306" s="33"/>
      <c r="M306" s="14"/>
      <c r="N306" s="15"/>
      <c r="O306" s="15"/>
      <c r="P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15"/>
      <c r="AW306" s="3"/>
      <c r="AX306" s="15"/>
      <c r="AY306" s="15"/>
      <c r="AZ306" s="15"/>
      <c r="BA306" s="3"/>
      <c r="BB306" s="3"/>
      <c r="BC306" s="15"/>
      <c r="BD306" s="3"/>
      <c r="BE306" s="3"/>
      <c r="BF306" s="3"/>
      <c r="BG306" s="3"/>
      <c r="BH306" s="15"/>
    </row>
    <row r="307" spans="2:60" ht="15" customHeight="1" x14ac:dyDescent="0.4">
      <c r="B307" s="106"/>
      <c r="C307" s="184" t="s">
        <v>29</v>
      </c>
      <c r="D307" s="187" t="s">
        <v>179</v>
      </c>
      <c r="E307" s="188"/>
      <c r="F307" s="189"/>
      <c r="G307" s="51"/>
      <c r="H307" s="121">
        <f>SUM(G310:G345)</f>
        <v>264</v>
      </c>
      <c r="I307" s="33"/>
      <c r="J307" s="33"/>
      <c r="K307" s="124">
        <f>H307*$J$8</f>
        <v>74283</v>
      </c>
      <c r="M307" s="14"/>
      <c r="N307" s="3"/>
      <c r="O307" s="15"/>
      <c r="P307" s="15"/>
      <c r="Y307" s="15"/>
      <c r="Z307" s="15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15"/>
      <c r="AM307" s="15"/>
      <c r="AN307" s="15"/>
      <c r="AO307" s="3"/>
      <c r="AP307" s="3"/>
      <c r="AQ307" s="3"/>
      <c r="AR307" s="15"/>
      <c r="AW307" s="3"/>
      <c r="AX307" s="15"/>
      <c r="AY307" s="15"/>
      <c r="AZ307" s="15"/>
      <c r="BA307" s="3"/>
      <c r="BB307" s="3"/>
      <c r="BC307" s="15"/>
      <c r="BD307" s="3"/>
      <c r="BE307" s="3"/>
      <c r="BF307" s="3"/>
      <c r="BG307" s="3"/>
      <c r="BH307" s="15"/>
    </row>
    <row r="308" spans="2:60" ht="15" customHeight="1" x14ac:dyDescent="0.4">
      <c r="B308" s="156"/>
      <c r="C308" s="201"/>
      <c r="D308" s="190"/>
      <c r="E308" s="191"/>
      <c r="F308" s="192"/>
      <c r="G308" s="51"/>
      <c r="H308" s="122"/>
      <c r="I308" s="33"/>
      <c r="J308" s="33"/>
      <c r="K308" s="124"/>
      <c r="M308" s="14"/>
      <c r="N308" s="15"/>
      <c r="O308" s="15"/>
      <c r="P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59"/>
      <c r="AJ308" s="60"/>
      <c r="AK308" s="60"/>
      <c r="AL308" s="61"/>
      <c r="AM308" s="15"/>
      <c r="AN308" s="15"/>
      <c r="AQ308" s="3"/>
      <c r="AR308" s="15"/>
      <c r="AW308" s="3"/>
      <c r="AX308" s="15"/>
      <c r="AY308" s="15"/>
      <c r="AZ308" s="15"/>
      <c r="BA308" s="3"/>
      <c r="BB308" s="3"/>
      <c r="BC308" s="15"/>
      <c r="BD308" s="3"/>
      <c r="BE308" s="3"/>
      <c r="BF308" s="3"/>
      <c r="BG308" s="3"/>
      <c r="BH308" s="15"/>
    </row>
    <row r="309" spans="2:60" ht="15" customHeight="1" x14ac:dyDescent="0.4">
      <c r="B309" s="157"/>
      <c r="C309" s="202"/>
      <c r="D309" s="193"/>
      <c r="E309" s="194"/>
      <c r="F309" s="195"/>
      <c r="G309" s="51"/>
      <c r="H309" s="123"/>
      <c r="I309" s="33"/>
      <c r="J309" s="33"/>
      <c r="K309" s="124"/>
      <c r="M309" s="14"/>
      <c r="N309" s="15"/>
      <c r="O309" s="15"/>
      <c r="P309" s="15"/>
      <c r="Y309" s="15"/>
      <c r="Z309" s="15"/>
      <c r="AA309" s="15"/>
      <c r="AB309" s="15"/>
      <c r="AC309" s="15"/>
      <c r="AD309" s="3"/>
      <c r="AE309" s="3"/>
      <c r="AF309" s="3"/>
      <c r="AG309" s="3"/>
      <c r="AH309" s="3"/>
      <c r="AI309" s="15"/>
      <c r="AJ309" s="3"/>
      <c r="AK309" s="3"/>
      <c r="AL309" s="3"/>
      <c r="AM309" s="15"/>
      <c r="AN309" s="15"/>
      <c r="AO309" s="3"/>
      <c r="AP309" s="3"/>
      <c r="AQ309" s="3"/>
      <c r="AR309" s="15"/>
      <c r="AW309" s="3"/>
      <c r="AX309" s="15"/>
      <c r="AY309" s="15"/>
      <c r="AZ309" s="15"/>
      <c r="BA309" s="3"/>
      <c r="BB309" s="3"/>
      <c r="BC309" s="15"/>
      <c r="BD309" s="3"/>
      <c r="BE309" s="3"/>
      <c r="BF309" s="3"/>
      <c r="BG309" s="3"/>
      <c r="BH309" s="15"/>
    </row>
    <row r="310" spans="2:60" ht="15" customHeight="1" x14ac:dyDescent="0.4">
      <c r="B310" s="196"/>
      <c r="C310" s="196"/>
      <c r="D310" s="197" t="s">
        <v>124</v>
      </c>
      <c r="E310" s="199" t="s">
        <v>180</v>
      </c>
      <c r="F310" s="199"/>
      <c r="G310" s="170">
        <v>22</v>
      </c>
      <c r="H310" s="72"/>
      <c r="I310" s="63"/>
      <c r="J310" s="33"/>
      <c r="K310" s="64"/>
      <c r="L310" s="33"/>
      <c r="M310" s="14"/>
      <c r="N310" s="15"/>
      <c r="O310" s="15"/>
      <c r="P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3"/>
      <c r="AI310" s="15"/>
      <c r="AJ310" s="15"/>
      <c r="AK310" s="15"/>
      <c r="AL310" s="15"/>
      <c r="AM310" s="3"/>
      <c r="AN310" s="3"/>
      <c r="AO310" s="3"/>
      <c r="AP310" s="3"/>
      <c r="AQ310" s="3"/>
      <c r="AR310" s="15"/>
      <c r="AW310" s="3"/>
      <c r="AX310" s="15"/>
      <c r="AY310" s="15"/>
      <c r="AZ310" s="15"/>
      <c r="BA310" s="3"/>
      <c r="BB310" s="3"/>
      <c r="BC310" s="15"/>
      <c r="BD310" s="3"/>
      <c r="BE310" s="3"/>
      <c r="BF310" s="3"/>
      <c r="BG310" s="3"/>
      <c r="BH310" s="15"/>
    </row>
    <row r="311" spans="2:60" ht="15" customHeight="1" x14ac:dyDescent="0.4">
      <c r="B311" s="196"/>
      <c r="C311" s="196"/>
      <c r="D311" s="198"/>
      <c r="E311" s="199"/>
      <c r="F311" s="199"/>
      <c r="G311" s="171"/>
      <c r="H311" s="73"/>
      <c r="I311" s="63"/>
      <c r="J311" s="33"/>
      <c r="K311" s="63"/>
      <c r="L311" s="33"/>
      <c r="M311" s="14"/>
      <c r="N311" s="15"/>
      <c r="O311" s="15"/>
      <c r="P311" s="15"/>
      <c r="AI311" s="65"/>
      <c r="AJ311" s="66"/>
      <c r="AK311" s="67"/>
      <c r="AL311" s="3"/>
      <c r="AN311" s="3"/>
      <c r="AQ311" s="3"/>
      <c r="AR311" s="15"/>
      <c r="AW311" s="3"/>
      <c r="AX311" s="15"/>
      <c r="AY311" s="15"/>
      <c r="AZ311" s="15"/>
      <c r="BA311" s="3"/>
      <c r="BB311" s="3"/>
      <c r="BC311" s="15"/>
      <c r="BD311" s="3"/>
      <c r="BE311" s="3"/>
      <c r="BF311" s="3"/>
      <c r="BG311" s="3"/>
      <c r="BH311" s="15"/>
    </row>
    <row r="312" spans="2:60" ht="15" customHeight="1" x14ac:dyDescent="0.4">
      <c r="B312" s="196"/>
      <c r="C312" s="196"/>
      <c r="D312" s="198"/>
      <c r="E312" s="199"/>
      <c r="F312" s="199"/>
      <c r="G312" s="172"/>
      <c r="H312" s="74"/>
      <c r="I312" s="63"/>
      <c r="J312" s="63"/>
      <c r="K312" s="63"/>
      <c r="L312" s="33"/>
      <c r="M312" s="14"/>
      <c r="N312" s="15"/>
      <c r="O312" s="15"/>
      <c r="P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3"/>
      <c r="AI312" s="15"/>
      <c r="AJ312" s="15"/>
      <c r="AK312" s="3"/>
      <c r="AL312" s="15"/>
      <c r="AM312" s="3"/>
      <c r="AN312" s="3"/>
      <c r="AO312" s="3"/>
      <c r="AP312" s="3"/>
      <c r="AQ312" s="3"/>
      <c r="AR312" s="15"/>
      <c r="AW312" s="3"/>
      <c r="AX312" s="15"/>
      <c r="AY312" s="15"/>
      <c r="AZ312" s="15"/>
      <c r="BA312" s="3"/>
      <c r="BB312" s="3"/>
      <c r="BC312" s="15"/>
      <c r="BD312" s="3"/>
      <c r="BE312" s="3"/>
      <c r="BF312" s="3"/>
      <c r="BG312" s="3"/>
      <c r="BH312" s="15"/>
    </row>
    <row r="313" spans="2:60" ht="15" customHeight="1" x14ac:dyDescent="0.4">
      <c r="B313" s="68"/>
      <c r="C313" s="69"/>
      <c r="D313" s="197" t="s">
        <v>126</v>
      </c>
      <c r="E313" s="209" t="s">
        <v>181</v>
      </c>
      <c r="F313" s="210"/>
      <c r="G313" s="170">
        <v>22</v>
      </c>
      <c r="H313" s="72"/>
      <c r="I313" s="33"/>
      <c r="J313" s="33"/>
      <c r="K313" s="33"/>
      <c r="L313" s="63"/>
      <c r="M313" s="14"/>
      <c r="N313" s="15"/>
      <c r="O313" s="15"/>
      <c r="P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3"/>
      <c r="AI313" s="15"/>
      <c r="AJ313" s="15"/>
      <c r="AK313" s="3"/>
      <c r="AL313" s="15"/>
      <c r="AM313" s="3"/>
      <c r="AN313" s="3"/>
      <c r="AO313" s="3"/>
      <c r="AP313" s="3"/>
      <c r="AQ313" s="3"/>
      <c r="AR313" s="15"/>
      <c r="AW313" s="3"/>
      <c r="AX313" s="15"/>
      <c r="AY313" s="15"/>
      <c r="AZ313" s="15"/>
      <c r="BA313" s="3"/>
      <c r="BB313" s="3"/>
      <c r="BC313" s="15"/>
      <c r="BD313" s="3"/>
      <c r="BE313" s="3"/>
      <c r="BF313" s="3"/>
      <c r="BG313" s="3"/>
      <c r="BH313" s="15"/>
    </row>
    <row r="314" spans="2:60" ht="15" customHeight="1" x14ac:dyDescent="0.4">
      <c r="B314" s="68"/>
      <c r="C314" s="69"/>
      <c r="D314" s="198"/>
      <c r="E314" s="211"/>
      <c r="F314" s="212"/>
      <c r="G314" s="171"/>
      <c r="H314" s="73"/>
      <c r="I314" s="33"/>
      <c r="J314" s="33"/>
      <c r="K314" s="33"/>
      <c r="L314" s="63"/>
      <c r="M314" s="14"/>
      <c r="N314" s="15"/>
      <c r="O314" s="15"/>
      <c r="P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3"/>
      <c r="AI314" s="65"/>
      <c r="AJ314" s="67"/>
      <c r="AK314" s="15"/>
      <c r="AL314" s="15"/>
      <c r="AM314" s="3"/>
      <c r="AN314" s="3"/>
      <c r="AO314" s="3"/>
      <c r="AP314" s="3"/>
      <c r="AQ314" s="3"/>
      <c r="AR314" s="15"/>
      <c r="AW314" s="3"/>
      <c r="AX314" s="15"/>
      <c r="AY314" s="15"/>
      <c r="AZ314" s="15"/>
      <c r="BA314" s="3"/>
      <c r="BB314" s="3"/>
      <c r="BC314" s="15"/>
      <c r="BD314" s="3"/>
      <c r="BE314" s="3"/>
      <c r="BF314" s="3"/>
      <c r="BG314" s="3"/>
      <c r="BH314" s="15"/>
    </row>
    <row r="315" spans="2:60" ht="15" customHeight="1" x14ac:dyDescent="0.4">
      <c r="B315" s="68"/>
      <c r="C315" s="69"/>
      <c r="D315" s="198"/>
      <c r="E315" s="213"/>
      <c r="F315" s="214"/>
      <c r="G315" s="172"/>
      <c r="H315" s="74"/>
      <c r="I315" s="33"/>
      <c r="J315" s="33"/>
      <c r="K315" s="33"/>
      <c r="L315" s="33"/>
      <c r="M315" s="14"/>
      <c r="N315" s="15"/>
      <c r="O315" s="15"/>
      <c r="P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3"/>
      <c r="AI315" s="15"/>
      <c r="AJ315" s="15"/>
      <c r="AK315" s="3"/>
      <c r="AL315" s="15"/>
      <c r="AM315" s="3"/>
      <c r="AN315" s="3"/>
      <c r="AO315" s="3"/>
      <c r="AP315" s="3"/>
      <c r="AQ315" s="3"/>
      <c r="AR315" s="15"/>
      <c r="AW315" s="3"/>
      <c r="AX315" s="15"/>
      <c r="AY315" s="15"/>
      <c r="AZ315" s="15"/>
      <c r="BA315" s="3"/>
      <c r="BB315" s="3"/>
      <c r="BC315" s="15"/>
      <c r="BD315" s="3"/>
      <c r="BE315" s="3"/>
      <c r="BF315" s="3"/>
      <c r="BG315" s="3"/>
      <c r="BH315" s="15"/>
    </row>
    <row r="316" spans="2:60" ht="15" customHeight="1" x14ac:dyDescent="0.4">
      <c r="B316" s="68"/>
      <c r="C316" s="69"/>
      <c r="D316" s="197" t="s">
        <v>128</v>
      </c>
      <c r="E316" s="209" t="s">
        <v>182</v>
      </c>
      <c r="F316" s="210"/>
      <c r="G316" s="170">
        <v>22</v>
      </c>
      <c r="H316" s="72"/>
      <c r="I316" s="33"/>
      <c r="J316" s="33"/>
      <c r="K316" s="33"/>
      <c r="L316" s="63"/>
      <c r="M316" s="14"/>
      <c r="N316" s="15"/>
      <c r="O316" s="15"/>
      <c r="P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3"/>
      <c r="AI316" s="15"/>
      <c r="AJ316" s="15"/>
      <c r="AK316" s="3"/>
      <c r="AL316" s="15"/>
      <c r="AM316" s="3"/>
      <c r="AN316" s="3"/>
      <c r="AO316" s="3"/>
      <c r="AP316" s="3"/>
      <c r="AQ316" s="3"/>
      <c r="AR316" s="15"/>
      <c r="AW316" s="3"/>
      <c r="AX316" s="15"/>
      <c r="AY316" s="15"/>
      <c r="AZ316" s="15"/>
      <c r="BA316" s="3"/>
      <c r="BB316" s="3"/>
      <c r="BC316" s="15"/>
      <c r="BD316" s="3"/>
      <c r="BE316" s="3"/>
      <c r="BF316" s="3"/>
      <c r="BG316" s="3"/>
      <c r="BH316" s="15"/>
    </row>
    <row r="317" spans="2:60" ht="15" customHeight="1" x14ac:dyDescent="0.4">
      <c r="B317" s="68"/>
      <c r="C317" s="69"/>
      <c r="D317" s="198"/>
      <c r="E317" s="211"/>
      <c r="F317" s="212"/>
      <c r="G317" s="171"/>
      <c r="H317" s="73"/>
      <c r="I317" s="33"/>
      <c r="J317" s="33"/>
      <c r="K317" s="33"/>
      <c r="L317" s="63"/>
      <c r="M317" s="14"/>
      <c r="N317" s="15"/>
      <c r="O317" s="15"/>
      <c r="P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3"/>
      <c r="AI317" s="65"/>
      <c r="AJ317" s="67"/>
      <c r="AL317" s="15"/>
      <c r="AM317" s="3"/>
      <c r="AN317" s="3"/>
      <c r="AO317" s="3"/>
      <c r="AP317" s="3"/>
      <c r="AQ317" s="3"/>
      <c r="AR317" s="15"/>
      <c r="AW317" s="3"/>
      <c r="AX317" s="15"/>
      <c r="AY317" s="15"/>
      <c r="AZ317" s="15"/>
      <c r="BA317" s="3"/>
      <c r="BB317" s="3"/>
      <c r="BC317" s="15"/>
      <c r="BD317" s="3"/>
      <c r="BE317" s="3"/>
      <c r="BF317" s="3"/>
      <c r="BG317" s="3"/>
      <c r="BH317" s="15"/>
    </row>
    <row r="318" spans="2:60" ht="15" customHeight="1" x14ac:dyDescent="0.4">
      <c r="B318" s="68"/>
      <c r="C318" s="69"/>
      <c r="D318" s="198"/>
      <c r="E318" s="213"/>
      <c r="F318" s="214"/>
      <c r="G318" s="172"/>
      <c r="H318" s="74"/>
      <c r="I318" s="33"/>
      <c r="J318" s="33"/>
      <c r="K318" s="33"/>
      <c r="L318" s="33"/>
      <c r="M318" s="14"/>
      <c r="N318" s="15"/>
      <c r="O318" s="15"/>
      <c r="P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3"/>
      <c r="AI318" s="15"/>
      <c r="AL318" s="15"/>
      <c r="AM318" s="3"/>
      <c r="AN318" s="3"/>
      <c r="AO318" s="3"/>
      <c r="AP318" s="3"/>
      <c r="AQ318" s="3"/>
      <c r="AR318" s="15"/>
      <c r="AW318" s="3"/>
      <c r="AX318" s="15"/>
      <c r="AY318" s="15"/>
      <c r="AZ318" s="15"/>
      <c r="BA318" s="3"/>
      <c r="BB318" s="3"/>
      <c r="BC318" s="15"/>
      <c r="BD318" s="3"/>
      <c r="BE318" s="3"/>
      <c r="BF318" s="3"/>
      <c r="BG318" s="3"/>
      <c r="BH318" s="15"/>
    </row>
    <row r="319" spans="2:60" ht="15" customHeight="1" x14ac:dyDescent="0.4">
      <c r="B319" s="68"/>
      <c r="C319" s="69"/>
      <c r="D319" s="197" t="s">
        <v>130</v>
      </c>
      <c r="E319" s="209" t="s">
        <v>183</v>
      </c>
      <c r="F319" s="210"/>
      <c r="G319" s="170">
        <v>22</v>
      </c>
      <c r="H319" s="72"/>
      <c r="I319" s="33"/>
      <c r="J319" s="33"/>
      <c r="K319" s="33"/>
      <c r="L319" s="63"/>
      <c r="M319" s="14"/>
      <c r="N319" s="15"/>
      <c r="O319" s="15"/>
      <c r="P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3"/>
      <c r="AI319" s="15"/>
      <c r="AL319" s="15"/>
      <c r="AM319" s="3"/>
      <c r="AN319" s="3"/>
      <c r="AO319" s="3"/>
      <c r="AP319" s="3"/>
      <c r="AQ319" s="3"/>
      <c r="AR319" s="15"/>
      <c r="AW319" s="3"/>
      <c r="AX319" s="15"/>
      <c r="AY319" s="15"/>
      <c r="AZ319" s="15"/>
      <c r="BA319" s="3"/>
      <c r="BB319" s="3"/>
      <c r="BC319" s="15"/>
      <c r="BD319" s="3"/>
      <c r="BE319" s="3"/>
      <c r="BF319" s="3"/>
      <c r="BG319" s="3"/>
      <c r="BH319" s="15"/>
    </row>
    <row r="320" spans="2:60" ht="15" customHeight="1" x14ac:dyDescent="0.4">
      <c r="B320" s="68"/>
      <c r="C320" s="69"/>
      <c r="D320" s="198"/>
      <c r="E320" s="211"/>
      <c r="F320" s="212"/>
      <c r="G320" s="171"/>
      <c r="H320" s="73"/>
      <c r="I320" s="33"/>
      <c r="J320" s="33"/>
      <c r="K320" s="33"/>
      <c r="L320" s="63"/>
      <c r="M320" s="14"/>
      <c r="N320" s="15"/>
      <c r="O320" s="15"/>
      <c r="P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3"/>
      <c r="AI320" s="65"/>
      <c r="AJ320" s="67"/>
      <c r="AM320" s="3"/>
      <c r="AN320" s="3"/>
      <c r="AO320" s="3"/>
      <c r="AP320" s="3"/>
      <c r="AQ320" s="3"/>
      <c r="AR320" s="15"/>
      <c r="AW320" s="3"/>
      <c r="AX320" s="15"/>
      <c r="AY320" s="15"/>
      <c r="AZ320" s="15"/>
      <c r="BA320" s="3"/>
      <c r="BB320" s="3"/>
      <c r="BC320" s="15"/>
      <c r="BD320" s="3"/>
      <c r="BE320" s="3"/>
      <c r="BF320" s="3"/>
      <c r="BG320" s="3"/>
      <c r="BH320" s="15"/>
    </row>
    <row r="321" spans="2:60" ht="15" customHeight="1" x14ac:dyDescent="0.4">
      <c r="B321" s="68"/>
      <c r="C321" s="69"/>
      <c r="D321" s="198"/>
      <c r="E321" s="213"/>
      <c r="F321" s="214"/>
      <c r="G321" s="172"/>
      <c r="H321" s="74"/>
      <c r="I321" s="33"/>
      <c r="J321" s="33"/>
      <c r="K321" s="33"/>
      <c r="L321" s="33"/>
      <c r="M321" s="14"/>
      <c r="N321" s="15"/>
      <c r="O321" s="15"/>
      <c r="P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3"/>
      <c r="AI321" s="15"/>
      <c r="AK321" s="15"/>
      <c r="AL321" s="3"/>
      <c r="AM321" s="3"/>
      <c r="AN321" s="3"/>
      <c r="AO321" s="3"/>
      <c r="AP321" s="3"/>
      <c r="AQ321" s="3"/>
      <c r="AR321" s="15"/>
      <c r="AW321" s="3"/>
      <c r="AX321" s="15"/>
      <c r="AY321" s="15"/>
      <c r="AZ321" s="15"/>
      <c r="BA321" s="3"/>
      <c r="BB321" s="3"/>
      <c r="BC321" s="15"/>
      <c r="BD321" s="3"/>
      <c r="BE321" s="3"/>
      <c r="BF321" s="3"/>
      <c r="BG321" s="3"/>
      <c r="BH321" s="15"/>
    </row>
    <row r="322" spans="2:60" ht="15" customHeight="1" x14ac:dyDescent="0.4">
      <c r="B322" s="68"/>
      <c r="C322" s="69"/>
      <c r="D322" s="197" t="s">
        <v>132</v>
      </c>
      <c r="E322" s="209" t="s">
        <v>184</v>
      </c>
      <c r="F322" s="210"/>
      <c r="G322" s="170">
        <v>22</v>
      </c>
      <c r="H322" s="72"/>
      <c r="I322" s="33"/>
      <c r="J322" s="33"/>
      <c r="K322" s="33"/>
      <c r="L322" s="63"/>
      <c r="M322" s="14"/>
      <c r="N322" s="15"/>
      <c r="O322" s="15"/>
      <c r="P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3"/>
      <c r="AI322" s="15"/>
      <c r="AK322" s="15"/>
      <c r="AL322" s="3"/>
      <c r="AM322" s="3"/>
      <c r="AN322" s="3"/>
      <c r="AO322" s="3"/>
      <c r="AP322" s="3"/>
      <c r="AQ322" s="3"/>
      <c r="AR322" s="15"/>
      <c r="AW322" s="3"/>
      <c r="AX322" s="15"/>
      <c r="AY322" s="15"/>
      <c r="AZ322" s="15"/>
      <c r="BA322" s="3"/>
      <c r="BB322" s="3"/>
      <c r="BC322" s="15"/>
      <c r="BD322" s="3"/>
      <c r="BE322" s="3"/>
      <c r="BF322" s="3"/>
      <c r="BG322" s="3"/>
      <c r="BH322" s="15"/>
    </row>
    <row r="323" spans="2:60" ht="15" customHeight="1" x14ac:dyDescent="0.4">
      <c r="B323" s="68"/>
      <c r="C323" s="69"/>
      <c r="D323" s="198"/>
      <c r="E323" s="211"/>
      <c r="F323" s="212"/>
      <c r="G323" s="171"/>
      <c r="H323" s="73"/>
      <c r="I323" s="33"/>
      <c r="J323" s="33"/>
      <c r="K323" s="33"/>
      <c r="L323" s="63"/>
      <c r="M323" s="14"/>
      <c r="N323" s="15"/>
      <c r="O323" s="15"/>
      <c r="P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3"/>
      <c r="AI323" s="65"/>
      <c r="AJ323" s="67"/>
      <c r="AM323" s="3"/>
      <c r="AN323" s="3"/>
      <c r="AO323" s="3"/>
      <c r="AP323" s="3"/>
      <c r="AQ323" s="3"/>
      <c r="AR323" s="15"/>
      <c r="AW323" s="3"/>
      <c r="AX323" s="15"/>
      <c r="AY323" s="15"/>
      <c r="AZ323" s="15"/>
      <c r="BA323" s="3"/>
      <c r="BB323" s="3"/>
      <c r="BC323" s="15"/>
      <c r="BD323" s="3"/>
      <c r="BE323" s="3"/>
      <c r="BF323" s="3"/>
      <c r="BG323" s="3"/>
      <c r="BH323" s="15"/>
    </row>
    <row r="324" spans="2:60" ht="15" customHeight="1" x14ac:dyDescent="0.4">
      <c r="B324" s="68"/>
      <c r="C324" s="69"/>
      <c r="D324" s="198"/>
      <c r="E324" s="213"/>
      <c r="F324" s="214"/>
      <c r="G324" s="172"/>
      <c r="H324" s="74"/>
      <c r="I324" s="33"/>
      <c r="J324" s="33"/>
      <c r="K324" s="33"/>
      <c r="L324" s="33"/>
      <c r="M324" s="14"/>
      <c r="N324" s="15"/>
      <c r="O324" s="15"/>
      <c r="P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3"/>
      <c r="AM324" s="3"/>
      <c r="AN324" s="3"/>
      <c r="AO324" s="3"/>
      <c r="AP324" s="3"/>
      <c r="AQ324" s="3"/>
      <c r="AR324" s="15"/>
      <c r="AW324" s="3"/>
      <c r="AX324" s="15"/>
      <c r="AY324" s="15"/>
      <c r="AZ324" s="15"/>
      <c r="BA324" s="3"/>
      <c r="BB324" s="3"/>
      <c r="BC324" s="15"/>
      <c r="BD324" s="3"/>
      <c r="BE324" s="3"/>
      <c r="BF324" s="3"/>
      <c r="BG324" s="3"/>
      <c r="BH324" s="15"/>
    </row>
    <row r="325" spans="2:60" ht="15" customHeight="1" x14ac:dyDescent="0.4">
      <c r="B325" s="68"/>
      <c r="C325" s="69"/>
      <c r="D325" s="197" t="s">
        <v>134</v>
      </c>
      <c r="E325" s="199" t="s">
        <v>185</v>
      </c>
      <c r="F325" s="199"/>
      <c r="G325" s="170">
        <v>22</v>
      </c>
      <c r="H325" s="72"/>
      <c r="I325" s="33"/>
      <c r="J325" s="33"/>
      <c r="K325" s="33"/>
      <c r="L325" s="63"/>
      <c r="M325" s="14"/>
      <c r="N325" s="15"/>
      <c r="O325" s="15"/>
      <c r="P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3"/>
      <c r="AM325" s="3"/>
      <c r="AN325" s="3"/>
      <c r="AO325" s="3"/>
      <c r="AP325" s="3"/>
      <c r="AQ325" s="3"/>
      <c r="AR325" s="15"/>
      <c r="AW325" s="3"/>
      <c r="AX325" s="15"/>
      <c r="AY325" s="15"/>
      <c r="AZ325" s="15"/>
      <c r="BA325" s="3"/>
      <c r="BB325" s="3"/>
      <c r="BC325" s="15"/>
      <c r="BD325" s="3"/>
      <c r="BE325" s="3"/>
      <c r="BF325" s="3"/>
      <c r="BG325" s="3"/>
      <c r="BH325" s="15"/>
    </row>
    <row r="326" spans="2:60" ht="15" customHeight="1" x14ac:dyDescent="0.4">
      <c r="B326" s="68"/>
      <c r="C326" s="69"/>
      <c r="D326" s="198"/>
      <c r="E326" s="199"/>
      <c r="F326" s="199"/>
      <c r="G326" s="171"/>
      <c r="H326" s="73"/>
      <c r="I326" s="33"/>
      <c r="J326" s="33"/>
      <c r="K326" s="33"/>
      <c r="L326" s="63"/>
      <c r="M326" s="14"/>
      <c r="N326" s="15"/>
      <c r="O326" s="15"/>
      <c r="P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3"/>
      <c r="AI326" s="15"/>
      <c r="AJ326" s="65"/>
      <c r="AK326" s="67"/>
      <c r="AM326" s="3"/>
      <c r="AN326" s="3"/>
      <c r="AO326" s="3"/>
      <c r="AP326" s="3"/>
      <c r="AQ326" s="3"/>
      <c r="AR326" s="15"/>
      <c r="AW326" s="3"/>
      <c r="AX326" s="15"/>
      <c r="AY326" s="15"/>
      <c r="AZ326" s="15"/>
      <c r="BA326" s="3"/>
      <c r="BB326" s="3"/>
      <c r="BC326" s="15"/>
      <c r="BD326" s="3"/>
      <c r="BE326" s="3"/>
      <c r="BF326" s="3"/>
      <c r="BG326" s="3"/>
      <c r="BH326" s="15"/>
    </row>
    <row r="327" spans="2:60" ht="15" customHeight="1" x14ac:dyDescent="0.4">
      <c r="B327" s="68"/>
      <c r="C327" s="69"/>
      <c r="D327" s="198"/>
      <c r="E327" s="199"/>
      <c r="F327" s="199"/>
      <c r="G327" s="172"/>
      <c r="H327" s="74"/>
      <c r="I327" s="33"/>
      <c r="J327" s="33"/>
      <c r="K327" s="33"/>
      <c r="L327" s="33"/>
      <c r="M327" s="14"/>
      <c r="N327" s="15"/>
      <c r="O327" s="15"/>
      <c r="P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3"/>
      <c r="AI327" s="3"/>
      <c r="AJ327" s="15"/>
      <c r="AK327" s="3"/>
      <c r="AL327" s="3"/>
      <c r="AM327" s="3"/>
      <c r="AN327" s="3"/>
      <c r="AO327" s="3"/>
      <c r="AP327" s="3"/>
      <c r="AQ327" s="3"/>
      <c r="AR327" s="15"/>
      <c r="AW327" s="3"/>
      <c r="AX327" s="15"/>
      <c r="AY327" s="15"/>
      <c r="AZ327" s="15"/>
      <c r="BA327" s="3"/>
      <c r="BB327" s="3"/>
      <c r="BC327" s="15"/>
      <c r="BD327" s="3"/>
      <c r="BE327" s="3"/>
      <c r="BF327" s="3"/>
      <c r="BG327" s="3"/>
      <c r="BH327" s="15"/>
    </row>
    <row r="328" spans="2:60" ht="15" customHeight="1" x14ac:dyDescent="0.4">
      <c r="B328" s="68"/>
      <c r="C328" s="69"/>
      <c r="D328" s="197" t="s">
        <v>186</v>
      </c>
      <c r="E328" s="209" t="s">
        <v>187</v>
      </c>
      <c r="F328" s="210"/>
      <c r="G328" s="170">
        <v>22</v>
      </c>
      <c r="H328" s="72"/>
      <c r="I328" s="33"/>
      <c r="J328" s="33"/>
      <c r="K328" s="33"/>
      <c r="L328" s="63"/>
      <c r="M328" s="14"/>
      <c r="N328" s="15"/>
      <c r="O328" s="15"/>
      <c r="P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3"/>
      <c r="AI328" s="3"/>
      <c r="AJ328" s="15"/>
      <c r="AK328" s="3"/>
      <c r="AL328" s="3"/>
      <c r="AM328" s="3"/>
      <c r="AN328" s="3"/>
      <c r="AO328" s="3"/>
      <c r="AP328" s="3"/>
      <c r="AQ328" s="3"/>
      <c r="AR328" s="15"/>
      <c r="AW328" s="3"/>
      <c r="AX328" s="15"/>
      <c r="AY328" s="15"/>
      <c r="AZ328" s="15"/>
      <c r="BA328" s="3"/>
      <c r="BB328" s="3"/>
      <c r="BC328" s="15"/>
      <c r="BD328" s="3"/>
      <c r="BE328" s="3"/>
      <c r="BF328" s="3"/>
      <c r="BG328" s="3"/>
      <c r="BH328" s="15"/>
    </row>
    <row r="329" spans="2:60" ht="15" customHeight="1" x14ac:dyDescent="0.4">
      <c r="B329" s="68"/>
      <c r="C329" s="69"/>
      <c r="D329" s="198"/>
      <c r="E329" s="211"/>
      <c r="F329" s="212"/>
      <c r="G329" s="171"/>
      <c r="H329" s="73"/>
      <c r="I329" s="33"/>
      <c r="J329" s="33"/>
      <c r="K329" s="33"/>
      <c r="L329" s="63"/>
      <c r="M329" s="14"/>
      <c r="N329" s="15"/>
      <c r="O329" s="15"/>
      <c r="P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3"/>
      <c r="AI329" s="3"/>
      <c r="AJ329" s="65"/>
      <c r="AK329" s="67"/>
      <c r="AL329" s="3"/>
      <c r="AM329" s="3"/>
      <c r="AN329" s="3"/>
      <c r="AO329" s="3"/>
      <c r="AP329" s="3"/>
      <c r="AQ329" s="3"/>
      <c r="AR329" s="15"/>
      <c r="AW329" s="3"/>
      <c r="AX329" s="15"/>
      <c r="AY329" s="15"/>
      <c r="AZ329" s="15"/>
      <c r="BA329" s="3"/>
      <c r="BB329" s="3"/>
      <c r="BC329" s="15"/>
      <c r="BD329" s="3"/>
      <c r="BE329" s="3"/>
      <c r="BF329" s="3"/>
      <c r="BG329" s="3"/>
      <c r="BH329" s="15"/>
    </row>
    <row r="330" spans="2:60" ht="15" customHeight="1" x14ac:dyDescent="0.4">
      <c r="B330" s="68"/>
      <c r="C330" s="69"/>
      <c r="D330" s="198"/>
      <c r="E330" s="213"/>
      <c r="F330" s="214"/>
      <c r="G330" s="172"/>
      <c r="H330" s="74"/>
      <c r="I330" s="33"/>
      <c r="J330" s="33"/>
      <c r="K330" s="33"/>
      <c r="L330" s="33"/>
      <c r="M330" s="14"/>
      <c r="N330" s="15"/>
      <c r="O330" s="15"/>
      <c r="P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15"/>
      <c r="AW330" s="3"/>
      <c r="AX330" s="15"/>
      <c r="AY330" s="15"/>
      <c r="AZ330" s="15"/>
      <c r="BA330" s="3"/>
      <c r="BB330" s="3"/>
      <c r="BC330" s="15"/>
      <c r="BD330" s="3"/>
      <c r="BE330" s="3"/>
      <c r="BF330" s="3"/>
      <c r="BG330" s="3"/>
      <c r="BH330" s="15"/>
    </row>
    <row r="331" spans="2:60" ht="15.65" customHeight="1" x14ac:dyDescent="0.4">
      <c r="B331" s="68"/>
      <c r="C331" s="69"/>
      <c r="D331" s="197" t="s">
        <v>188</v>
      </c>
      <c r="E331" s="209" t="s">
        <v>189</v>
      </c>
      <c r="F331" s="210"/>
      <c r="G331" s="170">
        <v>22</v>
      </c>
      <c r="H331" s="72"/>
      <c r="I331" s="33"/>
      <c r="J331" s="33"/>
      <c r="K331" s="33"/>
      <c r="L331" s="63"/>
      <c r="M331" s="14"/>
      <c r="N331" s="15"/>
      <c r="O331" s="15"/>
      <c r="P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15"/>
      <c r="AW331" s="3"/>
      <c r="AX331" s="15"/>
      <c r="AY331" s="15"/>
      <c r="AZ331" s="15"/>
      <c r="BA331" s="3"/>
      <c r="BB331" s="3"/>
      <c r="BC331" s="15"/>
      <c r="BD331" s="3"/>
      <c r="BE331" s="3"/>
      <c r="BF331" s="3"/>
      <c r="BG331" s="3"/>
      <c r="BH331" s="15"/>
    </row>
    <row r="332" spans="2:60" ht="15.65" customHeight="1" x14ac:dyDescent="0.4">
      <c r="B332" s="68"/>
      <c r="C332" s="69"/>
      <c r="D332" s="198"/>
      <c r="E332" s="211"/>
      <c r="F332" s="212"/>
      <c r="G332" s="171"/>
      <c r="H332" s="73"/>
      <c r="I332" s="33"/>
      <c r="J332" s="33"/>
      <c r="K332" s="33"/>
      <c r="L332" s="63"/>
      <c r="M332" s="14"/>
      <c r="N332" s="15"/>
      <c r="O332" s="15"/>
      <c r="P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3"/>
      <c r="AI332" s="3"/>
      <c r="AJ332" s="65"/>
      <c r="AK332" s="67"/>
      <c r="AL332" s="3"/>
      <c r="AM332" s="3"/>
      <c r="AN332" s="3"/>
      <c r="AO332" s="3"/>
      <c r="AP332" s="3"/>
      <c r="AQ332" s="3"/>
      <c r="AR332" s="15"/>
      <c r="AW332" s="3"/>
      <c r="AX332" s="15"/>
      <c r="AY332" s="15"/>
      <c r="AZ332" s="15"/>
      <c r="BA332" s="3"/>
      <c r="BB332" s="3"/>
      <c r="BC332" s="15"/>
      <c r="BD332" s="3"/>
      <c r="BE332" s="3"/>
      <c r="BF332" s="3"/>
      <c r="BG332" s="3"/>
      <c r="BH332" s="15"/>
    </row>
    <row r="333" spans="2:60" ht="15.65" customHeight="1" x14ac:dyDescent="0.4">
      <c r="B333" s="68"/>
      <c r="C333" s="69"/>
      <c r="D333" s="198"/>
      <c r="E333" s="213"/>
      <c r="F333" s="214"/>
      <c r="G333" s="172"/>
      <c r="H333" s="74"/>
      <c r="I333" s="33"/>
      <c r="J333" s="33"/>
      <c r="K333" s="33"/>
      <c r="L333" s="33"/>
      <c r="M333" s="14"/>
      <c r="N333" s="15"/>
      <c r="O333" s="15"/>
      <c r="P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3"/>
      <c r="AI333" s="3"/>
      <c r="AJ333" s="15"/>
      <c r="AK333" s="3"/>
      <c r="AL333" s="3"/>
      <c r="AM333" s="3"/>
      <c r="AN333" s="3"/>
      <c r="AO333" s="3"/>
      <c r="AP333" s="3"/>
      <c r="AQ333" s="3"/>
      <c r="AR333" s="15"/>
      <c r="AW333" s="3"/>
      <c r="AX333" s="15"/>
      <c r="AY333" s="15"/>
      <c r="AZ333" s="15"/>
      <c r="BA333" s="3"/>
      <c r="BB333" s="3"/>
      <c r="BC333" s="15"/>
      <c r="BD333" s="3"/>
      <c r="BE333" s="3"/>
      <c r="BF333" s="3"/>
      <c r="BG333" s="3"/>
      <c r="BH333" s="15"/>
    </row>
    <row r="334" spans="2:60" ht="15.65" customHeight="1" x14ac:dyDescent="0.4">
      <c r="B334" s="68"/>
      <c r="C334" s="69"/>
      <c r="D334" s="197" t="s">
        <v>190</v>
      </c>
      <c r="E334" s="209" t="s">
        <v>191</v>
      </c>
      <c r="F334" s="210"/>
      <c r="G334" s="170">
        <v>22</v>
      </c>
      <c r="H334" s="72"/>
      <c r="I334" s="33"/>
      <c r="J334" s="33"/>
      <c r="K334" s="33"/>
      <c r="L334" s="63"/>
      <c r="M334" s="14"/>
      <c r="N334" s="15"/>
      <c r="O334" s="15"/>
      <c r="P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3"/>
      <c r="AI334" s="3"/>
      <c r="AJ334" s="15"/>
      <c r="AK334" s="3"/>
      <c r="AL334" s="3"/>
      <c r="AM334" s="3"/>
      <c r="AN334" s="3"/>
      <c r="AO334" s="3"/>
      <c r="AP334" s="3"/>
      <c r="AQ334" s="3"/>
      <c r="AR334" s="15"/>
      <c r="AW334" s="3"/>
      <c r="AX334" s="15"/>
      <c r="AY334" s="15"/>
      <c r="AZ334" s="15"/>
      <c r="BA334" s="3"/>
      <c r="BB334" s="3"/>
      <c r="BC334" s="15"/>
      <c r="BD334" s="3"/>
      <c r="BE334" s="3"/>
      <c r="BF334" s="3"/>
      <c r="BG334" s="3"/>
      <c r="BH334" s="15"/>
    </row>
    <row r="335" spans="2:60" ht="15.65" customHeight="1" x14ac:dyDescent="0.4">
      <c r="B335" s="68"/>
      <c r="C335" s="69"/>
      <c r="D335" s="198"/>
      <c r="E335" s="211"/>
      <c r="F335" s="212"/>
      <c r="G335" s="171"/>
      <c r="H335" s="73"/>
      <c r="I335" s="33"/>
      <c r="J335" s="33"/>
      <c r="K335" s="33"/>
      <c r="L335" s="63"/>
      <c r="M335" s="14"/>
      <c r="N335" s="15"/>
      <c r="O335" s="15"/>
      <c r="P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3"/>
      <c r="AI335" s="3"/>
      <c r="AJ335" s="65"/>
      <c r="AK335" s="67"/>
      <c r="AL335" s="3"/>
      <c r="AM335" s="3"/>
      <c r="AN335" s="3"/>
      <c r="AO335" s="3"/>
      <c r="AP335" s="3"/>
      <c r="AQ335" s="3"/>
      <c r="AR335" s="15"/>
      <c r="AW335" s="3"/>
      <c r="AX335" s="15"/>
      <c r="AY335" s="15"/>
      <c r="AZ335" s="15"/>
      <c r="BA335" s="3"/>
      <c r="BB335" s="3"/>
      <c r="BC335" s="15"/>
      <c r="BD335" s="3"/>
      <c r="BE335" s="3"/>
      <c r="BF335" s="3"/>
      <c r="BG335" s="3"/>
      <c r="BH335" s="15"/>
    </row>
    <row r="336" spans="2:60" ht="15.65" customHeight="1" x14ac:dyDescent="0.4">
      <c r="B336" s="68"/>
      <c r="C336" s="69"/>
      <c r="D336" s="198"/>
      <c r="E336" s="213"/>
      <c r="F336" s="214"/>
      <c r="G336" s="172"/>
      <c r="H336" s="74"/>
      <c r="I336" s="33"/>
      <c r="J336" s="33"/>
      <c r="K336" s="33"/>
      <c r="L336" s="33"/>
      <c r="M336" s="14"/>
      <c r="N336" s="15"/>
      <c r="O336" s="15"/>
      <c r="P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15"/>
      <c r="AW336" s="3"/>
      <c r="AX336" s="15"/>
      <c r="AY336" s="15"/>
      <c r="AZ336" s="15"/>
      <c r="BA336" s="3"/>
      <c r="BB336" s="3"/>
      <c r="BC336" s="15"/>
      <c r="BD336" s="3"/>
      <c r="BE336" s="3"/>
      <c r="BF336" s="3"/>
      <c r="BG336" s="3"/>
      <c r="BH336" s="15"/>
    </row>
    <row r="337" spans="2:60" ht="15.65" customHeight="1" x14ac:dyDescent="0.4">
      <c r="B337" s="68"/>
      <c r="C337" s="69"/>
      <c r="D337" s="197" t="s">
        <v>192</v>
      </c>
      <c r="E337" s="237" t="s">
        <v>193</v>
      </c>
      <c r="F337" s="238"/>
      <c r="G337" s="170">
        <v>22</v>
      </c>
      <c r="H337" s="72"/>
      <c r="I337" s="33"/>
      <c r="J337" s="33"/>
      <c r="K337" s="33"/>
      <c r="L337" s="63"/>
      <c r="M337" s="14"/>
      <c r="N337" s="15"/>
      <c r="O337" s="15"/>
      <c r="P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15"/>
      <c r="AW337" s="3"/>
      <c r="AX337" s="15"/>
      <c r="AY337" s="15"/>
      <c r="AZ337" s="15"/>
      <c r="BA337" s="3"/>
      <c r="BB337" s="3"/>
      <c r="BC337" s="15"/>
      <c r="BD337" s="3"/>
      <c r="BE337" s="3"/>
      <c r="BF337" s="3"/>
      <c r="BG337" s="3"/>
      <c r="BH337" s="15"/>
    </row>
    <row r="338" spans="2:60" ht="15.65" customHeight="1" x14ac:dyDescent="0.4">
      <c r="B338" s="68"/>
      <c r="C338" s="69"/>
      <c r="D338" s="198"/>
      <c r="E338" s="239"/>
      <c r="F338" s="240"/>
      <c r="G338" s="171"/>
      <c r="H338" s="73"/>
      <c r="I338" s="33"/>
      <c r="J338" s="33"/>
      <c r="K338" s="33"/>
      <c r="L338" s="63"/>
      <c r="M338" s="14"/>
      <c r="N338" s="15"/>
      <c r="O338" s="15"/>
      <c r="P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3"/>
      <c r="AI338" s="3"/>
      <c r="AJ338" s="3"/>
      <c r="AK338" s="65"/>
      <c r="AL338" s="67"/>
      <c r="AM338" s="3"/>
      <c r="AN338" s="3"/>
      <c r="AO338" s="3"/>
      <c r="AP338" s="3"/>
      <c r="AQ338" s="3"/>
      <c r="AR338" s="15"/>
      <c r="AW338" s="3"/>
      <c r="AX338" s="15"/>
      <c r="AY338" s="15"/>
      <c r="AZ338" s="15"/>
      <c r="BA338" s="3"/>
      <c r="BB338" s="3"/>
      <c r="BC338" s="15"/>
      <c r="BD338" s="3"/>
      <c r="BE338" s="3"/>
      <c r="BF338" s="3"/>
      <c r="BG338" s="3"/>
      <c r="BH338" s="15"/>
    </row>
    <row r="339" spans="2:60" ht="15.65" customHeight="1" x14ac:dyDescent="0.4">
      <c r="B339" s="68"/>
      <c r="C339" s="69"/>
      <c r="D339" s="198"/>
      <c r="E339" s="241"/>
      <c r="F339" s="242"/>
      <c r="G339" s="172"/>
      <c r="H339" s="74"/>
      <c r="I339" s="33"/>
      <c r="J339" s="33"/>
      <c r="K339" s="33"/>
      <c r="L339" s="33"/>
      <c r="M339" s="14"/>
      <c r="N339" s="15"/>
      <c r="O339" s="15"/>
      <c r="P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3"/>
      <c r="AI339" s="3"/>
      <c r="AJ339" s="3"/>
      <c r="AM339" s="3"/>
      <c r="AN339" s="3"/>
      <c r="AO339" s="3"/>
      <c r="AP339" s="3"/>
      <c r="AQ339" s="3"/>
      <c r="AR339" s="15"/>
      <c r="AW339" s="3"/>
      <c r="AX339" s="15"/>
      <c r="AY339" s="15"/>
      <c r="AZ339" s="15"/>
      <c r="BA339" s="3"/>
      <c r="BB339" s="3"/>
      <c r="BC339" s="15"/>
      <c r="BD339" s="3"/>
      <c r="BE339" s="3"/>
      <c r="BF339" s="3"/>
      <c r="BG339" s="3"/>
      <c r="BH339" s="15"/>
    </row>
    <row r="340" spans="2:60" ht="15" customHeight="1" x14ac:dyDescent="0.4">
      <c r="B340" s="158"/>
      <c r="C340" s="158"/>
      <c r="D340" s="197" t="s">
        <v>194</v>
      </c>
      <c r="E340" s="243" t="s">
        <v>75</v>
      </c>
      <c r="F340" s="244"/>
      <c r="G340" s="170">
        <v>22</v>
      </c>
      <c r="H340" s="72"/>
      <c r="I340" s="33"/>
      <c r="J340" s="33"/>
      <c r="K340" s="33"/>
      <c r="L340" s="33"/>
      <c r="M340" s="14"/>
      <c r="N340" s="15"/>
      <c r="O340" s="15"/>
      <c r="P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3"/>
      <c r="AI340" s="3"/>
      <c r="AJ340" s="3"/>
      <c r="AM340" s="3"/>
      <c r="AN340" s="3"/>
      <c r="AO340" s="3"/>
      <c r="AP340" s="3"/>
      <c r="AQ340" s="3"/>
      <c r="AR340" s="15"/>
      <c r="AW340" s="3"/>
      <c r="AX340" s="15"/>
      <c r="AY340" s="15"/>
      <c r="AZ340" s="15"/>
      <c r="BA340" s="3"/>
      <c r="BB340" s="3"/>
      <c r="BC340" s="15"/>
      <c r="BD340" s="3"/>
      <c r="BE340" s="3"/>
      <c r="BF340" s="3"/>
      <c r="BG340" s="3"/>
      <c r="BH340" s="15"/>
    </row>
    <row r="341" spans="2:60" ht="15" customHeight="1" x14ac:dyDescent="0.4">
      <c r="B341" s="159"/>
      <c r="C341" s="159"/>
      <c r="D341" s="198"/>
      <c r="E341" s="245"/>
      <c r="F341" s="246"/>
      <c r="G341" s="171"/>
      <c r="H341" s="73"/>
      <c r="I341" s="33"/>
      <c r="J341" s="33"/>
      <c r="K341" s="33"/>
      <c r="L341" s="33"/>
      <c r="M341" s="14"/>
      <c r="N341" s="15"/>
      <c r="O341" s="15"/>
      <c r="P341" s="15"/>
      <c r="AC341" s="15"/>
      <c r="AD341" s="15"/>
      <c r="AE341" s="15"/>
      <c r="AF341" s="15"/>
      <c r="AG341" s="15"/>
      <c r="AH341" s="15"/>
      <c r="AI341" s="15"/>
      <c r="AJ341" s="15"/>
      <c r="AK341" s="65"/>
      <c r="AL341" s="67"/>
      <c r="AM341" s="15"/>
      <c r="AN341" s="15"/>
      <c r="AO341" s="15"/>
      <c r="AP341" s="15"/>
      <c r="AQ341" s="3"/>
      <c r="AR341" s="15"/>
      <c r="AW341" s="3"/>
      <c r="AX341" s="15"/>
      <c r="AY341" s="15"/>
      <c r="AZ341" s="15"/>
      <c r="BA341" s="3"/>
      <c r="BB341" s="3"/>
      <c r="BC341" s="15"/>
      <c r="BD341" s="3"/>
      <c r="BE341" s="3"/>
      <c r="BF341" s="3"/>
      <c r="BG341" s="3"/>
      <c r="BH341" s="15"/>
    </row>
    <row r="342" spans="2:60" ht="15" customHeight="1" x14ac:dyDescent="0.4">
      <c r="B342" s="160"/>
      <c r="C342" s="160"/>
      <c r="D342" s="198"/>
      <c r="E342" s="247"/>
      <c r="F342" s="248"/>
      <c r="G342" s="172"/>
      <c r="H342" s="74"/>
      <c r="I342" s="33"/>
      <c r="J342" s="33"/>
      <c r="K342" s="33"/>
      <c r="L342" s="33"/>
      <c r="M342" s="14"/>
      <c r="N342" s="15"/>
      <c r="O342" s="15"/>
      <c r="P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3"/>
      <c r="AI342" s="3"/>
      <c r="AJ342" s="3"/>
      <c r="AK342" s="15"/>
      <c r="AL342" s="3"/>
      <c r="AM342" s="3"/>
      <c r="AN342" s="3"/>
      <c r="AO342" s="3"/>
      <c r="AP342" s="3"/>
      <c r="AQ342" s="3"/>
      <c r="AR342" s="15"/>
      <c r="AW342" s="3"/>
      <c r="AX342" s="15"/>
      <c r="AY342" s="15"/>
      <c r="AZ342" s="15"/>
      <c r="BA342" s="3"/>
      <c r="BB342" s="3"/>
      <c r="BC342" s="15"/>
      <c r="BD342" s="3"/>
      <c r="BE342" s="3"/>
      <c r="BF342" s="3"/>
      <c r="BG342" s="3"/>
      <c r="BH342" s="15"/>
    </row>
    <row r="343" spans="2:60" ht="15" customHeight="1" x14ac:dyDescent="0.4">
      <c r="B343" s="196"/>
      <c r="C343" s="196"/>
      <c r="D343" s="197" t="s">
        <v>195</v>
      </c>
      <c r="E343" s="236" t="s">
        <v>196</v>
      </c>
      <c r="F343" s="236"/>
      <c r="G343" s="170">
        <v>22</v>
      </c>
      <c r="H343" s="72"/>
      <c r="I343" s="33"/>
      <c r="J343" s="33"/>
      <c r="K343" s="33"/>
      <c r="L343" s="33"/>
      <c r="M343" s="14"/>
      <c r="N343" s="15"/>
      <c r="O343" s="15"/>
      <c r="P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3"/>
      <c r="AI343" s="3"/>
      <c r="AJ343" s="3"/>
      <c r="AK343" s="15"/>
      <c r="AL343" s="3"/>
      <c r="AM343" s="3"/>
      <c r="AN343" s="3"/>
      <c r="AO343" s="3"/>
      <c r="AP343" s="3"/>
      <c r="AQ343" s="3"/>
      <c r="AR343" s="15"/>
      <c r="AW343" s="3"/>
      <c r="AX343" s="15"/>
      <c r="AY343" s="15"/>
      <c r="AZ343" s="15"/>
      <c r="BA343" s="3"/>
      <c r="BB343" s="3"/>
      <c r="BC343" s="15"/>
      <c r="BD343" s="3"/>
      <c r="BE343" s="3"/>
      <c r="BF343" s="3"/>
      <c r="BG343" s="3"/>
      <c r="BH343" s="15"/>
    </row>
    <row r="344" spans="2:60" ht="15" customHeight="1" x14ac:dyDescent="0.4">
      <c r="B344" s="196"/>
      <c r="C344" s="196"/>
      <c r="D344" s="198"/>
      <c r="E344" s="236"/>
      <c r="F344" s="236"/>
      <c r="G344" s="171"/>
      <c r="H344" s="73"/>
      <c r="I344" s="33"/>
      <c r="J344" s="33"/>
      <c r="K344" s="33"/>
      <c r="L344" s="33"/>
      <c r="M344" s="14"/>
      <c r="N344" s="15"/>
      <c r="O344" s="15"/>
      <c r="P344" s="15"/>
      <c r="AC344" s="15"/>
      <c r="AD344" s="15"/>
      <c r="AE344" s="15"/>
      <c r="AF344" s="15"/>
      <c r="AG344" s="15"/>
      <c r="AH344" s="15"/>
      <c r="AI344" s="15"/>
      <c r="AJ344" s="15"/>
      <c r="AK344" s="65"/>
      <c r="AL344" s="67"/>
      <c r="AM344" s="15"/>
      <c r="AN344" s="15"/>
      <c r="AO344" s="15"/>
      <c r="AP344" s="15"/>
      <c r="AQ344" s="3"/>
      <c r="AR344" s="15"/>
      <c r="AW344" s="3"/>
      <c r="AX344" s="15"/>
      <c r="AY344" s="15"/>
      <c r="AZ344" s="15"/>
      <c r="BA344" s="3"/>
      <c r="BB344" s="3"/>
      <c r="BC344" s="15"/>
      <c r="BD344" s="3"/>
      <c r="BE344" s="3"/>
      <c r="BF344" s="3"/>
      <c r="BG344" s="3"/>
      <c r="BH344" s="15"/>
    </row>
    <row r="345" spans="2:60" ht="15" customHeight="1" x14ac:dyDescent="0.4">
      <c r="B345" s="196"/>
      <c r="C345" s="196"/>
      <c r="D345" s="198"/>
      <c r="E345" s="236"/>
      <c r="F345" s="236"/>
      <c r="G345" s="172"/>
      <c r="H345" s="74"/>
      <c r="I345" s="33"/>
      <c r="J345" s="33"/>
      <c r="K345" s="33"/>
      <c r="L345" s="33"/>
      <c r="M345" s="14"/>
      <c r="N345" s="15"/>
      <c r="O345" s="15"/>
      <c r="P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3"/>
      <c r="AI345" s="3"/>
      <c r="AJ345" s="3"/>
      <c r="AK345" s="15"/>
      <c r="AL345" s="3"/>
      <c r="AM345" s="3"/>
      <c r="AN345" s="3"/>
      <c r="AO345" s="3"/>
      <c r="AP345" s="3"/>
      <c r="AQ345" s="3"/>
      <c r="AR345" s="15"/>
      <c r="AW345" s="3"/>
      <c r="AX345" s="15"/>
      <c r="AY345" s="15"/>
      <c r="AZ345" s="15"/>
      <c r="BA345" s="3"/>
      <c r="BB345" s="3"/>
      <c r="BC345" s="15"/>
      <c r="BD345" s="3"/>
      <c r="BE345" s="3"/>
      <c r="BF345" s="3"/>
      <c r="BG345" s="3"/>
      <c r="BH345" s="15"/>
    </row>
    <row r="346" spans="2:60" ht="15" customHeight="1" x14ac:dyDescent="0.4">
      <c r="B346" s="106"/>
      <c r="C346" s="184" t="s">
        <v>31</v>
      </c>
      <c r="D346" s="187" t="s">
        <v>197</v>
      </c>
      <c r="E346" s="188"/>
      <c r="F346" s="189"/>
      <c r="G346" s="51"/>
      <c r="H346" s="121">
        <f>SUM(G349:G357)</f>
        <v>102</v>
      </c>
      <c r="I346" s="33"/>
      <c r="J346" s="33"/>
      <c r="K346" s="124">
        <f>H346*$J$8</f>
        <v>28700.25</v>
      </c>
      <c r="M346" s="14"/>
      <c r="N346" s="3"/>
      <c r="O346" s="15"/>
      <c r="P346" s="15"/>
      <c r="Y346" s="15"/>
      <c r="Z346" s="15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15"/>
      <c r="AM346" s="15"/>
      <c r="AN346" s="15"/>
      <c r="AO346" s="3"/>
      <c r="AP346" s="3"/>
      <c r="AQ346" s="3"/>
      <c r="AR346" s="15"/>
      <c r="AW346" s="3"/>
      <c r="AX346" s="15"/>
      <c r="AY346" s="15"/>
      <c r="AZ346" s="15"/>
      <c r="BA346" s="3"/>
      <c r="BB346" s="3"/>
      <c r="BC346" s="15"/>
      <c r="BD346" s="3"/>
      <c r="BE346" s="3"/>
      <c r="BF346" s="3"/>
      <c r="BG346" s="3"/>
      <c r="BH346" s="15"/>
    </row>
    <row r="347" spans="2:60" ht="15" customHeight="1" x14ac:dyDescent="0.4">
      <c r="B347" s="156"/>
      <c r="C347" s="201"/>
      <c r="D347" s="190"/>
      <c r="E347" s="191"/>
      <c r="F347" s="192"/>
      <c r="G347" s="51"/>
      <c r="H347" s="122"/>
      <c r="I347" s="33"/>
      <c r="J347" s="33"/>
      <c r="K347" s="124"/>
      <c r="M347" s="14"/>
      <c r="N347" s="15"/>
      <c r="O347" s="15"/>
      <c r="P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59"/>
      <c r="AL347" s="60"/>
      <c r="AM347" s="60"/>
      <c r="AN347" s="61"/>
      <c r="AO347" s="3"/>
      <c r="AP347" s="3"/>
      <c r="AQ347" s="3"/>
      <c r="AR347" s="15"/>
      <c r="AW347" s="3"/>
      <c r="AX347" s="15"/>
      <c r="AY347" s="15"/>
      <c r="AZ347" s="15"/>
      <c r="BA347" s="3"/>
      <c r="BB347" s="3"/>
      <c r="BC347" s="15"/>
      <c r="BD347" s="3"/>
      <c r="BE347" s="3"/>
      <c r="BF347" s="3"/>
      <c r="BG347" s="3"/>
      <c r="BH347" s="15"/>
    </row>
    <row r="348" spans="2:60" ht="15" customHeight="1" x14ac:dyDescent="0.4">
      <c r="B348" s="157"/>
      <c r="C348" s="202"/>
      <c r="D348" s="193"/>
      <c r="E348" s="194"/>
      <c r="F348" s="195"/>
      <c r="G348" s="51"/>
      <c r="H348" s="123"/>
      <c r="I348" s="33"/>
      <c r="J348" s="33"/>
      <c r="K348" s="124"/>
      <c r="M348" s="14"/>
      <c r="N348" s="15"/>
      <c r="O348" s="15"/>
      <c r="P348" s="15"/>
      <c r="Y348" s="15"/>
      <c r="Z348" s="15"/>
      <c r="AA348" s="15"/>
      <c r="AB348" s="15"/>
      <c r="AC348" s="15"/>
      <c r="AD348" s="3"/>
      <c r="AE348" s="3"/>
      <c r="AF348" s="3"/>
      <c r="AG348" s="3"/>
      <c r="AH348" s="3"/>
      <c r="AI348" s="3"/>
      <c r="AJ348" s="3"/>
      <c r="AK348" s="15"/>
      <c r="AL348" s="3"/>
      <c r="AM348" s="3"/>
      <c r="AN348" s="3"/>
      <c r="AO348" s="3"/>
      <c r="AP348" s="3"/>
      <c r="AQ348" s="3"/>
      <c r="AR348" s="15"/>
      <c r="AW348" s="3"/>
      <c r="AX348" s="15"/>
      <c r="AY348" s="15"/>
      <c r="AZ348" s="15"/>
      <c r="BA348" s="3"/>
      <c r="BB348" s="3"/>
      <c r="BC348" s="15"/>
      <c r="BD348" s="3"/>
      <c r="BE348" s="3"/>
      <c r="BF348" s="3"/>
      <c r="BG348" s="3"/>
      <c r="BH348" s="15"/>
    </row>
    <row r="349" spans="2:60" ht="15" customHeight="1" x14ac:dyDescent="0.4">
      <c r="B349" s="196"/>
      <c r="C349" s="196"/>
      <c r="D349" s="197" t="s">
        <v>137</v>
      </c>
      <c r="E349" s="199" t="s">
        <v>198</v>
      </c>
      <c r="F349" s="199"/>
      <c r="G349" s="170">
        <v>34</v>
      </c>
      <c r="H349" s="72"/>
      <c r="I349" s="63"/>
      <c r="J349" s="64"/>
      <c r="K349" s="64"/>
      <c r="L349" s="33"/>
      <c r="M349" s="14"/>
      <c r="N349" s="15"/>
      <c r="O349" s="15"/>
      <c r="P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3"/>
      <c r="AI349" s="3"/>
      <c r="AJ349" s="3"/>
      <c r="AK349" s="15"/>
      <c r="AL349" s="15"/>
      <c r="AM349" s="15"/>
      <c r="AN349" s="15"/>
      <c r="AO349" s="3"/>
      <c r="AP349" s="3"/>
      <c r="AQ349" s="3"/>
      <c r="AR349" s="15"/>
      <c r="AW349" s="3"/>
      <c r="AX349" s="15"/>
      <c r="AY349" s="15"/>
      <c r="AZ349" s="15"/>
      <c r="BA349" s="3"/>
      <c r="BB349" s="3"/>
      <c r="BC349" s="15"/>
      <c r="BD349" s="3"/>
      <c r="BE349" s="3"/>
      <c r="BF349" s="3"/>
      <c r="BG349" s="3"/>
      <c r="BH349" s="15"/>
    </row>
    <row r="350" spans="2:60" ht="15" customHeight="1" x14ac:dyDescent="0.4">
      <c r="B350" s="196"/>
      <c r="C350" s="196"/>
      <c r="D350" s="198"/>
      <c r="E350" s="199"/>
      <c r="F350" s="199"/>
      <c r="G350" s="171"/>
      <c r="H350" s="73"/>
      <c r="I350" s="63"/>
      <c r="J350" s="63"/>
      <c r="K350" s="63"/>
      <c r="L350" s="33"/>
      <c r="M350" s="14"/>
      <c r="N350" s="15"/>
      <c r="O350" s="15"/>
      <c r="P350" s="15"/>
      <c r="AK350" s="65"/>
      <c r="AL350" s="67"/>
      <c r="AM350" s="3"/>
      <c r="AQ350" s="3"/>
      <c r="AR350" s="15"/>
      <c r="AW350" s="3"/>
      <c r="AX350" s="15"/>
      <c r="AY350" s="15"/>
      <c r="AZ350" s="15"/>
      <c r="BA350" s="3"/>
      <c r="BB350" s="3"/>
      <c r="BC350" s="15"/>
      <c r="BD350" s="3"/>
      <c r="BE350" s="3"/>
      <c r="BF350" s="3"/>
      <c r="BG350" s="3"/>
      <c r="BH350" s="15"/>
    </row>
    <row r="351" spans="2:60" ht="15" customHeight="1" x14ac:dyDescent="0.4">
      <c r="B351" s="196"/>
      <c r="C351" s="196"/>
      <c r="D351" s="198"/>
      <c r="E351" s="199"/>
      <c r="F351" s="199"/>
      <c r="G351" s="172"/>
      <c r="H351" s="74"/>
      <c r="I351" s="63"/>
      <c r="J351" s="63"/>
      <c r="K351" s="63"/>
      <c r="L351" s="33"/>
      <c r="M351" s="14"/>
      <c r="N351" s="15"/>
      <c r="O351" s="15"/>
      <c r="P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3"/>
      <c r="AI351" s="3"/>
      <c r="AJ351" s="3"/>
      <c r="AK351" s="15"/>
      <c r="AL351" s="15"/>
      <c r="AM351" s="3"/>
      <c r="AN351" s="15"/>
      <c r="AO351" s="3"/>
      <c r="AP351" s="3"/>
      <c r="AQ351" s="3"/>
      <c r="AR351" s="15"/>
      <c r="AW351" s="3"/>
      <c r="AX351" s="15"/>
      <c r="AY351" s="15"/>
      <c r="AZ351" s="15"/>
      <c r="BA351" s="3"/>
      <c r="BB351" s="3"/>
      <c r="BC351" s="15"/>
      <c r="BD351" s="3"/>
      <c r="BE351" s="3"/>
      <c r="BF351" s="3"/>
      <c r="BG351" s="3"/>
      <c r="BH351" s="15"/>
    </row>
    <row r="352" spans="2:60" ht="15" customHeight="1" x14ac:dyDescent="0.4">
      <c r="B352" s="68"/>
      <c r="C352" s="69"/>
      <c r="D352" s="197" t="s">
        <v>139</v>
      </c>
      <c r="E352" s="209" t="s">
        <v>199</v>
      </c>
      <c r="F352" s="210"/>
      <c r="G352" s="170">
        <v>34</v>
      </c>
      <c r="H352" s="72"/>
      <c r="I352" s="33"/>
      <c r="J352" s="33"/>
      <c r="K352" s="33"/>
      <c r="L352" s="63"/>
      <c r="M352" s="14"/>
      <c r="N352" s="15"/>
      <c r="O352" s="15"/>
      <c r="P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3"/>
      <c r="AI352" s="3"/>
      <c r="AJ352" s="3"/>
      <c r="AK352" s="15"/>
      <c r="AL352" s="15"/>
      <c r="AM352" s="3"/>
      <c r="AN352" s="15"/>
      <c r="AO352" s="3"/>
      <c r="AP352" s="3"/>
      <c r="AQ352" s="3"/>
      <c r="AR352" s="15"/>
      <c r="AW352" s="3"/>
      <c r="AX352" s="15"/>
      <c r="AY352" s="15"/>
      <c r="AZ352" s="15"/>
      <c r="BA352" s="3"/>
      <c r="BB352" s="3"/>
      <c r="BC352" s="15"/>
      <c r="BD352" s="3"/>
      <c r="BE352" s="3"/>
      <c r="BF352" s="3"/>
      <c r="BG352" s="3"/>
      <c r="BH352" s="15"/>
    </row>
    <row r="353" spans="2:60" ht="15" customHeight="1" x14ac:dyDescent="0.4">
      <c r="B353" s="68"/>
      <c r="C353" s="69"/>
      <c r="D353" s="198"/>
      <c r="E353" s="211"/>
      <c r="F353" s="212"/>
      <c r="G353" s="171"/>
      <c r="H353" s="73"/>
      <c r="I353" s="33"/>
      <c r="J353" s="33"/>
      <c r="K353" s="33"/>
      <c r="L353" s="63"/>
      <c r="M353" s="14"/>
      <c r="N353" s="15"/>
      <c r="O353" s="15"/>
      <c r="P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3"/>
      <c r="AI353" s="3"/>
      <c r="AJ353" s="3"/>
      <c r="AL353" s="65"/>
      <c r="AM353" s="67"/>
      <c r="AN353" s="15"/>
      <c r="AO353" s="3"/>
      <c r="AP353" s="3"/>
      <c r="AQ353" s="3"/>
      <c r="AR353" s="15"/>
      <c r="AW353" s="3"/>
      <c r="AX353" s="15"/>
      <c r="AY353" s="15"/>
      <c r="AZ353" s="15"/>
      <c r="BA353" s="3"/>
      <c r="BB353" s="3"/>
      <c r="BC353" s="15"/>
      <c r="BD353" s="3"/>
      <c r="BE353" s="3"/>
      <c r="BF353" s="3"/>
      <c r="BG353" s="3"/>
      <c r="BH353" s="15"/>
    </row>
    <row r="354" spans="2:60" ht="15" customHeight="1" x14ac:dyDescent="0.4">
      <c r="B354" s="68"/>
      <c r="C354" s="69"/>
      <c r="D354" s="198"/>
      <c r="E354" s="213"/>
      <c r="F354" s="214"/>
      <c r="G354" s="172"/>
      <c r="H354" s="74"/>
      <c r="I354" s="33"/>
      <c r="J354" s="33"/>
      <c r="K354" s="33"/>
      <c r="L354" s="33"/>
      <c r="M354" s="14"/>
      <c r="N354" s="15"/>
      <c r="O354" s="15"/>
      <c r="P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3"/>
      <c r="AI354" s="3"/>
      <c r="AJ354" s="3"/>
      <c r="AK354" s="15"/>
      <c r="AL354" s="15"/>
      <c r="AM354" s="3"/>
      <c r="AN354" s="15"/>
      <c r="AO354" s="3"/>
      <c r="AP354" s="3"/>
      <c r="AQ354" s="3"/>
      <c r="AR354" s="15"/>
      <c r="AW354" s="3"/>
      <c r="AX354" s="15"/>
      <c r="AY354" s="15"/>
      <c r="AZ354" s="15"/>
      <c r="BA354" s="3"/>
      <c r="BB354" s="3"/>
      <c r="BC354" s="15"/>
      <c r="BD354" s="3"/>
      <c r="BE354" s="3"/>
      <c r="BF354" s="3"/>
      <c r="BG354" s="3"/>
      <c r="BH354" s="15"/>
    </row>
    <row r="355" spans="2:60" ht="15" customHeight="1" x14ac:dyDescent="0.4">
      <c r="B355" s="68"/>
      <c r="C355" s="69"/>
      <c r="D355" s="197" t="s">
        <v>141</v>
      </c>
      <c r="E355" s="209" t="s">
        <v>200</v>
      </c>
      <c r="F355" s="210"/>
      <c r="G355" s="170">
        <v>34</v>
      </c>
      <c r="H355" s="72"/>
      <c r="I355" s="33"/>
      <c r="J355" s="33"/>
      <c r="K355" s="33"/>
      <c r="L355" s="63"/>
      <c r="M355" s="14"/>
      <c r="N355" s="15"/>
      <c r="O355" s="15"/>
      <c r="P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3"/>
      <c r="AI355" s="3"/>
      <c r="AJ355" s="3"/>
      <c r="AK355" s="15"/>
      <c r="AL355" s="15"/>
      <c r="AM355" s="3"/>
      <c r="AN355" s="15"/>
      <c r="AO355" s="3"/>
      <c r="AP355" s="3"/>
      <c r="AQ355" s="3"/>
      <c r="AR355" s="15"/>
      <c r="AW355" s="3"/>
      <c r="AX355" s="15"/>
      <c r="AY355" s="15"/>
      <c r="AZ355" s="15"/>
      <c r="BA355" s="3"/>
      <c r="BB355" s="3"/>
      <c r="BC355" s="15"/>
      <c r="BD355" s="3"/>
      <c r="BE355" s="3"/>
      <c r="BF355" s="3"/>
      <c r="BG355" s="3"/>
      <c r="BH355" s="15"/>
    </row>
    <row r="356" spans="2:60" ht="15" customHeight="1" x14ac:dyDescent="0.4">
      <c r="B356" s="68"/>
      <c r="C356" s="69"/>
      <c r="D356" s="198"/>
      <c r="E356" s="211"/>
      <c r="F356" s="212"/>
      <c r="G356" s="171"/>
      <c r="H356" s="73"/>
      <c r="I356" s="33"/>
      <c r="J356" s="33"/>
      <c r="K356" s="33"/>
      <c r="L356" s="63"/>
      <c r="M356" s="14"/>
      <c r="N356" s="15"/>
      <c r="O356" s="15"/>
      <c r="P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3"/>
      <c r="AI356" s="3"/>
      <c r="AJ356" s="3"/>
      <c r="AK356" s="15"/>
      <c r="AM356" s="65"/>
      <c r="AN356" s="67"/>
      <c r="AO356" s="3"/>
      <c r="AP356" s="3"/>
      <c r="AQ356" s="3"/>
      <c r="AR356" s="15"/>
      <c r="AW356" s="3"/>
      <c r="AX356" s="15"/>
      <c r="AY356" s="15"/>
      <c r="AZ356" s="15"/>
      <c r="BA356" s="3"/>
      <c r="BB356" s="3"/>
      <c r="BC356" s="15"/>
      <c r="BD356" s="3"/>
      <c r="BE356" s="3"/>
      <c r="BF356" s="3"/>
      <c r="BG356" s="3"/>
      <c r="BH356" s="15"/>
    </row>
    <row r="357" spans="2:60" ht="15" customHeight="1" x14ac:dyDescent="0.4">
      <c r="B357" s="68"/>
      <c r="C357" s="69"/>
      <c r="D357" s="198"/>
      <c r="E357" s="213"/>
      <c r="F357" s="214"/>
      <c r="G357" s="172"/>
      <c r="H357" s="74"/>
      <c r="I357" s="33"/>
      <c r="J357" s="33"/>
      <c r="K357" s="33"/>
      <c r="L357" s="33"/>
      <c r="M357" s="14"/>
      <c r="N357" s="15"/>
      <c r="O357" s="15"/>
      <c r="P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15"/>
      <c r="AW357" s="3"/>
      <c r="AX357" s="15"/>
      <c r="AY357" s="15"/>
      <c r="AZ357" s="15"/>
      <c r="BA357" s="3"/>
      <c r="BB357" s="3"/>
      <c r="BC357" s="15"/>
      <c r="BD357" s="3"/>
      <c r="BE357" s="3"/>
      <c r="BF357" s="3"/>
      <c r="BG357" s="3"/>
      <c r="BH357" s="15"/>
    </row>
    <row r="358" spans="2:60" ht="15" customHeight="1" x14ac:dyDescent="0.4">
      <c r="B358" s="106"/>
      <c r="C358" s="184" t="s">
        <v>33</v>
      </c>
      <c r="D358" s="187" t="s">
        <v>201</v>
      </c>
      <c r="E358" s="188"/>
      <c r="F358" s="189"/>
      <c r="G358" s="51"/>
      <c r="H358" s="121">
        <f>SUM(G361:G366)</f>
        <v>48</v>
      </c>
      <c r="I358" s="33"/>
      <c r="J358" s="33"/>
      <c r="K358" s="124">
        <f>H358*$J$8</f>
        <v>13506</v>
      </c>
      <c r="M358" s="14"/>
      <c r="N358" s="3"/>
      <c r="O358" s="15"/>
      <c r="P358" s="15"/>
      <c r="Y358" s="15"/>
      <c r="Z358" s="15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15"/>
      <c r="AM358" s="15"/>
      <c r="AN358" s="15"/>
      <c r="AO358" s="3"/>
      <c r="AP358" s="3"/>
      <c r="AQ358" s="3"/>
      <c r="AR358" s="15"/>
      <c r="AW358" s="3"/>
      <c r="AX358" s="15"/>
      <c r="AY358" s="15"/>
      <c r="AZ358" s="15"/>
      <c r="BA358" s="3"/>
      <c r="BB358" s="3"/>
      <c r="BC358" s="15"/>
      <c r="BD358" s="3"/>
      <c r="BE358" s="3"/>
      <c r="BF358" s="3"/>
      <c r="BG358" s="3"/>
      <c r="BH358" s="15"/>
    </row>
    <row r="359" spans="2:60" ht="15" customHeight="1" x14ac:dyDescent="0.4">
      <c r="B359" s="156"/>
      <c r="C359" s="201"/>
      <c r="D359" s="190"/>
      <c r="E359" s="191"/>
      <c r="F359" s="192"/>
      <c r="G359" s="51"/>
      <c r="H359" s="122"/>
      <c r="I359" s="33"/>
      <c r="J359" s="33"/>
      <c r="K359" s="124"/>
      <c r="M359" s="14"/>
      <c r="N359" s="15"/>
      <c r="O359" s="15"/>
      <c r="P359" s="15"/>
      <c r="Y359" s="15"/>
      <c r="Z359" s="15"/>
      <c r="AA359" s="15"/>
      <c r="AB359" s="15"/>
      <c r="AC359" s="59"/>
      <c r="AD359" s="60"/>
      <c r="AE359" s="60"/>
      <c r="AF359" s="61"/>
      <c r="AG359" s="15"/>
      <c r="AH359" s="15"/>
      <c r="AI359" s="15"/>
      <c r="AJ359" s="15"/>
      <c r="AK359" s="15"/>
      <c r="AL359" s="15"/>
      <c r="AM359" s="15"/>
      <c r="AN359" s="15"/>
      <c r="AO359" s="3"/>
      <c r="AP359" s="3"/>
      <c r="AQ359" s="3"/>
      <c r="AR359" s="3"/>
      <c r="AW359" s="3"/>
      <c r="AX359" s="15"/>
      <c r="AY359" s="15"/>
      <c r="AZ359" s="15"/>
      <c r="BA359" s="3"/>
      <c r="BB359" s="3"/>
      <c r="BC359" s="15"/>
      <c r="BD359" s="3"/>
      <c r="BE359" s="3"/>
      <c r="BF359" s="3"/>
      <c r="BG359" s="3"/>
      <c r="BH359" s="15"/>
    </row>
    <row r="360" spans="2:60" ht="15" customHeight="1" x14ac:dyDescent="0.4">
      <c r="B360" s="157"/>
      <c r="C360" s="202"/>
      <c r="D360" s="193"/>
      <c r="E360" s="194"/>
      <c r="F360" s="195"/>
      <c r="G360" s="51"/>
      <c r="H360" s="123"/>
      <c r="I360" s="33"/>
      <c r="J360" s="33"/>
      <c r="K360" s="124"/>
      <c r="M360" s="14"/>
      <c r="N360" s="15"/>
      <c r="O360" s="15"/>
      <c r="P360" s="15"/>
      <c r="Y360" s="15"/>
      <c r="Z360" s="15"/>
      <c r="AA360" s="15"/>
      <c r="AB360" s="15"/>
      <c r="AC360" s="15"/>
      <c r="AD360" s="3"/>
      <c r="AE360" s="3"/>
      <c r="AF360" s="3"/>
      <c r="AG360" s="3"/>
      <c r="AH360" s="3"/>
      <c r="AI360" s="3"/>
      <c r="AJ360" s="3"/>
      <c r="AK360" s="3"/>
      <c r="AL360" s="15"/>
      <c r="AM360" s="15"/>
      <c r="AN360" s="15"/>
      <c r="AO360" s="3"/>
      <c r="AP360" s="3"/>
      <c r="AQ360" s="3"/>
      <c r="AR360" s="3"/>
      <c r="AW360" s="3"/>
      <c r="AX360" s="15"/>
      <c r="AY360" s="15"/>
      <c r="AZ360" s="15"/>
      <c r="BA360" s="3"/>
      <c r="BB360" s="3"/>
      <c r="BC360" s="15"/>
      <c r="BD360" s="3"/>
      <c r="BE360" s="3"/>
      <c r="BF360" s="3"/>
      <c r="BG360" s="3"/>
      <c r="BH360" s="15"/>
    </row>
    <row r="361" spans="2:60" ht="15" customHeight="1" x14ac:dyDescent="0.4">
      <c r="B361" s="196"/>
      <c r="C361" s="196"/>
      <c r="D361" s="197" t="s">
        <v>202</v>
      </c>
      <c r="E361" s="199" t="s">
        <v>203</v>
      </c>
      <c r="F361" s="199"/>
      <c r="G361" s="170">
        <v>24</v>
      </c>
      <c r="H361" s="72"/>
      <c r="I361" s="63"/>
      <c r="J361" s="64"/>
      <c r="K361" s="64"/>
      <c r="L361" s="33"/>
      <c r="M361" s="14"/>
      <c r="N361" s="15"/>
      <c r="O361" s="15"/>
      <c r="P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3"/>
      <c r="AI361" s="3"/>
      <c r="AJ361" s="3"/>
      <c r="AK361" s="15"/>
      <c r="AL361" s="3"/>
      <c r="AM361" s="3"/>
      <c r="AN361" s="3"/>
      <c r="AO361" s="3"/>
      <c r="AP361" s="3"/>
      <c r="AQ361" s="3"/>
      <c r="AR361" s="15"/>
      <c r="BA361" s="15"/>
      <c r="BB361" s="3"/>
      <c r="BC361" s="15"/>
      <c r="BD361" s="3"/>
      <c r="BE361" s="3"/>
      <c r="BF361" s="3"/>
      <c r="BG361" s="3"/>
      <c r="BH361" s="15"/>
    </row>
    <row r="362" spans="2:60" ht="15" customHeight="1" x14ac:dyDescent="0.4">
      <c r="B362" s="196"/>
      <c r="C362" s="196"/>
      <c r="D362" s="198"/>
      <c r="E362" s="199"/>
      <c r="F362" s="199"/>
      <c r="G362" s="171"/>
      <c r="H362" s="73"/>
      <c r="I362" s="63"/>
      <c r="J362" s="63"/>
      <c r="K362" s="63"/>
      <c r="L362" s="33"/>
      <c r="M362" s="14"/>
      <c r="N362" s="15"/>
      <c r="O362" s="15"/>
      <c r="P362" s="15"/>
      <c r="AC362" s="65"/>
      <c r="AD362" s="67"/>
      <c r="AE362" s="3"/>
      <c r="BB362" s="3"/>
      <c r="BC362" s="15"/>
      <c r="BD362" s="3"/>
      <c r="BE362" s="3"/>
      <c r="BF362" s="3"/>
      <c r="BG362" s="3"/>
      <c r="BH362" s="15"/>
    </row>
    <row r="363" spans="2:60" ht="15" customHeight="1" x14ac:dyDescent="0.4">
      <c r="B363" s="196"/>
      <c r="C363" s="196"/>
      <c r="D363" s="198"/>
      <c r="E363" s="199"/>
      <c r="F363" s="199"/>
      <c r="G363" s="172"/>
      <c r="H363" s="74"/>
      <c r="I363" s="63"/>
      <c r="J363" s="63"/>
      <c r="K363" s="63"/>
      <c r="L363" s="33"/>
      <c r="M363" s="14"/>
      <c r="N363" s="15"/>
      <c r="O363" s="15"/>
      <c r="P363" s="15"/>
      <c r="Y363" s="15"/>
      <c r="Z363" s="15"/>
      <c r="AA363" s="15"/>
      <c r="AB363" s="15"/>
      <c r="AC363" s="15"/>
      <c r="AD363" s="15"/>
      <c r="AE363" s="3"/>
      <c r="AF363" s="15"/>
      <c r="AG363" s="15"/>
      <c r="AH363" s="3"/>
      <c r="AI363" s="3"/>
      <c r="AJ363" s="3"/>
      <c r="AK363" s="15"/>
      <c r="AL363" s="3"/>
      <c r="AM363" s="3"/>
      <c r="AN363" s="3"/>
      <c r="AO363" s="3"/>
      <c r="AP363" s="3"/>
      <c r="AQ363" s="3"/>
      <c r="AR363" s="15"/>
      <c r="BB363" s="3"/>
      <c r="BC363" s="15"/>
      <c r="BD363" s="3"/>
      <c r="BE363" s="3"/>
      <c r="BF363" s="3"/>
      <c r="BG363" s="3"/>
      <c r="BH363" s="15"/>
    </row>
    <row r="364" spans="2:60" ht="15" customHeight="1" x14ac:dyDescent="0.4">
      <c r="B364" s="68"/>
      <c r="C364" s="69"/>
      <c r="D364" s="197" t="s">
        <v>204</v>
      </c>
      <c r="E364" s="209" t="s">
        <v>205</v>
      </c>
      <c r="F364" s="210"/>
      <c r="G364" s="170">
        <v>24</v>
      </c>
      <c r="H364" s="72"/>
      <c r="I364" s="33"/>
      <c r="J364" s="33"/>
      <c r="K364" s="33"/>
      <c r="L364" s="63"/>
      <c r="M364" s="14"/>
      <c r="N364" s="15"/>
      <c r="O364" s="15"/>
      <c r="P364" s="15"/>
      <c r="Y364" s="15"/>
      <c r="Z364" s="15"/>
      <c r="AA364" s="15"/>
      <c r="AB364" s="15"/>
      <c r="AC364" s="15"/>
      <c r="AD364" s="15"/>
      <c r="AE364" s="3"/>
      <c r="AF364" s="15"/>
      <c r="AG364" s="15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15"/>
      <c r="BB364" s="3"/>
      <c r="BC364" s="15"/>
      <c r="BD364" s="3"/>
      <c r="BE364" s="3"/>
      <c r="BF364" s="3"/>
      <c r="BG364" s="3"/>
      <c r="BH364" s="15"/>
    </row>
    <row r="365" spans="2:60" ht="15" customHeight="1" x14ac:dyDescent="0.4">
      <c r="B365" s="68"/>
      <c r="C365" s="69"/>
      <c r="D365" s="198"/>
      <c r="E365" s="211"/>
      <c r="F365" s="212"/>
      <c r="G365" s="171"/>
      <c r="H365" s="73"/>
      <c r="I365" s="33"/>
      <c r="J365" s="33"/>
      <c r="K365" s="33"/>
      <c r="L365" s="63"/>
      <c r="M365" s="14"/>
      <c r="N365" s="15"/>
      <c r="O365" s="15"/>
      <c r="P365" s="15"/>
      <c r="Y365" s="15"/>
      <c r="Z365" s="15"/>
      <c r="AA365" s="15"/>
      <c r="AB365" s="15"/>
      <c r="AE365" s="65"/>
      <c r="AF365" s="67"/>
      <c r="AG365" s="15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15"/>
      <c r="BB365" s="3"/>
      <c r="BC365" s="15"/>
      <c r="BD365" s="3"/>
      <c r="BE365" s="3"/>
      <c r="BF365" s="3"/>
      <c r="BG365" s="3"/>
      <c r="BH365" s="15"/>
    </row>
    <row r="366" spans="2:60" ht="15" customHeight="1" x14ac:dyDescent="0.4">
      <c r="B366" s="68"/>
      <c r="C366" s="69"/>
      <c r="D366" s="198"/>
      <c r="E366" s="213"/>
      <c r="F366" s="214"/>
      <c r="G366" s="172"/>
      <c r="H366" s="74"/>
      <c r="I366" s="33"/>
      <c r="J366" s="33"/>
      <c r="K366" s="33"/>
      <c r="L366" s="33"/>
      <c r="M366" s="14"/>
      <c r="N366" s="15"/>
      <c r="O366" s="15"/>
      <c r="P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15"/>
      <c r="BB366" s="3"/>
      <c r="BC366" s="15"/>
      <c r="BD366" s="3"/>
      <c r="BE366" s="3"/>
      <c r="BF366" s="3"/>
      <c r="BG366" s="3"/>
      <c r="BH366" s="15"/>
    </row>
    <row r="367" spans="2:60" ht="15" customHeight="1" x14ac:dyDescent="0.4">
      <c r="B367" s="106"/>
      <c r="C367" s="184" t="s">
        <v>35</v>
      </c>
      <c r="D367" s="187" t="s">
        <v>206</v>
      </c>
      <c r="E367" s="188"/>
      <c r="F367" s="189"/>
      <c r="G367" s="51"/>
      <c r="H367" s="121">
        <f>SUM(G370:G381)</f>
        <v>100</v>
      </c>
      <c r="I367" s="33"/>
      <c r="J367" s="33"/>
      <c r="K367" s="124">
        <f>H367*$J$8</f>
        <v>28137.5</v>
      </c>
      <c r="M367" s="14"/>
      <c r="N367" s="3"/>
      <c r="O367" s="15"/>
      <c r="P367" s="15"/>
      <c r="Y367" s="15"/>
      <c r="Z367" s="15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15"/>
      <c r="AM367" s="15"/>
      <c r="AN367" s="15"/>
      <c r="AO367" s="3"/>
      <c r="AP367" s="3"/>
      <c r="AQ367" s="3"/>
      <c r="AR367" s="15"/>
      <c r="AW367" s="3"/>
      <c r="AX367" s="15"/>
      <c r="AY367" s="15"/>
      <c r="AZ367" s="15"/>
      <c r="BA367" s="3"/>
      <c r="BB367" s="3"/>
      <c r="BC367" s="15"/>
      <c r="BD367" s="3"/>
      <c r="BE367" s="3"/>
      <c r="BF367" s="3"/>
      <c r="BG367" s="3"/>
      <c r="BH367" s="15"/>
    </row>
    <row r="368" spans="2:60" ht="15" customHeight="1" x14ac:dyDescent="0.4">
      <c r="B368" s="156"/>
      <c r="C368" s="201"/>
      <c r="D368" s="190"/>
      <c r="E368" s="191"/>
      <c r="F368" s="192"/>
      <c r="G368" s="51"/>
      <c r="H368" s="122"/>
      <c r="I368" s="33"/>
      <c r="J368" s="33"/>
      <c r="K368" s="124"/>
      <c r="M368" s="14"/>
      <c r="N368" s="15"/>
      <c r="O368" s="15"/>
      <c r="P368" s="15"/>
      <c r="Y368" s="15"/>
      <c r="Z368" s="15"/>
      <c r="AA368" s="15"/>
      <c r="AB368" s="15"/>
      <c r="AF368" s="59"/>
      <c r="AG368" s="60"/>
      <c r="AH368" s="60"/>
      <c r="AI368" s="61"/>
      <c r="AJ368" s="15"/>
      <c r="AK368" s="15"/>
      <c r="AL368" s="15"/>
      <c r="AM368" s="15"/>
      <c r="AN368" s="15"/>
      <c r="AO368" s="3"/>
      <c r="AP368" s="3"/>
      <c r="AQ368" s="3"/>
      <c r="AR368" s="3"/>
      <c r="AW368" s="3"/>
      <c r="AX368" s="15"/>
      <c r="AY368" s="15"/>
      <c r="AZ368" s="15"/>
      <c r="BA368" s="3"/>
      <c r="BB368" s="3"/>
      <c r="BC368" s="15"/>
      <c r="BD368" s="3"/>
      <c r="BE368" s="3"/>
      <c r="BF368" s="3"/>
      <c r="BG368" s="3"/>
      <c r="BH368" s="15"/>
    </row>
    <row r="369" spans="2:60" ht="15" customHeight="1" x14ac:dyDescent="0.4">
      <c r="B369" s="157"/>
      <c r="C369" s="202"/>
      <c r="D369" s="193"/>
      <c r="E369" s="194"/>
      <c r="F369" s="195"/>
      <c r="G369" s="51"/>
      <c r="H369" s="123"/>
      <c r="I369" s="33"/>
      <c r="J369" s="33"/>
      <c r="K369" s="124"/>
      <c r="M369" s="14"/>
      <c r="N369" s="15"/>
      <c r="O369" s="15"/>
      <c r="P369" s="15"/>
      <c r="Y369" s="15"/>
      <c r="Z369" s="15"/>
      <c r="AA369" s="15"/>
      <c r="AB369" s="15"/>
      <c r="AC369" s="15"/>
      <c r="AD369" s="3"/>
      <c r="AE369" s="3"/>
      <c r="AF369" s="3"/>
      <c r="AG369" s="3"/>
      <c r="AH369" s="3"/>
      <c r="AI369" s="3"/>
      <c r="AJ369" s="3"/>
      <c r="AK369" s="3"/>
      <c r="AL369" s="15"/>
      <c r="AM369" s="15"/>
      <c r="AN369" s="15"/>
      <c r="AO369" s="3"/>
      <c r="AP369" s="3"/>
      <c r="AQ369" s="3"/>
      <c r="AR369" s="3"/>
      <c r="AW369" s="3"/>
      <c r="AX369" s="15"/>
      <c r="AY369" s="15"/>
      <c r="AZ369" s="15"/>
      <c r="BA369" s="3"/>
      <c r="BB369" s="3"/>
      <c r="BC369" s="15"/>
      <c r="BD369" s="3"/>
      <c r="BE369" s="3"/>
      <c r="BF369" s="3"/>
      <c r="BG369" s="3"/>
      <c r="BH369" s="15"/>
    </row>
    <row r="370" spans="2:60" ht="15" customHeight="1" x14ac:dyDescent="0.4">
      <c r="B370" s="196"/>
      <c r="C370" s="196"/>
      <c r="D370" s="197" t="s">
        <v>207</v>
      </c>
      <c r="E370" s="199" t="s">
        <v>208</v>
      </c>
      <c r="F370" s="199"/>
      <c r="G370" s="170">
        <v>25</v>
      </c>
      <c r="H370" s="72"/>
      <c r="I370" s="63"/>
      <c r="J370" s="64"/>
      <c r="K370" s="64"/>
      <c r="L370" s="33"/>
      <c r="M370" s="14"/>
      <c r="N370" s="15"/>
      <c r="O370" s="15"/>
      <c r="P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3"/>
      <c r="AI370" s="3"/>
      <c r="AJ370" s="3"/>
      <c r="AK370" s="15"/>
      <c r="AL370" s="15"/>
      <c r="AM370" s="15"/>
      <c r="AN370" s="15"/>
      <c r="AO370" s="3"/>
      <c r="AP370" s="3"/>
      <c r="AQ370" s="3"/>
      <c r="AR370" s="15"/>
      <c r="AW370" s="3"/>
      <c r="AX370" s="15"/>
      <c r="AY370" s="15"/>
      <c r="AZ370" s="15"/>
      <c r="BA370" s="3"/>
      <c r="BB370" s="3"/>
      <c r="BC370" s="15"/>
      <c r="BD370" s="3"/>
      <c r="BE370" s="3"/>
      <c r="BF370" s="3"/>
      <c r="BG370" s="3"/>
      <c r="BH370" s="15"/>
    </row>
    <row r="371" spans="2:60" ht="15" customHeight="1" x14ac:dyDescent="0.4">
      <c r="B371" s="196"/>
      <c r="C371" s="196"/>
      <c r="D371" s="198"/>
      <c r="E371" s="199"/>
      <c r="F371" s="199"/>
      <c r="G371" s="171"/>
      <c r="H371" s="73"/>
      <c r="I371" s="63"/>
      <c r="J371" s="63"/>
      <c r="K371" s="63"/>
      <c r="L371" s="33"/>
      <c r="M371" s="14"/>
      <c r="N371" s="15"/>
      <c r="O371" s="15"/>
      <c r="P371" s="15"/>
      <c r="AF371" s="65"/>
      <c r="AG371" s="67"/>
      <c r="AM371" s="3"/>
      <c r="AQ371" s="3"/>
      <c r="AR371" s="15"/>
      <c r="AW371" s="3"/>
      <c r="AX371" s="15"/>
      <c r="AY371" s="15"/>
      <c r="AZ371" s="15"/>
      <c r="BA371" s="3"/>
      <c r="BB371" s="3"/>
      <c r="BC371" s="15"/>
      <c r="BD371" s="3"/>
      <c r="BE371" s="3"/>
      <c r="BF371" s="3"/>
      <c r="BG371" s="3"/>
      <c r="BH371" s="15"/>
    </row>
    <row r="372" spans="2:60" ht="15" customHeight="1" x14ac:dyDescent="0.4">
      <c r="B372" s="196"/>
      <c r="C372" s="196"/>
      <c r="D372" s="198"/>
      <c r="E372" s="199"/>
      <c r="F372" s="199"/>
      <c r="G372" s="172"/>
      <c r="H372" s="74"/>
      <c r="I372" s="63"/>
      <c r="J372" s="63"/>
      <c r="K372" s="63"/>
      <c r="L372" s="33"/>
      <c r="M372" s="14"/>
      <c r="N372" s="15"/>
      <c r="O372" s="15"/>
      <c r="P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3"/>
      <c r="AI372" s="3"/>
      <c r="AJ372" s="3"/>
      <c r="AK372" s="15"/>
      <c r="AL372" s="15"/>
      <c r="AM372" s="3"/>
      <c r="AN372" s="15"/>
      <c r="AO372" s="3"/>
      <c r="AP372" s="3"/>
      <c r="AQ372" s="3"/>
      <c r="AR372" s="15"/>
      <c r="AW372" s="3"/>
      <c r="AX372" s="15"/>
      <c r="AY372" s="15"/>
      <c r="AZ372" s="15"/>
      <c r="BA372" s="3"/>
      <c r="BB372" s="3"/>
      <c r="BC372" s="15"/>
      <c r="BD372" s="3"/>
      <c r="BE372" s="3"/>
      <c r="BF372" s="3"/>
      <c r="BG372" s="3"/>
      <c r="BH372" s="15"/>
    </row>
    <row r="373" spans="2:60" ht="15" customHeight="1" x14ac:dyDescent="0.4">
      <c r="B373" s="68"/>
      <c r="C373" s="69"/>
      <c r="D373" s="197" t="s">
        <v>209</v>
      </c>
      <c r="E373" s="209" t="s">
        <v>210</v>
      </c>
      <c r="F373" s="210"/>
      <c r="G373" s="170">
        <v>25</v>
      </c>
      <c r="H373" s="72"/>
      <c r="I373" s="33"/>
      <c r="J373" s="33"/>
      <c r="K373" s="33"/>
      <c r="L373" s="63"/>
      <c r="M373" s="14"/>
      <c r="N373" s="15"/>
      <c r="O373" s="15"/>
      <c r="P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3"/>
      <c r="AI373" s="3"/>
      <c r="AJ373" s="3"/>
      <c r="AK373" s="15"/>
      <c r="AL373" s="15"/>
      <c r="AM373" s="3"/>
      <c r="AN373" s="15"/>
      <c r="AO373" s="3"/>
      <c r="AP373" s="3"/>
      <c r="AQ373" s="3"/>
      <c r="AR373" s="15"/>
      <c r="AW373" s="3"/>
      <c r="AX373" s="15"/>
      <c r="AY373" s="15"/>
      <c r="AZ373" s="15"/>
      <c r="BA373" s="3"/>
      <c r="BB373" s="3"/>
      <c r="BC373" s="15"/>
      <c r="BD373" s="3"/>
      <c r="BE373" s="3"/>
      <c r="BF373" s="3"/>
      <c r="BG373" s="3"/>
      <c r="BH373" s="15"/>
    </row>
    <row r="374" spans="2:60" ht="15" customHeight="1" x14ac:dyDescent="0.4">
      <c r="B374" s="68"/>
      <c r="C374" s="69"/>
      <c r="D374" s="198"/>
      <c r="E374" s="211"/>
      <c r="F374" s="212"/>
      <c r="G374" s="171"/>
      <c r="H374" s="73"/>
      <c r="I374" s="33"/>
      <c r="J374" s="33"/>
      <c r="K374" s="33"/>
      <c r="L374" s="63"/>
      <c r="M374" s="14"/>
      <c r="N374" s="15"/>
      <c r="O374" s="15"/>
      <c r="P374" s="15"/>
      <c r="Y374" s="15"/>
      <c r="Z374" s="15"/>
      <c r="AA374" s="15"/>
      <c r="AB374" s="15"/>
      <c r="AC374" s="15"/>
      <c r="AD374" s="15"/>
      <c r="AE374" s="15"/>
      <c r="AF374" s="15"/>
      <c r="AG374" s="65"/>
      <c r="AH374" s="67"/>
      <c r="AI374" s="3"/>
      <c r="AJ374" s="3"/>
      <c r="AN374" s="15"/>
      <c r="AO374" s="3"/>
      <c r="AP374" s="3"/>
      <c r="AQ374" s="3"/>
      <c r="AR374" s="15"/>
      <c r="AW374" s="3"/>
      <c r="AX374" s="15"/>
      <c r="AY374" s="15"/>
      <c r="AZ374" s="15"/>
      <c r="BA374" s="3"/>
      <c r="BB374" s="3"/>
      <c r="BC374" s="15"/>
      <c r="BD374" s="3"/>
      <c r="BE374" s="3"/>
      <c r="BF374" s="3"/>
      <c r="BG374" s="3"/>
      <c r="BH374" s="15"/>
    </row>
    <row r="375" spans="2:60" ht="15" customHeight="1" x14ac:dyDescent="0.4">
      <c r="B375" s="68"/>
      <c r="C375" s="69"/>
      <c r="D375" s="198"/>
      <c r="E375" s="213"/>
      <c r="F375" s="214"/>
      <c r="G375" s="172"/>
      <c r="H375" s="74"/>
      <c r="I375" s="33"/>
      <c r="J375" s="33"/>
      <c r="K375" s="33"/>
      <c r="L375" s="33"/>
      <c r="M375" s="14"/>
      <c r="N375" s="15"/>
      <c r="O375" s="15"/>
      <c r="P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3"/>
      <c r="AI375" s="3"/>
      <c r="AJ375" s="3"/>
      <c r="AK375" s="15"/>
      <c r="AL375" s="15"/>
      <c r="AM375" s="3"/>
      <c r="AN375" s="15"/>
      <c r="AO375" s="3"/>
      <c r="AP375" s="3"/>
      <c r="AQ375" s="3"/>
      <c r="AR375" s="15"/>
      <c r="AW375" s="3"/>
      <c r="AX375" s="15"/>
      <c r="AY375" s="15"/>
      <c r="AZ375" s="15"/>
      <c r="BA375" s="3"/>
      <c r="BB375" s="3"/>
      <c r="BC375" s="15"/>
      <c r="BD375" s="3"/>
      <c r="BE375" s="3"/>
      <c r="BF375" s="3"/>
      <c r="BG375" s="3"/>
      <c r="BH375" s="15"/>
    </row>
    <row r="376" spans="2:60" ht="15" customHeight="1" x14ac:dyDescent="0.4">
      <c r="B376" s="68"/>
      <c r="C376" s="69"/>
      <c r="D376" s="197" t="s">
        <v>211</v>
      </c>
      <c r="E376" s="209" t="s">
        <v>212</v>
      </c>
      <c r="F376" s="210"/>
      <c r="G376" s="170">
        <v>25</v>
      </c>
      <c r="H376" s="72"/>
      <c r="I376" s="33"/>
      <c r="J376" s="33"/>
      <c r="K376" s="33"/>
      <c r="L376" s="63"/>
      <c r="M376" s="14"/>
      <c r="N376" s="15"/>
      <c r="O376" s="15"/>
      <c r="P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3"/>
      <c r="AI376" s="3"/>
      <c r="AJ376" s="3"/>
      <c r="AK376" s="15"/>
      <c r="AL376" s="15"/>
      <c r="AM376" s="3"/>
      <c r="AN376" s="15"/>
      <c r="AO376" s="3"/>
      <c r="AP376" s="3"/>
      <c r="AQ376" s="3"/>
      <c r="AR376" s="15"/>
      <c r="AW376" s="3"/>
      <c r="AX376" s="15"/>
      <c r="AY376" s="15"/>
      <c r="AZ376" s="15"/>
      <c r="BA376" s="3"/>
      <c r="BB376" s="3"/>
      <c r="BC376" s="15"/>
      <c r="BD376" s="3"/>
      <c r="BE376" s="3"/>
      <c r="BF376" s="3"/>
      <c r="BG376" s="3"/>
      <c r="BH376" s="15"/>
    </row>
    <row r="377" spans="2:60" ht="15" customHeight="1" x14ac:dyDescent="0.4">
      <c r="B377" s="68"/>
      <c r="C377" s="69"/>
      <c r="D377" s="198"/>
      <c r="E377" s="211"/>
      <c r="F377" s="212"/>
      <c r="G377" s="171"/>
      <c r="H377" s="73"/>
      <c r="I377" s="33"/>
      <c r="J377" s="33"/>
      <c r="K377" s="33"/>
      <c r="L377" s="63"/>
      <c r="M377" s="14"/>
      <c r="N377" s="15"/>
      <c r="O377" s="15"/>
      <c r="P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65"/>
      <c r="AI377" s="67"/>
      <c r="AJ377" s="3"/>
      <c r="AK377" s="15"/>
      <c r="AO377" s="3"/>
      <c r="AP377" s="3"/>
      <c r="AQ377" s="3"/>
      <c r="AR377" s="15"/>
      <c r="AW377" s="3"/>
      <c r="AX377" s="15"/>
      <c r="AY377" s="15"/>
      <c r="AZ377" s="15"/>
      <c r="BA377" s="3"/>
      <c r="BB377" s="3"/>
      <c r="BC377" s="15"/>
      <c r="BD377" s="3"/>
      <c r="BE377" s="3"/>
      <c r="BF377" s="3"/>
      <c r="BG377" s="3"/>
      <c r="BH377" s="15"/>
    </row>
    <row r="378" spans="2:60" ht="15" customHeight="1" x14ac:dyDescent="0.4">
      <c r="B378" s="68"/>
      <c r="C378" s="69"/>
      <c r="D378" s="198"/>
      <c r="E378" s="213"/>
      <c r="F378" s="214"/>
      <c r="G378" s="172"/>
      <c r="H378" s="74"/>
      <c r="I378" s="33"/>
      <c r="J378" s="33"/>
      <c r="K378" s="33"/>
      <c r="L378" s="33"/>
      <c r="M378" s="14"/>
      <c r="N378" s="15"/>
      <c r="O378" s="15"/>
      <c r="P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15"/>
      <c r="AW378" s="3"/>
      <c r="AX378" s="15"/>
      <c r="AY378" s="15"/>
      <c r="AZ378" s="15"/>
      <c r="BA378" s="3"/>
      <c r="BB378" s="3"/>
      <c r="BC378" s="15"/>
      <c r="BD378" s="3"/>
      <c r="BE378" s="3"/>
      <c r="BF378" s="3"/>
      <c r="BG378" s="3"/>
      <c r="BH378" s="15"/>
    </row>
    <row r="379" spans="2:60" ht="15" customHeight="1" x14ac:dyDescent="0.4">
      <c r="B379" s="68"/>
      <c r="C379" s="69"/>
      <c r="D379" s="197" t="s">
        <v>213</v>
      </c>
      <c r="E379" s="209" t="s">
        <v>214</v>
      </c>
      <c r="F379" s="210"/>
      <c r="G379" s="170">
        <v>25</v>
      </c>
      <c r="H379" s="72"/>
      <c r="I379" s="33"/>
      <c r="J379" s="33"/>
      <c r="K379" s="33"/>
      <c r="L379" s="63"/>
      <c r="M379" s="14"/>
      <c r="N379" s="15"/>
      <c r="O379" s="15"/>
      <c r="P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3"/>
      <c r="AI379" s="3"/>
      <c r="AJ379" s="3"/>
      <c r="AK379" s="15"/>
      <c r="AL379" s="15"/>
      <c r="AM379" s="3"/>
      <c r="AN379" s="15"/>
      <c r="AO379" s="3"/>
      <c r="AP379" s="3"/>
      <c r="AQ379" s="3"/>
      <c r="AR379" s="15"/>
      <c r="AW379" s="3"/>
      <c r="AX379" s="15"/>
      <c r="AY379" s="15"/>
      <c r="AZ379" s="15"/>
      <c r="BA379" s="3"/>
      <c r="BB379" s="3"/>
      <c r="BC379" s="15"/>
      <c r="BD379" s="3"/>
      <c r="BE379" s="3"/>
      <c r="BF379" s="3"/>
      <c r="BG379" s="3"/>
      <c r="BH379" s="15"/>
    </row>
    <row r="380" spans="2:60" ht="15" customHeight="1" x14ac:dyDescent="0.4">
      <c r="B380" s="68"/>
      <c r="C380" s="69"/>
      <c r="D380" s="198"/>
      <c r="E380" s="211"/>
      <c r="F380" s="212"/>
      <c r="G380" s="171"/>
      <c r="H380" s="73"/>
      <c r="I380" s="33"/>
      <c r="J380" s="33"/>
      <c r="K380" s="33"/>
      <c r="L380" s="63"/>
      <c r="M380" s="14"/>
      <c r="N380" s="15"/>
      <c r="O380" s="15"/>
      <c r="P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65"/>
      <c r="AI380" s="67"/>
      <c r="AJ380" s="3"/>
      <c r="AK380" s="15"/>
      <c r="AO380" s="3"/>
      <c r="AP380" s="3"/>
      <c r="AQ380" s="3"/>
      <c r="AR380" s="15"/>
      <c r="AW380" s="3"/>
      <c r="AX380" s="15"/>
      <c r="AY380" s="15"/>
      <c r="AZ380" s="15"/>
      <c r="BA380" s="3"/>
      <c r="BB380" s="3"/>
      <c r="BC380" s="15"/>
      <c r="BD380" s="3"/>
      <c r="BE380" s="3"/>
      <c r="BF380" s="3"/>
      <c r="BG380" s="3"/>
      <c r="BH380" s="15"/>
    </row>
    <row r="381" spans="2:60" ht="15" customHeight="1" x14ac:dyDescent="0.4">
      <c r="B381" s="68"/>
      <c r="C381" s="69"/>
      <c r="D381" s="198"/>
      <c r="E381" s="213"/>
      <c r="F381" s="214"/>
      <c r="G381" s="172"/>
      <c r="H381" s="74"/>
      <c r="I381" s="33"/>
      <c r="J381" s="33"/>
      <c r="K381" s="33"/>
      <c r="L381" s="33"/>
      <c r="M381" s="14"/>
      <c r="N381" s="15"/>
      <c r="O381" s="15"/>
      <c r="P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15"/>
      <c r="AW381" s="3"/>
      <c r="AX381" s="15"/>
      <c r="AY381" s="15"/>
      <c r="AZ381" s="15"/>
      <c r="BA381" s="3"/>
      <c r="BB381" s="3"/>
      <c r="BC381" s="15"/>
      <c r="BD381" s="3"/>
      <c r="BE381" s="3"/>
      <c r="BF381" s="3"/>
      <c r="BG381" s="3"/>
      <c r="BH381" s="15"/>
    </row>
    <row r="382" spans="2:60" ht="20.149999999999999" customHeight="1" x14ac:dyDescent="0.4">
      <c r="B382" s="106"/>
      <c r="C382" s="184" t="s">
        <v>37</v>
      </c>
      <c r="D382" s="227" t="s">
        <v>215</v>
      </c>
      <c r="E382" s="228"/>
      <c r="F382" s="229"/>
      <c r="G382" s="51"/>
      <c r="H382" s="121">
        <f>SUM(G385:G393)</f>
        <v>100</v>
      </c>
      <c r="I382" s="33"/>
      <c r="J382" s="33"/>
      <c r="K382" s="124">
        <f>H382*$J$8</f>
        <v>28137.5</v>
      </c>
      <c r="M382" s="14"/>
      <c r="N382" s="3"/>
      <c r="O382" s="15"/>
      <c r="P382" s="15"/>
      <c r="Y382" s="15"/>
      <c r="Z382" s="15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15"/>
      <c r="AM382" s="15"/>
      <c r="AN382" s="15"/>
      <c r="AO382" s="3"/>
      <c r="AP382" s="3"/>
      <c r="AQ382" s="3"/>
      <c r="AR382" s="15"/>
      <c r="AW382" s="3"/>
      <c r="AX382" s="15"/>
      <c r="AY382" s="15"/>
      <c r="AZ382" s="15"/>
      <c r="BA382" s="3"/>
      <c r="BB382" s="3"/>
      <c r="BC382" s="15"/>
      <c r="BD382" s="3"/>
      <c r="BE382" s="3"/>
      <c r="BF382" s="3"/>
      <c r="BG382" s="3"/>
      <c r="BH382" s="15"/>
    </row>
    <row r="383" spans="2:60" ht="20.149999999999999" customHeight="1" x14ac:dyDescent="0.4">
      <c r="B383" s="156"/>
      <c r="C383" s="201"/>
      <c r="D383" s="230"/>
      <c r="E383" s="231"/>
      <c r="F383" s="232"/>
      <c r="G383" s="51"/>
      <c r="H383" s="122"/>
      <c r="I383" s="33"/>
      <c r="J383" s="33"/>
      <c r="K383" s="124"/>
      <c r="M383" s="14"/>
      <c r="N383" s="15"/>
      <c r="O383" s="15"/>
      <c r="P383" s="15"/>
      <c r="Y383" s="15"/>
      <c r="Z383" s="15"/>
      <c r="AA383" s="15"/>
      <c r="AB383" s="15"/>
      <c r="AG383" s="59"/>
      <c r="AH383" s="60"/>
      <c r="AI383" s="60"/>
      <c r="AJ383" s="61"/>
      <c r="AK383" s="15"/>
      <c r="AL383" s="15"/>
      <c r="AM383" s="15"/>
      <c r="AN383" s="15"/>
      <c r="AO383" s="3"/>
      <c r="AP383" s="3"/>
      <c r="AQ383" s="3"/>
      <c r="AR383" s="3"/>
      <c r="AW383" s="3"/>
      <c r="AX383" s="15"/>
      <c r="AY383" s="15"/>
      <c r="AZ383" s="15"/>
      <c r="BA383" s="3"/>
      <c r="BB383" s="3"/>
      <c r="BC383" s="15"/>
      <c r="BD383" s="3"/>
      <c r="BE383" s="3"/>
      <c r="BF383" s="3"/>
      <c r="BG383" s="3"/>
      <c r="BH383" s="15"/>
    </row>
    <row r="384" spans="2:60" ht="20.149999999999999" customHeight="1" x14ac:dyDescent="0.4">
      <c r="B384" s="157"/>
      <c r="C384" s="202"/>
      <c r="D384" s="233"/>
      <c r="E384" s="234"/>
      <c r="F384" s="235"/>
      <c r="G384" s="51"/>
      <c r="H384" s="123"/>
      <c r="I384" s="33"/>
      <c r="J384" s="33"/>
      <c r="K384" s="124"/>
      <c r="M384" s="14"/>
      <c r="N384" s="15"/>
      <c r="O384" s="15"/>
      <c r="P384" s="15"/>
      <c r="Y384" s="15"/>
      <c r="Z384" s="15"/>
      <c r="AA384" s="15"/>
      <c r="AB384" s="15"/>
      <c r="AC384" s="15"/>
      <c r="AD384" s="3"/>
      <c r="AE384" s="3"/>
      <c r="AF384" s="3"/>
      <c r="AG384" s="3"/>
      <c r="AH384" s="3"/>
      <c r="AI384" s="3"/>
      <c r="AJ384" s="3"/>
      <c r="AK384" s="3"/>
      <c r="AL384" s="15"/>
      <c r="AM384" s="15"/>
      <c r="AN384" s="15"/>
      <c r="AO384" s="3"/>
      <c r="AP384" s="3"/>
      <c r="AQ384" s="3"/>
      <c r="AR384" s="3"/>
      <c r="AW384" s="3"/>
      <c r="AX384" s="15"/>
      <c r="AY384" s="15"/>
      <c r="AZ384" s="15"/>
      <c r="BA384" s="3"/>
      <c r="BB384" s="3"/>
      <c r="BC384" s="15"/>
      <c r="BD384" s="3"/>
      <c r="BE384" s="3"/>
      <c r="BF384" s="3"/>
      <c r="BG384" s="3"/>
      <c r="BH384" s="15"/>
    </row>
    <row r="385" spans="2:60" ht="15" customHeight="1" x14ac:dyDescent="0.4">
      <c r="B385" s="196"/>
      <c r="C385" s="196"/>
      <c r="D385" s="197" t="s">
        <v>216</v>
      </c>
      <c r="E385" s="199" t="s">
        <v>217</v>
      </c>
      <c r="F385" s="199"/>
      <c r="G385" s="170">
        <v>35</v>
      </c>
      <c r="H385" s="72"/>
      <c r="I385" s="63"/>
      <c r="J385" s="64"/>
      <c r="K385" s="64"/>
      <c r="L385" s="33"/>
      <c r="M385" s="14"/>
      <c r="N385" s="15"/>
      <c r="O385" s="15"/>
      <c r="P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3"/>
      <c r="AI385" s="3"/>
      <c r="AJ385" s="3"/>
      <c r="AK385" s="15"/>
      <c r="AL385" s="15"/>
      <c r="AM385" s="15"/>
      <c r="AN385" s="15"/>
      <c r="AO385" s="3"/>
      <c r="AP385" s="3"/>
      <c r="AQ385" s="3"/>
      <c r="AR385" s="15"/>
      <c r="AW385" s="3"/>
      <c r="AX385" s="15"/>
      <c r="AY385" s="15"/>
      <c r="AZ385" s="15"/>
      <c r="BA385" s="3"/>
      <c r="BB385" s="3"/>
      <c r="BC385" s="15"/>
      <c r="BD385" s="3"/>
      <c r="BE385" s="3"/>
      <c r="BF385" s="3"/>
      <c r="BG385" s="3"/>
      <c r="BH385" s="15"/>
    </row>
    <row r="386" spans="2:60" ht="15" customHeight="1" x14ac:dyDescent="0.4">
      <c r="B386" s="196"/>
      <c r="C386" s="196"/>
      <c r="D386" s="198"/>
      <c r="E386" s="199"/>
      <c r="F386" s="199"/>
      <c r="G386" s="171"/>
      <c r="H386" s="73"/>
      <c r="I386" s="63"/>
      <c r="J386" s="63"/>
      <c r="K386" s="63"/>
      <c r="L386" s="33"/>
      <c r="M386" s="14"/>
      <c r="N386" s="15"/>
      <c r="O386" s="15"/>
      <c r="P386" s="15"/>
      <c r="AG386" s="65"/>
      <c r="AH386" s="67"/>
      <c r="AM386" s="3"/>
      <c r="AQ386" s="3"/>
      <c r="AR386" s="15"/>
      <c r="AW386" s="3"/>
      <c r="AX386" s="15"/>
      <c r="AY386" s="15"/>
      <c r="AZ386" s="15"/>
      <c r="BA386" s="3"/>
      <c r="BB386" s="3"/>
      <c r="BC386" s="15"/>
      <c r="BD386" s="3"/>
      <c r="BE386" s="3"/>
      <c r="BF386" s="3"/>
      <c r="BG386" s="3"/>
      <c r="BH386" s="15"/>
    </row>
    <row r="387" spans="2:60" ht="15" customHeight="1" x14ac:dyDescent="0.4">
      <c r="B387" s="196"/>
      <c r="C387" s="196"/>
      <c r="D387" s="198"/>
      <c r="E387" s="199"/>
      <c r="F387" s="199"/>
      <c r="G387" s="172"/>
      <c r="H387" s="74"/>
      <c r="I387" s="63"/>
      <c r="J387" s="63"/>
      <c r="K387" s="63"/>
      <c r="L387" s="33"/>
      <c r="M387" s="14"/>
      <c r="N387" s="15"/>
      <c r="O387" s="15"/>
      <c r="P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3"/>
      <c r="AI387" s="3"/>
      <c r="AJ387" s="3"/>
      <c r="AK387" s="15"/>
      <c r="AL387" s="15"/>
      <c r="AM387" s="3"/>
      <c r="AN387" s="15"/>
      <c r="AO387" s="3"/>
      <c r="AP387" s="3"/>
      <c r="AQ387" s="3"/>
      <c r="AR387" s="15"/>
      <c r="AW387" s="3"/>
      <c r="AX387" s="15"/>
      <c r="AY387" s="15"/>
      <c r="AZ387" s="15"/>
      <c r="BA387" s="3"/>
      <c r="BB387" s="3"/>
      <c r="BC387" s="15"/>
      <c r="BD387" s="3"/>
      <c r="BE387" s="3"/>
      <c r="BF387" s="3"/>
      <c r="BG387" s="3"/>
      <c r="BH387" s="15"/>
    </row>
    <row r="388" spans="2:60" ht="15" customHeight="1" x14ac:dyDescent="0.4">
      <c r="B388" s="68"/>
      <c r="C388" s="69"/>
      <c r="D388" s="197" t="s">
        <v>218</v>
      </c>
      <c r="E388" s="209" t="s">
        <v>219</v>
      </c>
      <c r="F388" s="210"/>
      <c r="G388" s="170">
        <v>35</v>
      </c>
      <c r="H388" s="72"/>
      <c r="I388" s="33"/>
      <c r="J388" s="33"/>
      <c r="K388" s="33"/>
      <c r="L388" s="63"/>
      <c r="M388" s="14"/>
      <c r="N388" s="15"/>
      <c r="O388" s="15"/>
      <c r="P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3"/>
      <c r="AI388" s="3"/>
      <c r="AJ388" s="3"/>
      <c r="AK388" s="15"/>
      <c r="AL388" s="15"/>
      <c r="AM388" s="3"/>
      <c r="AN388" s="15"/>
      <c r="AO388" s="3"/>
      <c r="AP388" s="3"/>
      <c r="AQ388" s="3"/>
      <c r="AR388" s="15"/>
      <c r="AW388" s="3"/>
      <c r="AX388" s="15"/>
      <c r="AY388" s="15"/>
      <c r="AZ388" s="15"/>
      <c r="BA388" s="3"/>
      <c r="BB388" s="3"/>
      <c r="BC388" s="15"/>
      <c r="BD388" s="3"/>
      <c r="BE388" s="3"/>
      <c r="BF388" s="3"/>
      <c r="BG388" s="3"/>
      <c r="BH388" s="15"/>
    </row>
    <row r="389" spans="2:60" ht="15" customHeight="1" x14ac:dyDescent="0.4">
      <c r="B389" s="68"/>
      <c r="C389" s="69"/>
      <c r="D389" s="198"/>
      <c r="E389" s="211"/>
      <c r="F389" s="212"/>
      <c r="G389" s="171"/>
      <c r="H389" s="73"/>
      <c r="I389" s="33"/>
      <c r="J389" s="33"/>
      <c r="K389" s="33"/>
      <c r="L389" s="63"/>
      <c r="M389" s="14"/>
      <c r="N389" s="15"/>
      <c r="O389" s="15"/>
      <c r="P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65"/>
      <c r="AI389" s="67"/>
      <c r="AJ389" s="3"/>
      <c r="AN389" s="15"/>
      <c r="AO389" s="3"/>
      <c r="AP389" s="3"/>
      <c r="AQ389" s="3"/>
      <c r="AR389" s="15"/>
      <c r="AW389" s="3"/>
      <c r="AX389" s="15"/>
      <c r="AY389" s="15"/>
      <c r="AZ389" s="15"/>
      <c r="BA389" s="3"/>
      <c r="BB389" s="3"/>
      <c r="BC389" s="15"/>
      <c r="BD389" s="3"/>
      <c r="BE389" s="3"/>
      <c r="BF389" s="3"/>
      <c r="BG389" s="3"/>
      <c r="BH389" s="15"/>
    </row>
    <row r="390" spans="2:60" ht="15" customHeight="1" x14ac:dyDescent="0.4">
      <c r="B390" s="68"/>
      <c r="C390" s="69"/>
      <c r="D390" s="198"/>
      <c r="E390" s="213"/>
      <c r="F390" s="214"/>
      <c r="G390" s="172"/>
      <c r="H390" s="74"/>
      <c r="I390" s="33"/>
      <c r="J390" s="33"/>
      <c r="K390" s="33"/>
      <c r="L390" s="33"/>
      <c r="M390" s="14"/>
      <c r="N390" s="15"/>
      <c r="O390" s="15"/>
      <c r="P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3"/>
      <c r="AI390" s="3"/>
      <c r="AJ390" s="3"/>
      <c r="AK390" s="15"/>
      <c r="AL390" s="15"/>
      <c r="AM390" s="3"/>
      <c r="AN390" s="15"/>
      <c r="AO390" s="3"/>
      <c r="AP390" s="3"/>
      <c r="AQ390" s="3"/>
      <c r="AR390" s="15"/>
      <c r="AW390" s="3"/>
      <c r="AX390" s="15"/>
      <c r="AY390" s="15"/>
      <c r="AZ390" s="15"/>
      <c r="BA390" s="3"/>
      <c r="BB390" s="3"/>
      <c r="BC390" s="15"/>
      <c r="BD390" s="3"/>
      <c r="BE390" s="3"/>
      <c r="BF390" s="3"/>
      <c r="BG390" s="3"/>
      <c r="BH390" s="15"/>
    </row>
    <row r="391" spans="2:60" ht="15" customHeight="1" x14ac:dyDescent="0.4">
      <c r="B391" s="68"/>
      <c r="C391" s="69"/>
      <c r="D391" s="197" t="s">
        <v>220</v>
      </c>
      <c r="E391" s="209" t="s">
        <v>221</v>
      </c>
      <c r="F391" s="210"/>
      <c r="G391" s="170">
        <v>30</v>
      </c>
      <c r="H391" s="72"/>
      <c r="I391" s="33"/>
      <c r="J391" s="33"/>
      <c r="K391" s="33"/>
      <c r="L391" s="63"/>
      <c r="M391" s="14"/>
      <c r="N391" s="15"/>
      <c r="O391" s="15"/>
      <c r="P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3"/>
      <c r="AI391" s="3"/>
      <c r="AJ391" s="3"/>
      <c r="AK391" s="15"/>
      <c r="AL391" s="15"/>
      <c r="AM391" s="3"/>
      <c r="AN391" s="15"/>
      <c r="AO391" s="3"/>
      <c r="AP391" s="3"/>
      <c r="AQ391" s="3"/>
      <c r="AR391" s="15"/>
      <c r="AW391" s="3"/>
      <c r="AX391" s="15"/>
      <c r="AY391" s="15"/>
      <c r="AZ391" s="15"/>
      <c r="BA391" s="3"/>
      <c r="BB391" s="3"/>
      <c r="BC391" s="15"/>
      <c r="BD391" s="3"/>
      <c r="BE391" s="3"/>
      <c r="BF391" s="3"/>
      <c r="BG391" s="3"/>
      <c r="BH391" s="15"/>
    </row>
    <row r="392" spans="2:60" ht="15" customHeight="1" x14ac:dyDescent="0.4">
      <c r="B392" s="68"/>
      <c r="C392" s="69"/>
      <c r="D392" s="198"/>
      <c r="E392" s="211"/>
      <c r="F392" s="212"/>
      <c r="G392" s="171"/>
      <c r="H392" s="73"/>
      <c r="I392" s="33"/>
      <c r="J392" s="33"/>
      <c r="K392" s="33"/>
      <c r="L392" s="63"/>
      <c r="M392" s="14"/>
      <c r="N392" s="15"/>
      <c r="O392" s="15"/>
      <c r="P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3"/>
      <c r="AI392" s="65"/>
      <c r="AJ392" s="67"/>
      <c r="AK392" s="15"/>
      <c r="AO392" s="3"/>
      <c r="AP392" s="3"/>
      <c r="AQ392" s="3"/>
      <c r="AR392" s="15"/>
      <c r="AW392" s="3"/>
      <c r="AX392" s="15"/>
      <c r="AY392" s="15"/>
      <c r="AZ392" s="15"/>
      <c r="BA392" s="3"/>
      <c r="BB392" s="3"/>
      <c r="BC392" s="15"/>
      <c r="BD392" s="3"/>
      <c r="BE392" s="3"/>
      <c r="BF392" s="3"/>
      <c r="BG392" s="3"/>
      <c r="BH392" s="15"/>
    </row>
    <row r="393" spans="2:60" ht="15" customHeight="1" x14ac:dyDescent="0.4">
      <c r="B393" s="68"/>
      <c r="C393" s="69"/>
      <c r="D393" s="198"/>
      <c r="E393" s="213"/>
      <c r="F393" s="214"/>
      <c r="G393" s="172"/>
      <c r="H393" s="74"/>
      <c r="I393" s="33"/>
      <c r="J393" s="33"/>
      <c r="K393" s="33"/>
      <c r="L393" s="33"/>
      <c r="M393" s="14"/>
      <c r="N393" s="15"/>
      <c r="O393" s="15"/>
      <c r="P393" s="15"/>
      <c r="Y393" s="15"/>
      <c r="Z393" s="15"/>
      <c r="AA393" s="15"/>
      <c r="AB393" s="15"/>
      <c r="AC393" s="15"/>
      <c r="AD393" s="15"/>
      <c r="AE393" s="15"/>
      <c r="AF393" s="15"/>
      <c r="AH393" s="15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15"/>
      <c r="AX393" s="3"/>
      <c r="AY393" s="15"/>
      <c r="AZ393" s="15"/>
      <c r="BA393" s="15"/>
      <c r="BB393" s="3"/>
      <c r="BC393" s="3"/>
      <c r="BD393" s="15"/>
      <c r="BE393" s="3"/>
      <c r="BF393" s="3"/>
      <c r="BG393" s="3"/>
      <c r="BH393" s="15"/>
    </row>
    <row r="394" spans="2:60" ht="15" customHeight="1" x14ac:dyDescent="0.4">
      <c r="B394" s="125" t="s">
        <v>222</v>
      </c>
      <c r="C394" s="173" t="s">
        <v>223</v>
      </c>
      <c r="D394" s="174"/>
      <c r="E394" s="174"/>
      <c r="F394" s="175"/>
      <c r="G394" s="182">
        <f>I394*250</f>
        <v>223750</v>
      </c>
      <c r="I394" s="143">
        <f>SUM(H397:H513)</f>
        <v>895</v>
      </c>
      <c r="J394" s="33"/>
      <c r="K394" s="33"/>
      <c r="L394" s="155">
        <f>SUM(K397:K513)</f>
        <v>251830.625</v>
      </c>
      <c r="M394" s="14"/>
      <c r="N394" s="15"/>
      <c r="O394" s="15"/>
      <c r="P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  <c r="AZ394" s="15"/>
      <c r="BA394" s="15"/>
      <c r="BF394" s="15"/>
      <c r="BG394" s="15"/>
      <c r="BH394" s="15"/>
    </row>
    <row r="395" spans="2:60" ht="15" customHeight="1" x14ac:dyDescent="0.4">
      <c r="B395" s="126"/>
      <c r="C395" s="176"/>
      <c r="D395" s="177"/>
      <c r="E395" s="177"/>
      <c r="F395" s="178"/>
      <c r="G395" s="183"/>
      <c r="I395" s="143"/>
      <c r="J395" s="33"/>
      <c r="K395" s="33"/>
      <c r="L395" s="155"/>
      <c r="M395" s="14"/>
      <c r="N395" s="15"/>
      <c r="O395" s="15"/>
      <c r="P395" s="15"/>
      <c r="AG395" s="15"/>
      <c r="AH395" s="15"/>
      <c r="AI395" s="15"/>
      <c r="AJ395" s="15"/>
      <c r="AK395" s="15"/>
      <c r="AL395" s="15"/>
      <c r="AM395" s="15"/>
      <c r="AN395" s="15"/>
      <c r="AO395" s="56"/>
      <c r="AP395" s="57"/>
      <c r="AQ395" s="57"/>
      <c r="AR395" s="57"/>
      <c r="AS395" s="57"/>
      <c r="AT395" s="57"/>
      <c r="AU395" s="57"/>
      <c r="AV395" s="57"/>
      <c r="AW395" s="57"/>
      <c r="AX395" s="57"/>
      <c r="AY395" s="57"/>
      <c r="AZ395" s="57"/>
      <c r="BA395" s="83"/>
      <c r="BB395" s="83"/>
      <c r="BC395" s="83"/>
      <c r="BD395" s="84"/>
      <c r="BF395" s="15"/>
      <c r="BG395" s="3"/>
      <c r="BH395" s="3"/>
    </row>
    <row r="396" spans="2:60" ht="15" customHeight="1" x14ac:dyDescent="0.4">
      <c r="B396" s="127"/>
      <c r="C396" s="179"/>
      <c r="D396" s="180"/>
      <c r="E396" s="180"/>
      <c r="F396" s="181"/>
      <c r="G396" s="183"/>
      <c r="I396" s="143"/>
      <c r="J396" s="33"/>
      <c r="K396" s="33"/>
      <c r="L396" s="155"/>
      <c r="M396" s="14"/>
      <c r="N396" s="15"/>
      <c r="O396" s="15"/>
      <c r="P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  <c r="BF396" s="15"/>
      <c r="BG396" s="15"/>
      <c r="BH396" s="15"/>
    </row>
    <row r="397" spans="2:60" ht="14.15" customHeight="1" x14ac:dyDescent="0.4">
      <c r="B397" s="106"/>
      <c r="C397" s="184" t="s">
        <v>25</v>
      </c>
      <c r="D397" s="187" t="s">
        <v>224</v>
      </c>
      <c r="E397" s="188"/>
      <c r="F397" s="189"/>
      <c r="G397" s="45"/>
      <c r="H397" s="121">
        <f>SUM(G400:G411)</f>
        <v>150</v>
      </c>
      <c r="J397" s="33"/>
      <c r="K397" s="124">
        <f>H397*$J$8</f>
        <v>42206.25</v>
      </c>
      <c r="M397" s="14"/>
      <c r="N397" s="3"/>
      <c r="O397" s="15"/>
      <c r="P397" s="15"/>
      <c r="AG397" s="15"/>
      <c r="AH397" s="15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15"/>
      <c r="AU397" s="15"/>
      <c r="AV397" s="15"/>
      <c r="AW397" s="3"/>
      <c r="AX397" s="3"/>
      <c r="AY397" s="3"/>
      <c r="AZ397" s="3"/>
      <c r="BF397" s="3"/>
      <c r="BG397" s="3"/>
      <c r="BH397" s="3"/>
    </row>
    <row r="398" spans="2:60" ht="14.15" customHeight="1" x14ac:dyDescent="0.4">
      <c r="B398" s="156"/>
      <c r="C398" s="201"/>
      <c r="D398" s="190"/>
      <c r="E398" s="191"/>
      <c r="F398" s="192"/>
      <c r="G398" s="51"/>
      <c r="H398" s="122"/>
      <c r="J398" s="33"/>
      <c r="K398" s="124"/>
      <c r="M398" s="14"/>
      <c r="N398" s="15"/>
      <c r="O398" s="15"/>
      <c r="P398" s="15"/>
      <c r="AG398" s="15"/>
      <c r="AH398" s="15"/>
      <c r="AI398" s="15"/>
      <c r="AJ398" s="15"/>
      <c r="AK398" s="15"/>
      <c r="AL398" s="15"/>
      <c r="AM398" s="15"/>
      <c r="AN398" s="15"/>
      <c r="AO398" s="75"/>
      <c r="AP398" s="76"/>
      <c r="AQ398" s="76"/>
      <c r="AR398" s="77"/>
      <c r="AW398" s="3"/>
      <c r="AX398" s="3"/>
      <c r="AY398" s="3"/>
      <c r="AZ398" s="3"/>
      <c r="BF398" s="3"/>
      <c r="BG398" s="3"/>
      <c r="BH398" s="3"/>
    </row>
    <row r="399" spans="2:60" ht="14.15" customHeight="1" x14ac:dyDescent="0.4">
      <c r="B399" s="157"/>
      <c r="C399" s="202"/>
      <c r="D399" s="193"/>
      <c r="E399" s="194"/>
      <c r="F399" s="195"/>
      <c r="G399" s="51"/>
      <c r="H399" s="123"/>
      <c r="J399" s="33"/>
      <c r="K399" s="124"/>
      <c r="M399" s="14"/>
      <c r="N399" s="15"/>
      <c r="O399" s="15"/>
      <c r="P399" s="15"/>
      <c r="AG399" s="15"/>
      <c r="AH399" s="15"/>
      <c r="AI399" s="15"/>
      <c r="AJ399" s="15"/>
      <c r="AK399" s="15"/>
      <c r="AL399" s="3"/>
      <c r="AM399" s="3"/>
      <c r="AN399" s="3"/>
      <c r="AO399" s="3"/>
      <c r="AP399" s="3"/>
      <c r="AQ399" s="3"/>
      <c r="AR399" s="3"/>
      <c r="AS399" s="3"/>
      <c r="AT399" s="15"/>
      <c r="AU399" s="15"/>
      <c r="AV399" s="15"/>
      <c r="AW399" s="3"/>
      <c r="AX399" s="3"/>
      <c r="AY399" s="3"/>
      <c r="AZ399" s="3"/>
      <c r="BF399" s="3"/>
      <c r="BG399" s="3"/>
      <c r="BH399" s="15"/>
    </row>
    <row r="400" spans="2:60" ht="14.15" customHeight="1" x14ac:dyDescent="0.4">
      <c r="B400" s="196"/>
      <c r="C400" s="196"/>
      <c r="D400" s="197" t="s">
        <v>100</v>
      </c>
      <c r="E400" s="199" t="s">
        <v>225</v>
      </c>
      <c r="F400" s="199"/>
      <c r="G400" s="170">
        <v>38</v>
      </c>
      <c r="H400" s="72"/>
      <c r="I400" s="63"/>
      <c r="J400" s="64"/>
      <c r="K400" s="64"/>
      <c r="L400" s="33"/>
      <c r="M400" s="14"/>
      <c r="N400" s="15"/>
      <c r="O400" s="15"/>
      <c r="P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3"/>
      <c r="AU400" s="3"/>
      <c r="AV400" s="3"/>
      <c r="AW400" s="3"/>
      <c r="AX400" s="3"/>
      <c r="AY400" s="3"/>
      <c r="AZ400" s="3"/>
      <c r="BF400" s="3"/>
      <c r="BG400" s="3"/>
      <c r="BH400" s="15"/>
    </row>
    <row r="401" spans="2:60" ht="14.15" customHeight="1" x14ac:dyDescent="0.4">
      <c r="B401" s="196"/>
      <c r="C401" s="196"/>
      <c r="D401" s="198"/>
      <c r="E401" s="199"/>
      <c r="F401" s="199"/>
      <c r="G401" s="171"/>
      <c r="H401" s="73"/>
      <c r="I401" s="63"/>
      <c r="J401" s="63"/>
      <c r="K401" s="63"/>
      <c r="L401" s="33"/>
      <c r="M401" s="14"/>
      <c r="N401" s="15"/>
      <c r="O401" s="15"/>
      <c r="P401" s="15"/>
      <c r="AO401" s="65"/>
      <c r="AP401" s="67"/>
      <c r="AQ401" s="3"/>
      <c r="AR401" s="3"/>
      <c r="AV401" s="3"/>
      <c r="AW401" s="3"/>
      <c r="AX401" s="3"/>
      <c r="AY401" s="3"/>
      <c r="AZ401" s="15"/>
      <c r="BF401" s="3"/>
      <c r="BG401" s="3"/>
      <c r="BH401" s="15"/>
    </row>
    <row r="402" spans="2:60" ht="14.15" customHeight="1" x14ac:dyDescent="0.4">
      <c r="B402" s="196"/>
      <c r="C402" s="196"/>
      <c r="D402" s="198"/>
      <c r="E402" s="199"/>
      <c r="F402" s="199"/>
      <c r="G402" s="172"/>
      <c r="H402" s="74"/>
      <c r="I402" s="63"/>
      <c r="J402" s="63"/>
      <c r="K402" s="63"/>
      <c r="L402" s="33"/>
      <c r="M402" s="14"/>
      <c r="N402" s="15"/>
      <c r="O402" s="15"/>
      <c r="P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3"/>
      <c r="AU402" s="3"/>
      <c r="AV402" s="3"/>
      <c r="AW402" s="3"/>
      <c r="AX402" s="3"/>
      <c r="AY402" s="3"/>
      <c r="AZ402" s="15"/>
      <c r="BF402" s="3"/>
      <c r="BG402" s="3"/>
      <c r="BH402" s="15"/>
    </row>
    <row r="403" spans="2:60" ht="14.15" customHeight="1" x14ac:dyDescent="0.4">
      <c r="B403" s="68"/>
      <c r="C403" s="69"/>
      <c r="D403" s="197" t="s">
        <v>102</v>
      </c>
      <c r="E403" s="199" t="s">
        <v>226</v>
      </c>
      <c r="F403" s="199"/>
      <c r="G403" s="170">
        <v>38</v>
      </c>
      <c r="H403" s="72"/>
      <c r="I403" s="33"/>
      <c r="J403" s="33"/>
      <c r="K403" s="33"/>
      <c r="L403" s="63"/>
      <c r="M403" s="14"/>
      <c r="N403" s="15"/>
      <c r="O403" s="15"/>
      <c r="P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3"/>
      <c r="AT403" s="3"/>
      <c r="AU403" s="3"/>
      <c r="AV403" s="3"/>
      <c r="AW403" s="3"/>
      <c r="AX403" s="3"/>
      <c r="AY403" s="3"/>
      <c r="AZ403" s="15"/>
      <c r="BF403" s="3"/>
      <c r="BG403" s="3"/>
      <c r="BH403" s="15"/>
    </row>
    <row r="404" spans="2:60" ht="14.15" customHeight="1" x14ac:dyDescent="0.4">
      <c r="B404" s="68"/>
      <c r="C404" s="69"/>
      <c r="D404" s="198"/>
      <c r="E404" s="199"/>
      <c r="F404" s="199"/>
      <c r="G404" s="171"/>
      <c r="H404" s="73"/>
      <c r="I404" s="33"/>
      <c r="J404" s="33"/>
      <c r="K404" s="33"/>
      <c r="L404" s="63"/>
      <c r="M404" s="14"/>
      <c r="N404" s="15"/>
      <c r="O404" s="15"/>
      <c r="P404" s="15"/>
      <c r="AG404" s="15"/>
      <c r="AH404" s="15"/>
      <c r="AI404" s="15"/>
      <c r="AJ404" s="15"/>
      <c r="AK404" s="15"/>
      <c r="AL404" s="15"/>
      <c r="AM404" s="15"/>
      <c r="AN404" s="15"/>
      <c r="AO404" s="65"/>
      <c r="AP404" s="67"/>
      <c r="AQ404" s="15"/>
      <c r="AR404" s="15"/>
      <c r="AS404" s="3"/>
      <c r="AT404" s="3"/>
      <c r="AU404" s="3"/>
      <c r="AV404" s="3"/>
      <c r="AW404" s="3"/>
      <c r="AX404" s="3"/>
      <c r="AY404" s="3"/>
      <c r="AZ404" s="15"/>
      <c r="BF404" s="3"/>
      <c r="BG404" s="3"/>
      <c r="BH404" s="15"/>
    </row>
    <row r="405" spans="2:60" ht="14.15" customHeight="1" x14ac:dyDescent="0.4">
      <c r="B405" s="68"/>
      <c r="C405" s="69"/>
      <c r="D405" s="198"/>
      <c r="E405" s="199"/>
      <c r="F405" s="199"/>
      <c r="G405" s="172"/>
      <c r="H405" s="74"/>
      <c r="I405" s="33"/>
      <c r="J405" s="33"/>
      <c r="K405" s="33"/>
      <c r="L405" s="33"/>
      <c r="M405" s="14"/>
      <c r="N405" s="15"/>
      <c r="O405" s="15"/>
      <c r="P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3"/>
      <c r="AT405" s="3"/>
      <c r="AU405" s="3"/>
      <c r="AV405" s="3"/>
      <c r="AW405" s="3"/>
      <c r="AX405" s="3"/>
      <c r="AY405" s="3"/>
      <c r="AZ405" s="15"/>
      <c r="BF405" s="3"/>
      <c r="BG405" s="3"/>
      <c r="BH405" s="15"/>
    </row>
    <row r="406" spans="2:60" ht="14.15" customHeight="1" x14ac:dyDescent="0.4">
      <c r="B406" s="68"/>
      <c r="C406" s="69"/>
      <c r="D406" s="197" t="s">
        <v>104</v>
      </c>
      <c r="E406" s="199" t="s">
        <v>227</v>
      </c>
      <c r="F406" s="199"/>
      <c r="G406" s="170">
        <v>37</v>
      </c>
      <c r="H406" s="72"/>
      <c r="I406" s="33"/>
      <c r="J406" s="33"/>
      <c r="K406" s="33"/>
      <c r="L406" s="63"/>
      <c r="M406" s="14"/>
      <c r="N406" s="15"/>
      <c r="O406" s="15"/>
      <c r="P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3"/>
      <c r="AT406" s="3"/>
      <c r="AU406" s="3"/>
      <c r="AV406" s="3"/>
      <c r="AW406" s="3"/>
      <c r="AX406" s="3"/>
      <c r="AY406" s="3"/>
      <c r="AZ406" s="15"/>
      <c r="BF406" s="3"/>
      <c r="BG406" s="3"/>
      <c r="BH406" s="15"/>
    </row>
    <row r="407" spans="2:60" ht="14.15" customHeight="1" x14ac:dyDescent="0.4">
      <c r="B407" s="68"/>
      <c r="C407" s="69"/>
      <c r="D407" s="198"/>
      <c r="E407" s="199"/>
      <c r="F407" s="199"/>
      <c r="G407" s="171"/>
      <c r="H407" s="73"/>
      <c r="I407" s="33"/>
      <c r="J407" s="33"/>
      <c r="K407" s="33"/>
      <c r="L407" s="63"/>
      <c r="M407" s="14"/>
      <c r="N407" s="15"/>
      <c r="O407" s="15"/>
      <c r="P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65"/>
      <c r="AQ407" s="67"/>
      <c r="AR407" s="15"/>
      <c r="AS407" s="3"/>
      <c r="AT407" s="3"/>
      <c r="AU407" s="3"/>
      <c r="AV407" s="3"/>
      <c r="AW407" s="3"/>
      <c r="AX407" s="3"/>
      <c r="AY407" s="3"/>
      <c r="AZ407" s="15"/>
      <c r="BF407" s="3"/>
      <c r="BG407" s="3"/>
      <c r="BH407" s="15"/>
    </row>
    <row r="408" spans="2:60" ht="14.15" customHeight="1" x14ac:dyDescent="0.4">
      <c r="B408" s="68"/>
      <c r="C408" s="69"/>
      <c r="D408" s="198"/>
      <c r="E408" s="199"/>
      <c r="F408" s="199"/>
      <c r="G408" s="172"/>
      <c r="H408" s="74"/>
      <c r="I408" s="33"/>
      <c r="J408" s="33"/>
      <c r="K408" s="33"/>
      <c r="L408" s="33"/>
      <c r="M408" s="14"/>
      <c r="N408" s="15"/>
      <c r="O408" s="15"/>
      <c r="P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3"/>
      <c r="AT408" s="3"/>
      <c r="AU408" s="3"/>
      <c r="AV408" s="3"/>
      <c r="AW408" s="3"/>
      <c r="AX408" s="3"/>
      <c r="AY408" s="3"/>
      <c r="AZ408" s="15"/>
      <c r="BF408" s="3"/>
      <c r="BG408" s="3"/>
      <c r="BH408" s="15"/>
    </row>
    <row r="409" spans="2:60" ht="14.15" customHeight="1" x14ac:dyDescent="0.4">
      <c r="B409" s="68"/>
      <c r="C409" s="69"/>
      <c r="D409" s="197" t="s">
        <v>106</v>
      </c>
      <c r="E409" s="199" t="s">
        <v>228</v>
      </c>
      <c r="F409" s="199"/>
      <c r="G409" s="170">
        <v>37</v>
      </c>
      <c r="H409" s="72"/>
      <c r="I409" s="33"/>
      <c r="J409" s="33"/>
      <c r="K409" s="33"/>
      <c r="L409" s="63"/>
      <c r="M409" s="14"/>
      <c r="N409" s="15"/>
      <c r="O409" s="15"/>
      <c r="P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3"/>
      <c r="AT409" s="3"/>
      <c r="AU409" s="3"/>
      <c r="AV409" s="3"/>
      <c r="AW409" s="3"/>
      <c r="AX409" s="3"/>
      <c r="AY409" s="3"/>
      <c r="AZ409" s="15"/>
      <c r="BF409" s="3"/>
      <c r="BG409" s="3"/>
      <c r="BH409" s="15"/>
    </row>
    <row r="410" spans="2:60" ht="14.15" customHeight="1" x14ac:dyDescent="0.4">
      <c r="B410" s="68"/>
      <c r="C410" s="69"/>
      <c r="D410" s="198"/>
      <c r="E410" s="199"/>
      <c r="F410" s="199"/>
      <c r="G410" s="171"/>
      <c r="H410" s="73"/>
      <c r="I410" s="33"/>
      <c r="J410" s="33"/>
      <c r="K410" s="33"/>
      <c r="L410" s="63"/>
      <c r="M410" s="14"/>
      <c r="N410" s="15"/>
      <c r="O410" s="15"/>
      <c r="P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65"/>
      <c r="AR410" s="67"/>
      <c r="AS410" s="3"/>
      <c r="AT410" s="3"/>
      <c r="AU410" s="3"/>
      <c r="AV410" s="3"/>
      <c r="AW410" s="3"/>
      <c r="AX410" s="3"/>
      <c r="AY410" s="3"/>
      <c r="AZ410" s="15"/>
      <c r="BF410" s="3"/>
      <c r="BG410" s="3"/>
      <c r="BH410" s="15"/>
    </row>
    <row r="411" spans="2:60" ht="14.15" customHeight="1" x14ac:dyDescent="0.4">
      <c r="B411" s="68"/>
      <c r="C411" s="69"/>
      <c r="D411" s="198"/>
      <c r="E411" s="199"/>
      <c r="F411" s="199"/>
      <c r="G411" s="172"/>
      <c r="H411" s="74"/>
      <c r="I411" s="33"/>
      <c r="J411" s="33"/>
      <c r="K411" s="33"/>
      <c r="L411" s="33"/>
      <c r="M411" s="14"/>
      <c r="N411" s="15"/>
      <c r="O411" s="15"/>
      <c r="P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15"/>
      <c r="BF411" s="3"/>
      <c r="BG411" s="3"/>
      <c r="BH411" s="15"/>
    </row>
    <row r="412" spans="2:60" ht="14.15" customHeight="1" x14ac:dyDescent="0.4">
      <c r="B412" s="106"/>
      <c r="C412" s="184" t="s">
        <v>27</v>
      </c>
      <c r="D412" s="187" t="s">
        <v>229</v>
      </c>
      <c r="E412" s="188"/>
      <c r="F412" s="189"/>
      <c r="G412" s="45"/>
      <c r="H412" s="121">
        <f>SUM(G415:G426)</f>
        <v>150</v>
      </c>
      <c r="J412" s="33"/>
      <c r="K412" s="155">
        <f>H412*$J$8</f>
        <v>42206.25</v>
      </c>
      <c r="M412" s="14"/>
      <c r="N412" s="3"/>
      <c r="O412" s="15"/>
      <c r="P412" s="15"/>
      <c r="AG412" s="15"/>
      <c r="AH412" s="15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15"/>
      <c r="AU412" s="15"/>
      <c r="AV412" s="15"/>
      <c r="AW412" s="3"/>
      <c r="AX412" s="3"/>
      <c r="AY412" s="3"/>
      <c r="AZ412" s="3"/>
      <c r="BF412" s="3"/>
      <c r="BG412" s="3"/>
      <c r="BH412" s="3"/>
    </row>
    <row r="413" spans="2:60" ht="14.15" customHeight="1" x14ac:dyDescent="0.4">
      <c r="B413" s="156"/>
      <c r="C413" s="201"/>
      <c r="D413" s="190"/>
      <c r="E413" s="191"/>
      <c r="F413" s="192"/>
      <c r="G413" s="51"/>
      <c r="H413" s="122"/>
      <c r="J413" s="33"/>
      <c r="K413" s="155"/>
      <c r="M413" s="14"/>
      <c r="N413" s="15"/>
      <c r="O413" s="15"/>
      <c r="P413" s="15"/>
      <c r="AG413" s="15"/>
      <c r="AH413" s="15"/>
      <c r="AI413" s="15"/>
      <c r="AJ413" s="15"/>
      <c r="AK413" s="15"/>
      <c r="AL413" s="15"/>
      <c r="AM413" s="15"/>
      <c r="AN413" s="15"/>
      <c r="AR413" s="75"/>
      <c r="AS413" s="76"/>
      <c r="AT413" s="76"/>
      <c r="AU413" s="77"/>
      <c r="AW413" s="3"/>
      <c r="AX413" s="3"/>
      <c r="AY413" s="3"/>
      <c r="AZ413" s="3"/>
      <c r="BF413" s="3"/>
      <c r="BG413" s="3"/>
      <c r="BH413" s="3"/>
    </row>
    <row r="414" spans="2:60" ht="14.15" customHeight="1" x14ac:dyDescent="0.4">
      <c r="B414" s="157"/>
      <c r="C414" s="202"/>
      <c r="D414" s="193"/>
      <c r="E414" s="194"/>
      <c r="F414" s="195"/>
      <c r="G414" s="51"/>
      <c r="H414" s="123"/>
      <c r="J414" s="33"/>
      <c r="K414" s="155"/>
      <c r="M414" s="14"/>
      <c r="N414" s="15"/>
      <c r="O414" s="15"/>
      <c r="P414" s="15"/>
      <c r="AG414" s="15"/>
      <c r="AH414" s="15"/>
      <c r="AI414" s="15"/>
      <c r="AJ414" s="15"/>
      <c r="AK414" s="15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W414" s="3"/>
      <c r="AX414" s="3"/>
      <c r="AY414" s="3"/>
      <c r="AZ414" s="15"/>
      <c r="BF414" s="3"/>
      <c r="BG414" s="3"/>
      <c r="BH414" s="15"/>
    </row>
    <row r="415" spans="2:60" ht="14.15" customHeight="1" x14ac:dyDescent="0.4">
      <c r="B415" s="196"/>
      <c r="C415" s="196"/>
      <c r="D415" s="197" t="s">
        <v>109</v>
      </c>
      <c r="E415" s="199" t="s">
        <v>230</v>
      </c>
      <c r="F415" s="199"/>
      <c r="G415" s="170">
        <v>38</v>
      </c>
      <c r="H415" s="72"/>
      <c r="I415" s="63"/>
      <c r="J415" s="64"/>
      <c r="K415" s="64"/>
      <c r="L415" s="33"/>
      <c r="M415" s="14"/>
      <c r="N415" s="15"/>
      <c r="O415" s="15"/>
      <c r="P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3"/>
      <c r="AQ415" s="3"/>
      <c r="AR415" s="15"/>
      <c r="AS415" s="15"/>
      <c r="AT415" s="15"/>
      <c r="AU415" s="15"/>
      <c r="AW415" s="3"/>
      <c r="AX415" s="3"/>
      <c r="AY415" s="3"/>
      <c r="AZ415" s="15"/>
      <c r="BF415" s="3"/>
      <c r="BG415" s="3"/>
      <c r="BH415" s="15"/>
    </row>
    <row r="416" spans="2:60" ht="14.15" customHeight="1" x14ac:dyDescent="0.4">
      <c r="B416" s="196"/>
      <c r="C416" s="196"/>
      <c r="D416" s="198"/>
      <c r="E416" s="199"/>
      <c r="F416" s="199"/>
      <c r="G416" s="171"/>
      <c r="H416" s="73"/>
      <c r="I416" s="63"/>
      <c r="J416" s="63"/>
      <c r="K416" s="63"/>
      <c r="L416" s="33"/>
      <c r="M416" s="14"/>
      <c r="N416" s="15"/>
      <c r="O416" s="15"/>
      <c r="P416" s="15"/>
      <c r="AR416" s="65"/>
      <c r="AS416" s="67"/>
      <c r="AT416" s="3"/>
      <c r="AU416" s="3"/>
      <c r="AW416" s="3"/>
      <c r="AX416" s="3"/>
      <c r="AY416" s="3"/>
      <c r="AZ416" s="15"/>
      <c r="BF416" s="3"/>
      <c r="BG416" s="3"/>
      <c r="BH416" s="15"/>
    </row>
    <row r="417" spans="2:60" ht="14.15" customHeight="1" x14ac:dyDescent="0.4">
      <c r="B417" s="196"/>
      <c r="C417" s="196"/>
      <c r="D417" s="198"/>
      <c r="E417" s="199"/>
      <c r="F417" s="199"/>
      <c r="G417" s="172"/>
      <c r="H417" s="74"/>
      <c r="I417" s="63"/>
      <c r="J417" s="63"/>
      <c r="K417" s="63"/>
      <c r="L417" s="33"/>
      <c r="M417" s="14"/>
      <c r="N417" s="15"/>
      <c r="O417" s="15"/>
      <c r="P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3"/>
      <c r="AQ417" s="3"/>
      <c r="AR417" s="15"/>
      <c r="AS417" s="15"/>
      <c r="AT417" s="15"/>
      <c r="AU417" s="15"/>
      <c r="AW417" s="3"/>
      <c r="AX417" s="3"/>
      <c r="AY417" s="3"/>
      <c r="AZ417" s="15"/>
      <c r="BF417" s="3"/>
      <c r="BG417" s="3"/>
      <c r="BH417" s="15"/>
    </row>
    <row r="418" spans="2:60" ht="15" customHeight="1" x14ac:dyDescent="0.4">
      <c r="B418" s="68"/>
      <c r="C418" s="69"/>
      <c r="D418" s="197" t="s">
        <v>111</v>
      </c>
      <c r="E418" s="199" t="s">
        <v>231</v>
      </c>
      <c r="F418" s="199"/>
      <c r="G418" s="170">
        <v>38</v>
      </c>
      <c r="H418" s="72"/>
      <c r="I418" s="33"/>
      <c r="J418" s="33"/>
      <c r="K418" s="33"/>
      <c r="L418" s="63"/>
      <c r="M418" s="14"/>
      <c r="N418" s="15"/>
      <c r="O418" s="15"/>
      <c r="P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3"/>
      <c r="AQ418" s="3"/>
      <c r="AR418" s="15"/>
      <c r="AS418" s="15"/>
      <c r="AT418" s="15"/>
      <c r="AU418" s="15"/>
      <c r="AW418" s="3"/>
      <c r="AX418" s="3"/>
      <c r="AY418" s="3"/>
      <c r="AZ418" s="15"/>
      <c r="BF418" s="3"/>
      <c r="BG418" s="3"/>
      <c r="BH418" s="15"/>
    </row>
    <row r="419" spans="2:60" ht="15" customHeight="1" x14ac:dyDescent="0.4">
      <c r="B419" s="68"/>
      <c r="C419" s="69"/>
      <c r="D419" s="198"/>
      <c r="E419" s="199"/>
      <c r="F419" s="199"/>
      <c r="G419" s="171"/>
      <c r="H419" s="73"/>
      <c r="I419" s="33"/>
      <c r="J419" s="33"/>
      <c r="K419" s="33"/>
      <c r="L419" s="63"/>
      <c r="M419" s="14"/>
      <c r="N419" s="15"/>
      <c r="O419" s="15"/>
      <c r="P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3"/>
      <c r="AQ419" s="3"/>
      <c r="AR419" s="65"/>
      <c r="AS419" s="67"/>
      <c r="AT419" s="15"/>
      <c r="AU419" s="15"/>
      <c r="AW419" s="3"/>
      <c r="AX419" s="3"/>
      <c r="AY419" s="3"/>
      <c r="AZ419" s="15"/>
      <c r="BF419" s="3"/>
      <c r="BG419" s="3"/>
      <c r="BH419" s="15"/>
    </row>
    <row r="420" spans="2:60" ht="15" customHeight="1" x14ac:dyDescent="0.4">
      <c r="B420" s="68"/>
      <c r="C420" s="69"/>
      <c r="D420" s="198"/>
      <c r="E420" s="199"/>
      <c r="F420" s="199"/>
      <c r="G420" s="172"/>
      <c r="H420" s="74"/>
      <c r="I420" s="33"/>
      <c r="J420" s="33"/>
      <c r="K420" s="33"/>
      <c r="L420" s="33"/>
      <c r="M420" s="14"/>
      <c r="N420" s="15"/>
      <c r="O420" s="15"/>
      <c r="P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3"/>
      <c r="AQ420" s="3"/>
      <c r="AR420" s="15"/>
      <c r="AS420" s="15"/>
      <c r="AT420" s="15"/>
      <c r="AU420" s="15"/>
      <c r="AW420" s="3"/>
      <c r="AX420" s="3"/>
      <c r="AY420" s="3"/>
      <c r="AZ420" s="15"/>
      <c r="BF420" s="3"/>
      <c r="BG420" s="3"/>
      <c r="BH420" s="15"/>
    </row>
    <row r="421" spans="2:60" ht="15" customHeight="1" x14ac:dyDescent="0.4">
      <c r="B421" s="68"/>
      <c r="C421" s="69"/>
      <c r="D421" s="197" t="s">
        <v>113</v>
      </c>
      <c r="E421" s="199" t="s">
        <v>232</v>
      </c>
      <c r="F421" s="199"/>
      <c r="G421" s="170">
        <v>37</v>
      </c>
      <c r="H421" s="72"/>
      <c r="I421" s="33"/>
      <c r="J421" s="33"/>
      <c r="K421" s="33"/>
      <c r="L421" s="63"/>
      <c r="M421" s="14"/>
      <c r="N421" s="15"/>
      <c r="O421" s="15"/>
      <c r="P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3"/>
      <c r="AQ421" s="3"/>
      <c r="AR421" s="15"/>
      <c r="AS421" s="15"/>
      <c r="AT421" s="15"/>
      <c r="AU421" s="15"/>
      <c r="AW421" s="3"/>
      <c r="AX421" s="3"/>
      <c r="AY421" s="3"/>
      <c r="AZ421" s="15"/>
      <c r="BF421" s="3"/>
      <c r="BG421" s="3"/>
      <c r="BH421" s="15"/>
    </row>
    <row r="422" spans="2:60" ht="15" customHeight="1" x14ac:dyDescent="0.4">
      <c r="B422" s="68"/>
      <c r="C422" s="69"/>
      <c r="D422" s="198"/>
      <c r="E422" s="199"/>
      <c r="F422" s="199"/>
      <c r="G422" s="171"/>
      <c r="H422" s="73"/>
      <c r="I422" s="33"/>
      <c r="J422" s="33"/>
      <c r="K422" s="33"/>
      <c r="L422" s="63"/>
      <c r="M422" s="14"/>
      <c r="N422" s="15"/>
      <c r="O422" s="15"/>
      <c r="P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3"/>
      <c r="AQ422" s="3"/>
      <c r="AR422" s="15"/>
      <c r="AS422" s="65"/>
      <c r="AT422" s="67"/>
      <c r="AU422" s="15"/>
      <c r="AW422" s="3"/>
      <c r="AX422" s="3"/>
      <c r="AY422" s="3"/>
      <c r="AZ422" s="15"/>
      <c r="BF422" s="3"/>
      <c r="BG422" s="3"/>
      <c r="BH422" s="15"/>
    </row>
    <row r="423" spans="2:60" ht="15" customHeight="1" x14ac:dyDescent="0.4">
      <c r="B423" s="68"/>
      <c r="C423" s="69"/>
      <c r="D423" s="198"/>
      <c r="E423" s="199"/>
      <c r="F423" s="199"/>
      <c r="G423" s="172"/>
      <c r="H423" s="74"/>
      <c r="I423" s="33"/>
      <c r="J423" s="33"/>
      <c r="K423" s="33"/>
      <c r="L423" s="33"/>
      <c r="M423" s="14"/>
      <c r="N423" s="15"/>
      <c r="O423" s="15"/>
      <c r="P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3"/>
      <c r="AQ423" s="3"/>
      <c r="AR423" s="15"/>
      <c r="AS423" s="15"/>
      <c r="AT423" s="15"/>
      <c r="AU423" s="15"/>
      <c r="AW423" s="3"/>
      <c r="AX423" s="3"/>
      <c r="AY423" s="3"/>
      <c r="AZ423" s="15"/>
      <c r="BF423" s="3"/>
      <c r="BG423" s="3"/>
      <c r="BH423" s="15"/>
    </row>
    <row r="424" spans="2:60" ht="15" customHeight="1" x14ac:dyDescent="0.4">
      <c r="B424" s="68"/>
      <c r="C424" s="69"/>
      <c r="D424" s="197" t="s">
        <v>115</v>
      </c>
      <c r="E424" s="199" t="s">
        <v>233</v>
      </c>
      <c r="F424" s="199"/>
      <c r="G424" s="170">
        <v>37</v>
      </c>
      <c r="H424" s="72"/>
      <c r="I424" s="33"/>
      <c r="J424" s="33"/>
      <c r="K424" s="33"/>
      <c r="L424" s="63"/>
      <c r="M424" s="14"/>
      <c r="N424" s="15"/>
      <c r="O424" s="15"/>
      <c r="P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3"/>
      <c r="AQ424" s="3"/>
      <c r="AR424" s="15"/>
      <c r="AS424" s="15"/>
      <c r="AT424" s="15"/>
      <c r="AU424" s="15"/>
      <c r="AW424" s="3"/>
      <c r="AX424" s="3"/>
      <c r="AY424" s="3"/>
      <c r="AZ424" s="15"/>
      <c r="BF424" s="3"/>
      <c r="BG424" s="3"/>
      <c r="BH424" s="15"/>
    </row>
    <row r="425" spans="2:60" ht="15" customHeight="1" x14ac:dyDescent="0.4">
      <c r="B425" s="68"/>
      <c r="C425" s="69"/>
      <c r="D425" s="198"/>
      <c r="E425" s="199"/>
      <c r="F425" s="199"/>
      <c r="G425" s="171"/>
      <c r="H425" s="73"/>
      <c r="I425" s="33"/>
      <c r="J425" s="33"/>
      <c r="K425" s="33"/>
      <c r="L425" s="63"/>
      <c r="M425" s="14"/>
      <c r="N425" s="15"/>
      <c r="O425" s="15"/>
      <c r="P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3"/>
      <c r="AQ425" s="3"/>
      <c r="AR425" s="15"/>
      <c r="AS425" s="15"/>
      <c r="AT425" s="65"/>
      <c r="AU425" s="67"/>
      <c r="AW425" s="3"/>
      <c r="AX425" s="3"/>
      <c r="AY425" s="3"/>
      <c r="AZ425" s="15"/>
      <c r="BF425" s="3"/>
      <c r="BG425" s="3"/>
      <c r="BH425" s="15"/>
    </row>
    <row r="426" spans="2:60" ht="15" customHeight="1" x14ac:dyDescent="0.4">
      <c r="B426" s="68"/>
      <c r="C426" s="69"/>
      <c r="D426" s="198"/>
      <c r="E426" s="199"/>
      <c r="F426" s="199"/>
      <c r="G426" s="172"/>
      <c r="H426" s="74"/>
      <c r="I426" s="33"/>
      <c r="J426" s="33"/>
      <c r="K426" s="33"/>
      <c r="L426" s="33"/>
      <c r="M426" s="14"/>
      <c r="N426" s="15"/>
      <c r="O426" s="15"/>
      <c r="P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15"/>
      <c r="BF426" s="3"/>
      <c r="BG426" s="3"/>
      <c r="BH426" s="15"/>
    </row>
    <row r="427" spans="2:60" ht="15" customHeight="1" x14ac:dyDescent="0.4">
      <c r="B427" s="106"/>
      <c r="C427" s="184" t="s">
        <v>29</v>
      </c>
      <c r="D427" s="187" t="s">
        <v>234</v>
      </c>
      <c r="E427" s="188"/>
      <c r="F427" s="189"/>
      <c r="G427" s="45"/>
      <c r="H427" s="121">
        <f>SUM(G430:G441)</f>
        <v>140</v>
      </c>
      <c r="J427" s="33"/>
      <c r="K427" s="155">
        <f>H427*$J$8</f>
        <v>39392.5</v>
      </c>
      <c r="M427" s="14"/>
      <c r="N427" s="3"/>
      <c r="O427" s="15"/>
      <c r="P427" s="15"/>
      <c r="AG427" s="15"/>
      <c r="AH427" s="15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15"/>
      <c r="AU427" s="15"/>
      <c r="AV427" s="15"/>
      <c r="AW427" s="3"/>
      <c r="AX427" s="3"/>
      <c r="AY427" s="3"/>
      <c r="AZ427" s="3"/>
      <c r="BF427" s="3"/>
      <c r="BG427" s="3"/>
      <c r="BH427" s="3"/>
    </row>
    <row r="428" spans="2:60" ht="15" customHeight="1" x14ac:dyDescent="0.4">
      <c r="B428" s="156"/>
      <c r="C428" s="201"/>
      <c r="D428" s="190"/>
      <c r="E428" s="191"/>
      <c r="F428" s="192"/>
      <c r="G428" s="51"/>
      <c r="H428" s="122"/>
      <c r="J428" s="33"/>
      <c r="K428" s="155"/>
      <c r="M428" s="14"/>
      <c r="N428" s="15"/>
      <c r="O428" s="15"/>
      <c r="P428" s="15"/>
      <c r="AG428" s="15"/>
      <c r="AH428" s="15"/>
      <c r="AI428" s="15"/>
      <c r="AJ428" s="15"/>
      <c r="AK428" s="15"/>
      <c r="AL428" s="15"/>
      <c r="AM428" s="15"/>
      <c r="AN428" s="15"/>
      <c r="AS428" s="75"/>
      <c r="AT428" s="76"/>
      <c r="AU428" s="76"/>
      <c r="AV428" s="77"/>
      <c r="AW428" s="3"/>
      <c r="AX428" s="3"/>
      <c r="AY428" s="3"/>
      <c r="AZ428" s="3"/>
      <c r="BF428" s="3"/>
      <c r="BG428" s="3"/>
      <c r="BH428" s="3"/>
    </row>
    <row r="429" spans="2:60" ht="15" customHeight="1" x14ac:dyDescent="0.4">
      <c r="B429" s="157"/>
      <c r="C429" s="202"/>
      <c r="D429" s="193"/>
      <c r="E429" s="194"/>
      <c r="F429" s="195"/>
      <c r="G429" s="51"/>
      <c r="H429" s="123"/>
      <c r="J429" s="33"/>
      <c r="K429" s="155"/>
      <c r="M429" s="14"/>
      <c r="N429" s="15"/>
      <c r="O429" s="15"/>
      <c r="P429" s="15"/>
      <c r="AG429" s="15"/>
      <c r="AH429" s="15"/>
      <c r="AI429" s="15"/>
      <c r="AJ429" s="15"/>
      <c r="AK429" s="15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15"/>
      <c r="BF429" s="3"/>
      <c r="BG429" s="3"/>
      <c r="BH429" s="15"/>
    </row>
    <row r="430" spans="2:60" ht="15" customHeight="1" x14ac:dyDescent="0.4">
      <c r="B430" s="196"/>
      <c r="C430" s="196"/>
      <c r="D430" s="197" t="s">
        <v>124</v>
      </c>
      <c r="E430" s="199" t="s">
        <v>235</v>
      </c>
      <c r="F430" s="199"/>
      <c r="G430" s="170">
        <v>35</v>
      </c>
      <c r="H430" s="72"/>
      <c r="I430" s="63"/>
      <c r="J430" s="64"/>
      <c r="K430" s="64"/>
      <c r="L430" s="33"/>
      <c r="M430" s="14"/>
      <c r="N430" s="15"/>
      <c r="O430" s="15"/>
      <c r="P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3"/>
      <c r="AQ430" s="3"/>
      <c r="AR430" s="3"/>
      <c r="AS430" s="15"/>
      <c r="AT430" s="15"/>
      <c r="AU430" s="15"/>
      <c r="AV430" s="15"/>
      <c r="AW430" s="3"/>
      <c r="AX430" s="3"/>
      <c r="AY430" s="3"/>
      <c r="AZ430" s="15"/>
      <c r="BF430" s="3"/>
      <c r="BG430" s="3"/>
      <c r="BH430" s="15"/>
    </row>
    <row r="431" spans="2:60" ht="15" customHeight="1" x14ac:dyDescent="0.4">
      <c r="B431" s="196"/>
      <c r="C431" s="196"/>
      <c r="D431" s="198"/>
      <c r="E431" s="199"/>
      <c r="F431" s="199"/>
      <c r="G431" s="171"/>
      <c r="H431" s="73"/>
      <c r="I431" s="63"/>
      <c r="J431" s="63"/>
      <c r="K431" s="63"/>
      <c r="L431" s="33"/>
      <c r="M431" s="14"/>
      <c r="N431" s="15"/>
      <c r="O431" s="15"/>
      <c r="P431" s="15"/>
      <c r="AS431" s="65"/>
      <c r="AT431" s="67"/>
      <c r="AU431" s="3"/>
      <c r="AV431" s="3"/>
      <c r="AW431" s="3"/>
      <c r="AX431" s="3"/>
      <c r="AY431" s="3"/>
      <c r="AZ431" s="15"/>
      <c r="BF431" s="3"/>
      <c r="BG431" s="3"/>
      <c r="BH431" s="15"/>
    </row>
    <row r="432" spans="2:60" ht="15" customHeight="1" x14ac:dyDescent="0.4">
      <c r="B432" s="196"/>
      <c r="C432" s="196"/>
      <c r="D432" s="198"/>
      <c r="E432" s="199"/>
      <c r="F432" s="199"/>
      <c r="G432" s="172"/>
      <c r="H432" s="74"/>
      <c r="I432" s="63"/>
      <c r="J432" s="63"/>
      <c r="K432" s="63"/>
      <c r="L432" s="33"/>
      <c r="M432" s="14"/>
      <c r="N432" s="15"/>
      <c r="O432" s="15"/>
      <c r="P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3"/>
      <c r="AQ432" s="3"/>
      <c r="AR432" s="3"/>
      <c r="AS432" s="15"/>
      <c r="AT432" s="15"/>
      <c r="AU432" s="15"/>
      <c r="AV432" s="15"/>
      <c r="AW432" s="3"/>
      <c r="AX432" s="3"/>
      <c r="AY432" s="3"/>
      <c r="AZ432" s="15"/>
      <c r="BF432" s="3"/>
      <c r="BG432" s="3"/>
      <c r="BH432" s="15"/>
    </row>
    <row r="433" spans="2:60" ht="15" customHeight="1" x14ac:dyDescent="0.4">
      <c r="B433" s="68"/>
      <c r="C433" s="69"/>
      <c r="D433" s="197" t="s">
        <v>126</v>
      </c>
      <c r="E433" s="199" t="s">
        <v>236</v>
      </c>
      <c r="F433" s="199"/>
      <c r="G433" s="170">
        <v>35</v>
      </c>
      <c r="H433" s="72"/>
      <c r="I433" s="33"/>
      <c r="J433" s="33"/>
      <c r="K433" s="33"/>
      <c r="L433" s="63"/>
      <c r="M433" s="14"/>
      <c r="N433" s="15"/>
      <c r="O433" s="15"/>
      <c r="P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3"/>
      <c r="AQ433" s="3"/>
      <c r="AR433" s="3"/>
      <c r="AS433" s="15"/>
      <c r="AT433" s="15"/>
      <c r="AU433" s="15"/>
      <c r="AV433" s="15"/>
      <c r="AW433" s="3"/>
      <c r="AX433" s="3"/>
      <c r="AY433" s="3"/>
      <c r="AZ433" s="15"/>
      <c r="BF433" s="3"/>
      <c r="BG433" s="3"/>
      <c r="BH433" s="15"/>
    </row>
    <row r="434" spans="2:60" ht="15" customHeight="1" x14ac:dyDescent="0.4">
      <c r="B434" s="68"/>
      <c r="C434" s="69"/>
      <c r="D434" s="198"/>
      <c r="E434" s="199"/>
      <c r="F434" s="199"/>
      <c r="G434" s="171"/>
      <c r="H434" s="73"/>
      <c r="I434" s="33"/>
      <c r="J434" s="33"/>
      <c r="K434" s="33"/>
      <c r="L434" s="63"/>
      <c r="M434" s="14"/>
      <c r="N434" s="15"/>
      <c r="O434" s="15"/>
      <c r="P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3"/>
      <c r="AQ434" s="3"/>
      <c r="AR434" s="3"/>
      <c r="AS434" s="65"/>
      <c r="AT434" s="67"/>
      <c r="AU434" s="15"/>
      <c r="AV434" s="15"/>
      <c r="AW434" s="3"/>
      <c r="AX434" s="3"/>
      <c r="AY434" s="3"/>
      <c r="AZ434" s="15"/>
      <c r="BF434" s="3"/>
      <c r="BG434" s="3"/>
      <c r="BH434" s="15"/>
    </row>
    <row r="435" spans="2:60" ht="15" customHeight="1" x14ac:dyDescent="0.4">
      <c r="B435" s="68"/>
      <c r="C435" s="69"/>
      <c r="D435" s="198"/>
      <c r="E435" s="199"/>
      <c r="F435" s="199"/>
      <c r="G435" s="172"/>
      <c r="H435" s="74"/>
      <c r="I435" s="33"/>
      <c r="J435" s="33"/>
      <c r="K435" s="33"/>
      <c r="L435" s="33"/>
      <c r="M435" s="14"/>
      <c r="N435" s="15"/>
      <c r="O435" s="15"/>
      <c r="P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3"/>
      <c r="AQ435" s="3"/>
      <c r="AR435" s="3"/>
      <c r="AS435" s="15"/>
      <c r="AT435" s="15"/>
      <c r="AU435" s="15"/>
      <c r="AV435" s="15"/>
      <c r="AW435" s="3"/>
      <c r="AX435" s="3"/>
      <c r="AY435" s="3"/>
      <c r="AZ435" s="15"/>
      <c r="BF435" s="3"/>
      <c r="BG435" s="3"/>
      <c r="BH435" s="15"/>
    </row>
    <row r="436" spans="2:60" ht="15" customHeight="1" x14ac:dyDescent="0.4">
      <c r="B436" s="68"/>
      <c r="C436" s="69"/>
      <c r="D436" s="197" t="s">
        <v>128</v>
      </c>
      <c r="E436" s="199" t="s">
        <v>237</v>
      </c>
      <c r="F436" s="199"/>
      <c r="G436" s="170">
        <v>35</v>
      </c>
      <c r="H436" s="72"/>
      <c r="I436" s="33"/>
      <c r="J436" s="33"/>
      <c r="K436" s="33"/>
      <c r="L436" s="63"/>
      <c r="M436" s="14"/>
      <c r="N436" s="15"/>
      <c r="O436" s="15"/>
      <c r="P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3"/>
      <c r="AQ436" s="3"/>
      <c r="AR436" s="3"/>
      <c r="AS436" s="15"/>
      <c r="AT436" s="15"/>
      <c r="AU436" s="15"/>
      <c r="AV436" s="15"/>
      <c r="AW436" s="3"/>
      <c r="AX436" s="3"/>
      <c r="AY436" s="3"/>
      <c r="AZ436" s="15"/>
      <c r="BF436" s="3"/>
      <c r="BG436" s="3"/>
      <c r="BH436" s="15"/>
    </row>
    <row r="437" spans="2:60" ht="15" customHeight="1" x14ac:dyDescent="0.4">
      <c r="B437" s="68"/>
      <c r="C437" s="69"/>
      <c r="D437" s="198"/>
      <c r="E437" s="199"/>
      <c r="F437" s="199"/>
      <c r="G437" s="171"/>
      <c r="H437" s="73"/>
      <c r="I437" s="33"/>
      <c r="J437" s="33"/>
      <c r="K437" s="33"/>
      <c r="L437" s="63"/>
      <c r="M437" s="14"/>
      <c r="N437" s="15"/>
      <c r="O437" s="15"/>
      <c r="P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3"/>
      <c r="AQ437" s="3"/>
      <c r="AR437" s="3"/>
      <c r="AS437" s="15"/>
      <c r="AT437" s="65"/>
      <c r="AU437" s="67"/>
      <c r="AV437" s="15"/>
      <c r="AW437" s="3"/>
      <c r="AX437" s="3"/>
      <c r="AY437" s="3"/>
      <c r="AZ437" s="15"/>
      <c r="BF437" s="3"/>
      <c r="BG437" s="3"/>
      <c r="BH437" s="15"/>
    </row>
    <row r="438" spans="2:60" ht="15" customHeight="1" x14ac:dyDescent="0.4">
      <c r="B438" s="68"/>
      <c r="C438" s="69"/>
      <c r="D438" s="198"/>
      <c r="E438" s="199"/>
      <c r="F438" s="199"/>
      <c r="G438" s="172"/>
      <c r="H438" s="74"/>
      <c r="I438" s="33"/>
      <c r="J438" s="33"/>
      <c r="K438" s="33"/>
      <c r="L438" s="33"/>
      <c r="M438" s="14"/>
      <c r="N438" s="15"/>
      <c r="O438" s="15"/>
      <c r="P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3"/>
      <c r="AQ438" s="3"/>
      <c r="AR438" s="3"/>
      <c r="AS438" s="15"/>
      <c r="AT438" s="15"/>
      <c r="AU438" s="15"/>
      <c r="AV438" s="15"/>
      <c r="AW438" s="3"/>
      <c r="AX438" s="3"/>
      <c r="AY438" s="3"/>
      <c r="AZ438" s="15"/>
      <c r="BF438" s="3"/>
      <c r="BG438" s="3"/>
      <c r="BH438" s="15"/>
    </row>
    <row r="439" spans="2:60" ht="15" customHeight="1" x14ac:dyDescent="0.4">
      <c r="B439" s="196"/>
      <c r="C439" s="196"/>
      <c r="D439" s="197" t="s">
        <v>130</v>
      </c>
      <c r="E439" s="199" t="s">
        <v>238</v>
      </c>
      <c r="F439" s="199"/>
      <c r="G439" s="170">
        <v>35</v>
      </c>
      <c r="H439" s="72"/>
      <c r="I439" s="63"/>
      <c r="J439" s="64"/>
      <c r="K439" s="64"/>
      <c r="L439" s="33"/>
      <c r="M439" s="14"/>
      <c r="N439" s="15"/>
      <c r="O439" s="15"/>
      <c r="P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3"/>
      <c r="AQ439" s="3"/>
      <c r="AR439" s="3"/>
      <c r="AS439" s="15"/>
      <c r="AT439" s="15"/>
      <c r="AU439" s="15"/>
      <c r="AV439" s="15"/>
      <c r="AW439" s="3"/>
      <c r="AX439" s="3"/>
      <c r="AY439" s="3"/>
      <c r="AZ439" s="15"/>
      <c r="BF439" s="3"/>
      <c r="BG439" s="3"/>
      <c r="BH439" s="15"/>
    </row>
    <row r="440" spans="2:60" ht="15" customHeight="1" x14ac:dyDescent="0.4">
      <c r="B440" s="196"/>
      <c r="C440" s="196"/>
      <c r="D440" s="198"/>
      <c r="E440" s="199"/>
      <c r="F440" s="199"/>
      <c r="G440" s="171"/>
      <c r="H440" s="73"/>
      <c r="I440" s="63"/>
      <c r="J440" s="63"/>
      <c r="K440" s="63"/>
      <c r="L440" s="33"/>
      <c r="M440" s="14"/>
      <c r="N440" s="15"/>
      <c r="O440" s="15"/>
      <c r="P440" s="15"/>
      <c r="AS440" s="15"/>
      <c r="AT440" s="15"/>
      <c r="AU440" s="65"/>
      <c r="AV440" s="67"/>
      <c r="AW440" s="3"/>
      <c r="AX440" s="3"/>
      <c r="AY440" s="3"/>
      <c r="AZ440" s="15"/>
      <c r="BF440" s="3"/>
      <c r="BG440" s="3"/>
      <c r="BH440" s="15"/>
    </row>
    <row r="441" spans="2:60" ht="15" customHeight="1" x14ac:dyDescent="0.4">
      <c r="B441" s="196"/>
      <c r="C441" s="196"/>
      <c r="D441" s="198"/>
      <c r="E441" s="199"/>
      <c r="F441" s="199"/>
      <c r="G441" s="172"/>
      <c r="H441" s="74"/>
      <c r="I441" s="63"/>
      <c r="J441" s="63"/>
      <c r="K441" s="63"/>
      <c r="L441" s="33"/>
      <c r="M441" s="14"/>
      <c r="N441" s="15"/>
      <c r="O441" s="15"/>
      <c r="P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3"/>
      <c r="AQ441" s="3"/>
      <c r="AR441" s="3"/>
      <c r="AS441" s="15"/>
      <c r="AT441" s="3"/>
      <c r="AU441" s="3"/>
      <c r="AV441" s="3"/>
      <c r="AW441" s="3"/>
      <c r="AX441" s="3"/>
      <c r="AY441" s="3"/>
      <c r="AZ441" s="15"/>
      <c r="BF441" s="3"/>
      <c r="BG441" s="3"/>
      <c r="BH441" s="15"/>
    </row>
    <row r="442" spans="2:60" ht="15" customHeight="1" x14ac:dyDescent="0.4">
      <c r="B442" s="106"/>
      <c r="C442" s="184" t="s">
        <v>31</v>
      </c>
      <c r="D442" s="187" t="s">
        <v>239</v>
      </c>
      <c r="E442" s="188"/>
      <c r="F442" s="189"/>
      <c r="G442" s="45"/>
      <c r="H442" s="121">
        <f>SUM(G445:G459)</f>
        <v>155</v>
      </c>
      <c r="J442" s="33"/>
      <c r="K442" s="224">
        <f>H442*$J$8</f>
        <v>43613.125</v>
      </c>
      <c r="M442" s="14"/>
      <c r="N442" s="3"/>
      <c r="O442" s="15"/>
      <c r="P442" s="15"/>
      <c r="AG442" s="15"/>
      <c r="AH442" s="15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15"/>
      <c r="AU442" s="15"/>
      <c r="AV442" s="15"/>
      <c r="AW442" s="3"/>
      <c r="AX442" s="3"/>
      <c r="AY442" s="3"/>
      <c r="AZ442" s="3"/>
      <c r="BF442" s="3"/>
      <c r="BG442" s="3"/>
      <c r="BH442" s="3"/>
    </row>
    <row r="443" spans="2:60" ht="15" customHeight="1" x14ac:dyDescent="0.4">
      <c r="B443" s="107"/>
      <c r="C443" s="185"/>
      <c r="D443" s="190"/>
      <c r="E443" s="191"/>
      <c r="F443" s="192"/>
      <c r="G443" s="51"/>
      <c r="H443" s="122"/>
      <c r="J443" s="33"/>
      <c r="K443" s="225"/>
      <c r="M443" s="14"/>
      <c r="N443" s="15"/>
      <c r="O443" s="15"/>
      <c r="P443" s="15"/>
      <c r="AG443" s="15"/>
      <c r="AH443" s="15"/>
      <c r="AI443" s="15"/>
      <c r="AJ443" s="15"/>
      <c r="AK443" s="15"/>
      <c r="AL443" s="15"/>
      <c r="AM443" s="15"/>
      <c r="AN443" s="15"/>
      <c r="AV443" s="59"/>
      <c r="AW443" s="60"/>
      <c r="AX443" s="60"/>
      <c r="AY443" s="61"/>
      <c r="AZ443" s="3"/>
      <c r="BF443" s="3"/>
      <c r="BG443" s="3"/>
      <c r="BH443" s="3"/>
    </row>
    <row r="444" spans="2:60" ht="15" customHeight="1" x14ac:dyDescent="0.4">
      <c r="B444" s="108"/>
      <c r="C444" s="186"/>
      <c r="D444" s="193"/>
      <c r="E444" s="194"/>
      <c r="F444" s="195"/>
      <c r="G444" s="51"/>
      <c r="H444" s="123"/>
      <c r="J444" s="33"/>
      <c r="K444" s="226"/>
      <c r="M444" s="14"/>
      <c r="N444" s="15"/>
      <c r="O444" s="15"/>
      <c r="P444" s="15"/>
      <c r="AG444" s="15"/>
      <c r="AH444" s="15"/>
      <c r="AI444" s="15"/>
      <c r="AJ444" s="15"/>
      <c r="AK444" s="15"/>
      <c r="AL444" s="3"/>
      <c r="AM444" s="3"/>
      <c r="AN444" s="3"/>
      <c r="AO444" s="3"/>
      <c r="AP444" s="3"/>
      <c r="AQ444" s="3"/>
      <c r="AR444" s="3"/>
      <c r="AS444" s="3"/>
      <c r="AT444" s="15"/>
      <c r="AU444" s="15"/>
      <c r="AV444" s="15"/>
      <c r="AW444" s="3"/>
      <c r="AX444" s="3"/>
      <c r="AY444" s="3"/>
      <c r="AZ444" s="15"/>
      <c r="BF444" s="3"/>
      <c r="BG444" s="3"/>
      <c r="BH444" s="15"/>
    </row>
    <row r="445" spans="2:60" ht="14.15" customHeight="1" x14ac:dyDescent="0.4">
      <c r="B445" s="158"/>
      <c r="C445" s="158"/>
      <c r="D445" s="161" t="s">
        <v>137</v>
      </c>
      <c r="E445" s="209" t="s">
        <v>240</v>
      </c>
      <c r="F445" s="210"/>
      <c r="G445" s="170">
        <v>31</v>
      </c>
      <c r="H445" s="72"/>
      <c r="I445" s="63"/>
      <c r="J445" s="64"/>
      <c r="K445" s="64"/>
      <c r="L445" s="33"/>
      <c r="M445" s="14"/>
      <c r="N445" s="15"/>
      <c r="O445" s="15"/>
      <c r="P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3"/>
      <c r="AQ445" s="3"/>
      <c r="AR445" s="3"/>
      <c r="AS445" s="15"/>
      <c r="AT445" s="3"/>
      <c r="AU445" s="3"/>
      <c r="AV445" s="15"/>
      <c r="AW445" s="15"/>
      <c r="AX445" s="15"/>
      <c r="AY445" s="15"/>
      <c r="AZ445" s="15"/>
      <c r="BF445" s="3"/>
      <c r="BG445" s="3"/>
      <c r="BH445" s="15"/>
    </row>
    <row r="446" spans="2:60" ht="14.15" customHeight="1" x14ac:dyDescent="0.4">
      <c r="B446" s="159"/>
      <c r="C446" s="159"/>
      <c r="D446" s="162"/>
      <c r="E446" s="211"/>
      <c r="F446" s="212"/>
      <c r="G446" s="171"/>
      <c r="H446" s="73"/>
      <c r="I446" s="63"/>
      <c r="J446" s="63"/>
      <c r="K446" s="63"/>
      <c r="L446" s="33"/>
      <c r="M446" s="14"/>
      <c r="N446" s="15"/>
      <c r="O446" s="15"/>
      <c r="P446" s="15"/>
      <c r="AV446" s="65"/>
      <c r="AW446" s="67"/>
      <c r="AX446" s="3"/>
      <c r="AZ446" s="15"/>
      <c r="BF446" s="3"/>
      <c r="BG446" s="3"/>
      <c r="BH446" s="15"/>
    </row>
    <row r="447" spans="2:60" ht="14.15" customHeight="1" x14ac:dyDescent="0.4">
      <c r="B447" s="160"/>
      <c r="C447" s="160"/>
      <c r="D447" s="163"/>
      <c r="E447" s="213"/>
      <c r="F447" s="214"/>
      <c r="G447" s="172"/>
      <c r="H447" s="74"/>
      <c r="I447" s="63"/>
      <c r="J447" s="63"/>
      <c r="K447" s="63"/>
      <c r="L447" s="33"/>
      <c r="M447" s="14"/>
      <c r="N447" s="15"/>
      <c r="O447" s="15"/>
      <c r="P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3"/>
      <c r="AQ447" s="3"/>
      <c r="AR447" s="3"/>
      <c r="AS447" s="15"/>
      <c r="AT447" s="3"/>
      <c r="AU447" s="3"/>
      <c r="AV447" s="15"/>
      <c r="AW447" s="15"/>
      <c r="AX447" s="3"/>
      <c r="AY447" s="15"/>
      <c r="AZ447" s="15"/>
      <c r="BF447" s="3"/>
      <c r="BG447" s="3"/>
      <c r="BH447" s="15"/>
    </row>
    <row r="448" spans="2:60" ht="14.15" customHeight="1" x14ac:dyDescent="0.4">
      <c r="B448" s="68"/>
      <c r="C448" s="69"/>
      <c r="D448" s="161" t="s">
        <v>139</v>
      </c>
      <c r="E448" s="209" t="s">
        <v>241</v>
      </c>
      <c r="F448" s="210"/>
      <c r="G448" s="170">
        <v>31</v>
      </c>
      <c r="H448" s="72"/>
      <c r="I448" s="33"/>
      <c r="J448" s="33"/>
      <c r="K448" s="33"/>
      <c r="L448" s="63"/>
      <c r="M448" s="14"/>
      <c r="N448" s="15"/>
      <c r="O448" s="15"/>
      <c r="P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3"/>
      <c r="AQ448" s="3"/>
      <c r="AR448" s="3"/>
      <c r="AS448" s="3"/>
      <c r="AT448" s="3"/>
      <c r="AU448" s="3"/>
      <c r="AV448" s="15"/>
      <c r="AW448" s="15"/>
      <c r="AX448" s="3"/>
      <c r="AY448" s="15"/>
      <c r="AZ448" s="15"/>
      <c r="BF448" s="3"/>
      <c r="BG448" s="3"/>
      <c r="BH448" s="15"/>
    </row>
    <row r="449" spans="2:60" ht="14.15" customHeight="1" x14ac:dyDescent="0.4">
      <c r="B449" s="68"/>
      <c r="C449" s="69"/>
      <c r="D449" s="162"/>
      <c r="E449" s="211"/>
      <c r="F449" s="212"/>
      <c r="G449" s="171"/>
      <c r="H449" s="73"/>
      <c r="I449" s="33"/>
      <c r="J449" s="33"/>
      <c r="K449" s="33"/>
      <c r="L449" s="63"/>
      <c r="M449" s="14"/>
      <c r="N449" s="15"/>
      <c r="O449" s="15"/>
      <c r="P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3"/>
      <c r="AQ449" s="3"/>
      <c r="AR449" s="3"/>
      <c r="AS449" s="3"/>
      <c r="AT449" s="3"/>
      <c r="AU449" s="3"/>
      <c r="AV449" s="65"/>
      <c r="AW449" s="67"/>
      <c r="AX449" s="15"/>
      <c r="AY449" s="15"/>
      <c r="AZ449" s="15"/>
      <c r="BF449" s="3"/>
      <c r="BG449" s="3"/>
      <c r="BH449" s="15"/>
    </row>
    <row r="450" spans="2:60" ht="14.15" customHeight="1" x14ac:dyDescent="0.4">
      <c r="B450" s="68"/>
      <c r="C450" s="69"/>
      <c r="D450" s="163"/>
      <c r="E450" s="213"/>
      <c r="F450" s="214"/>
      <c r="G450" s="172"/>
      <c r="H450" s="74"/>
      <c r="I450" s="33"/>
      <c r="J450" s="33"/>
      <c r="K450" s="33"/>
      <c r="L450" s="33"/>
      <c r="M450" s="14"/>
      <c r="N450" s="15"/>
      <c r="O450" s="15"/>
      <c r="P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3"/>
      <c r="AQ450" s="3"/>
      <c r="AR450" s="3"/>
      <c r="AS450" s="3"/>
      <c r="AT450" s="3"/>
      <c r="AU450" s="3"/>
      <c r="AV450" s="15"/>
      <c r="AW450" s="15"/>
      <c r="AX450" s="3"/>
      <c r="AY450" s="15"/>
      <c r="AZ450" s="15"/>
      <c r="BF450" s="3"/>
      <c r="BG450" s="3"/>
      <c r="BH450" s="15"/>
    </row>
    <row r="451" spans="2:60" ht="14.15" customHeight="1" x14ac:dyDescent="0.4">
      <c r="B451" s="68"/>
      <c r="C451" s="69"/>
      <c r="D451" s="161" t="s">
        <v>141</v>
      </c>
      <c r="E451" s="209" t="s">
        <v>242</v>
      </c>
      <c r="F451" s="210"/>
      <c r="G451" s="170">
        <v>31</v>
      </c>
      <c r="H451" s="72"/>
      <c r="I451" s="33"/>
      <c r="J451" s="33"/>
      <c r="K451" s="33"/>
      <c r="L451" s="63"/>
      <c r="M451" s="14"/>
      <c r="N451" s="15"/>
      <c r="O451" s="15"/>
      <c r="P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3"/>
      <c r="AQ451" s="3"/>
      <c r="AR451" s="3"/>
      <c r="AS451" s="3"/>
      <c r="AT451" s="3"/>
      <c r="AU451" s="3"/>
      <c r="AV451" s="15"/>
      <c r="AW451" s="15"/>
      <c r="AX451" s="3"/>
      <c r="AY451" s="15"/>
      <c r="AZ451" s="15"/>
      <c r="BF451" s="3"/>
      <c r="BG451" s="3"/>
      <c r="BH451" s="15"/>
    </row>
    <row r="452" spans="2:60" ht="14.15" customHeight="1" x14ac:dyDescent="0.4">
      <c r="B452" s="68"/>
      <c r="C452" s="69"/>
      <c r="D452" s="162"/>
      <c r="E452" s="211"/>
      <c r="F452" s="212"/>
      <c r="G452" s="171"/>
      <c r="H452" s="73"/>
      <c r="I452" s="33"/>
      <c r="J452" s="33"/>
      <c r="K452" s="33"/>
      <c r="L452" s="63"/>
      <c r="M452" s="14"/>
      <c r="N452" s="15"/>
      <c r="O452" s="15"/>
      <c r="P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3"/>
      <c r="AQ452" s="3"/>
      <c r="AR452" s="3"/>
      <c r="AS452" s="3"/>
      <c r="AT452" s="3"/>
      <c r="AU452" s="3"/>
      <c r="AV452" s="15"/>
      <c r="AW452" s="65"/>
      <c r="AX452" s="67"/>
      <c r="AY452" s="15"/>
      <c r="AZ452" s="15"/>
      <c r="BF452" s="3"/>
      <c r="BG452" s="3"/>
      <c r="BH452" s="15"/>
    </row>
    <row r="453" spans="2:60" ht="14.15" customHeight="1" x14ac:dyDescent="0.4">
      <c r="B453" s="68"/>
      <c r="C453" s="69"/>
      <c r="D453" s="163"/>
      <c r="E453" s="213"/>
      <c r="F453" s="214"/>
      <c r="G453" s="172"/>
      <c r="H453" s="74"/>
      <c r="I453" s="33"/>
      <c r="J453" s="33"/>
      <c r="K453" s="33"/>
      <c r="L453" s="33"/>
      <c r="M453" s="14"/>
      <c r="N453" s="15"/>
      <c r="O453" s="15"/>
      <c r="P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3"/>
      <c r="AQ453" s="3"/>
      <c r="AR453" s="3"/>
      <c r="AS453" s="3"/>
      <c r="AT453" s="3"/>
      <c r="AU453" s="3"/>
      <c r="AV453" s="15"/>
      <c r="AW453" s="15"/>
      <c r="AX453" s="3"/>
      <c r="AY453" s="15"/>
      <c r="AZ453" s="15"/>
      <c r="BF453" s="3"/>
      <c r="BG453" s="3"/>
      <c r="BH453" s="15"/>
    </row>
    <row r="454" spans="2:60" ht="14.15" customHeight="1" x14ac:dyDescent="0.4">
      <c r="B454" s="158"/>
      <c r="C454" s="158"/>
      <c r="D454" s="161" t="s">
        <v>143</v>
      </c>
      <c r="E454" s="209" t="s">
        <v>243</v>
      </c>
      <c r="F454" s="210"/>
      <c r="G454" s="170">
        <v>31</v>
      </c>
      <c r="H454" s="72"/>
      <c r="I454" s="63"/>
      <c r="J454" s="64"/>
      <c r="K454" s="64"/>
      <c r="L454" s="33"/>
      <c r="M454" s="14"/>
      <c r="N454" s="15"/>
      <c r="O454" s="15"/>
      <c r="P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3"/>
      <c r="AQ454" s="3"/>
      <c r="AR454" s="3"/>
      <c r="AS454" s="15"/>
      <c r="AT454" s="3"/>
      <c r="AU454" s="3"/>
      <c r="AV454" s="15"/>
      <c r="AW454" s="15"/>
      <c r="AX454" s="3"/>
      <c r="AY454" s="15"/>
      <c r="AZ454" s="15"/>
      <c r="BF454" s="3"/>
      <c r="BG454" s="3"/>
      <c r="BH454" s="15"/>
    </row>
    <row r="455" spans="2:60" ht="14.15" customHeight="1" x14ac:dyDescent="0.4">
      <c r="B455" s="159"/>
      <c r="C455" s="159"/>
      <c r="D455" s="162"/>
      <c r="E455" s="211"/>
      <c r="F455" s="212"/>
      <c r="G455" s="171"/>
      <c r="H455" s="73"/>
      <c r="I455" s="63"/>
      <c r="J455" s="63"/>
      <c r="K455" s="63"/>
      <c r="L455" s="33"/>
      <c r="M455" s="14"/>
      <c r="N455" s="15"/>
      <c r="O455" s="15"/>
      <c r="P455" s="15"/>
      <c r="AV455" s="15"/>
      <c r="AX455" s="65"/>
      <c r="AY455" s="67"/>
      <c r="AZ455" s="15"/>
      <c r="BF455" s="3"/>
      <c r="BG455" s="3"/>
      <c r="BH455" s="15"/>
    </row>
    <row r="456" spans="2:60" ht="14.15" customHeight="1" x14ac:dyDescent="0.4">
      <c r="B456" s="160"/>
      <c r="C456" s="160"/>
      <c r="D456" s="163"/>
      <c r="E456" s="213"/>
      <c r="F456" s="214"/>
      <c r="G456" s="172"/>
      <c r="H456" s="74"/>
      <c r="I456" s="63"/>
      <c r="J456" s="63"/>
      <c r="K456" s="63"/>
      <c r="L456" s="33"/>
      <c r="M456" s="14"/>
      <c r="N456" s="15"/>
      <c r="O456" s="15"/>
      <c r="P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3"/>
      <c r="AQ456" s="3"/>
      <c r="AR456" s="3"/>
      <c r="AS456" s="15"/>
      <c r="AT456" s="3"/>
      <c r="AU456" s="3"/>
      <c r="AV456" s="15"/>
      <c r="AX456" s="15"/>
      <c r="AY456" s="3"/>
      <c r="AZ456" s="15"/>
      <c r="BF456" s="3"/>
      <c r="BG456" s="3"/>
      <c r="BH456" s="15"/>
    </row>
    <row r="457" spans="2:60" ht="15" customHeight="1" x14ac:dyDescent="0.4">
      <c r="B457" s="68"/>
      <c r="C457" s="69"/>
      <c r="D457" s="161" t="s">
        <v>145</v>
      </c>
      <c r="E457" s="209" t="s">
        <v>244</v>
      </c>
      <c r="F457" s="210"/>
      <c r="G457" s="170">
        <v>31</v>
      </c>
      <c r="H457" s="72"/>
      <c r="I457" s="33"/>
      <c r="J457" s="33"/>
      <c r="K457" s="33"/>
      <c r="L457" s="63"/>
      <c r="M457" s="14"/>
      <c r="N457" s="15"/>
      <c r="O457" s="15"/>
      <c r="P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3"/>
      <c r="AQ457" s="3"/>
      <c r="AR457" s="3"/>
      <c r="AS457" s="3"/>
      <c r="AT457" s="3"/>
      <c r="AU457" s="3"/>
      <c r="AV457" s="15"/>
      <c r="AX457" s="15"/>
      <c r="AY457" s="3"/>
      <c r="AZ457" s="15"/>
      <c r="BF457" s="3"/>
      <c r="BG457" s="3"/>
      <c r="BH457" s="15"/>
    </row>
    <row r="458" spans="2:60" ht="15" customHeight="1" x14ac:dyDescent="0.4">
      <c r="B458" s="68"/>
      <c r="C458" s="69"/>
      <c r="D458" s="162"/>
      <c r="E458" s="211"/>
      <c r="F458" s="212"/>
      <c r="G458" s="171"/>
      <c r="H458" s="73"/>
      <c r="I458" s="33"/>
      <c r="J458" s="33"/>
      <c r="K458" s="33"/>
      <c r="L458" s="63"/>
      <c r="M458" s="14"/>
      <c r="N458" s="15"/>
      <c r="O458" s="15"/>
      <c r="P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3"/>
      <c r="AQ458" s="3"/>
      <c r="AR458" s="3"/>
      <c r="AS458" s="3"/>
      <c r="AT458" s="3"/>
      <c r="AU458" s="3"/>
      <c r="AV458" s="15"/>
      <c r="AW458" s="15"/>
      <c r="AX458" s="65"/>
      <c r="AY458" s="67"/>
      <c r="AZ458" s="15"/>
      <c r="BF458" s="3"/>
      <c r="BG458" s="3"/>
      <c r="BH458" s="15"/>
    </row>
    <row r="459" spans="2:60" ht="15" customHeight="1" x14ac:dyDescent="0.4">
      <c r="B459" s="68"/>
      <c r="C459" s="69"/>
      <c r="D459" s="163"/>
      <c r="E459" s="213"/>
      <c r="F459" s="214"/>
      <c r="G459" s="172"/>
      <c r="H459" s="74"/>
      <c r="I459" s="33"/>
      <c r="J459" s="33"/>
      <c r="K459" s="33"/>
      <c r="L459" s="33"/>
      <c r="M459" s="14"/>
      <c r="N459" s="15"/>
      <c r="O459" s="15"/>
      <c r="P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15"/>
      <c r="BF459" s="3"/>
      <c r="BG459" s="3"/>
      <c r="BH459" s="15"/>
    </row>
    <row r="460" spans="2:60" ht="15" customHeight="1" x14ac:dyDescent="0.4">
      <c r="B460" s="106"/>
      <c r="C460" s="184" t="s">
        <v>33</v>
      </c>
      <c r="D460" s="187" t="s">
        <v>245</v>
      </c>
      <c r="E460" s="188"/>
      <c r="F460" s="189"/>
      <c r="G460" s="45"/>
      <c r="H460" s="121">
        <f>SUM(G463:G471)</f>
        <v>100</v>
      </c>
      <c r="J460" s="33"/>
      <c r="K460" s="224">
        <f>H460*$J$8</f>
        <v>28137.5</v>
      </c>
      <c r="M460" s="14"/>
      <c r="N460" s="3"/>
      <c r="O460" s="15"/>
      <c r="P460" s="15"/>
      <c r="AG460" s="15"/>
      <c r="AH460" s="15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15"/>
      <c r="AU460" s="15"/>
      <c r="AV460" s="15"/>
      <c r="AW460" s="3"/>
      <c r="AX460" s="3"/>
      <c r="AY460" s="3"/>
      <c r="AZ460" s="3"/>
      <c r="BF460" s="3"/>
      <c r="BG460" s="3"/>
      <c r="BH460" s="3"/>
    </row>
    <row r="461" spans="2:60" ht="15" customHeight="1" x14ac:dyDescent="0.4">
      <c r="B461" s="107"/>
      <c r="C461" s="185"/>
      <c r="D461" s="190"/>
      <c r="E461" s="191"/>
      <c r="F461" s="192"/>
      <c r="G461" s="51"/>
      <c r="H461" s="122"/>
      <c r="J461" s="33"/>
      <c r="K461" s="225"/>
      <c r="M461" s="14"/>
      <c r="N461" s="15"/>
      <c r="O461" s="15"/>
      <c r="P461" s="15"/>
      <c r="AG461" s="15"/>
      <c r="AH461" s="15"/>
      <c r="AI461" s="15"/>
      <c r="AJ461" s="15"/>
      <c r="AK461" s="15"/>
      <c r="AL461" s="15"/>
      <c r="AM461" s="15"/>
      <c r="AN461" s="15"/>
      <c r="AV461" s="15"/>
      <c r="AW461" s="59"/>
      <c r="AX461" s="60"/>
      <c r="AY461" s="60"/>
      <c r="AZ461" s="61"/>
      <c r="BF461" s="3"/>
      <c r="BG461" s="3"/>
      <c r="BH461" s="3"/>
    </row>
    <row r="462" spans="2:60" ht="15" customHeight="1" x14ac:dyDescent="0.4">
      <c r="B462" s="108"/>
      <c r="C462" s="186"/>
      <c r="D462" s="193"/>
      <c r="E462" s="194"/>
      <c r="F462" s="195"/>
      <c r="G462" s="51"/>
      <c r="H462" s="123"/>
      <c r="J462" s="33"/>
      <c r="K462" s="226"/>
      <c r="M462" s="14"/>
      <c r="N462" s="15"/>
      <c r="O462" s="15"/>
      <c r="P462" s="15"/>
      <c r="AG462" s="15"/>
      <c r="AH462" s="15"/>
      <c r="AI462" s="15"/>
      <c r="AJ462" s="15"/>
      <c r="AK462" s="15"/>
      <c r="AL462" s="3"/>
      <c r="AM462" s="3"/>
      <c r="AN462" s="3"/>
      <c r="AO462" s="3"/>
      <c r="AP462" s="3"/>
      <c r="AQ462" s="3"/>
      <c r="AR462" s="3"/>
      <c r="AS462" s="3"/>
      <c r="AT462" s="15"/>
      <c r="AU462" s="15"/>
      <c r="AV462" s="15"/>
      <c r="AW462" s="15"/>
      <c r="AX462" s="3"/>
      <c r="AY462" s="3"/>
      <c r="AZ462" s="3"/>
      <c r="BF462" s="3"/>
      <c r="BG462" s="3"/>
      <c r="BH462" s="15"/>
    </row>
    <row r="463" spans="2:60" ht="15" customHeight="1" x14ac:dyDescent="0.4">
      <c r="B463" s="158"/>
      <c r="C463" s="158"/>
      <c r="D463" s="161" t="s">
        <v>202</v>
      </c>
      <c r="E463" s="209" t="s">
        <v>246</v>
      </c>
      <c r="F463" s="210"/>
      <c r="G463" s="170">
        <v>40</v>
      </c>
      <c r="H463" s="72"/>
      <c r="I463" s="63"/>
      <c r="J463" s="64"/>
      <c r="K463" s="64"/>
      <c r="L463" s="33"/>
      <c r="M463" s="14"/>
      <c r="N463" s="15"/>
      <c r="O463" s="15"/>
      <c r="P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3"/>
      <c r="AQ463" s="3"/>
      <c r="AR463" s="3"/>
      <c r="AS463" s="15"/>
      <c r="AT463" s="3"/>
      <c r="AU463" s="3"/>
      <c r="AV463" s="3"/>
      <c r="AW463" s="15"/>
      <c r="AX463" s="15"/>
      <c r="AY463" s="15"/>
      <c r="AZ463" s="15"/>
      <c r="BF463" s="3"/>
      <c r="BG463" s="3"/>
      <c r="BH463" s="15"/>
    </row>
    <row r="464" spans="2:60" ht="15" customHeight="1" x14ac:dyDescent="0.4">
      <c r="B464" s="159"/>
      <c r="C464" s="159"/>
      <c r="D464" s="162"/>
      <c r="E464" s="211"/>
      <c r="F464" s="212"/>
      <c r="G464" s="171"/>
      <c r="H464" s="73"/>
      <c r="I464" s="63"/>
      <c r="J464" s="63"/>
      <c r="K464" s="63"/>
      <c r="L464" s="33"/>
      <c r="M464" s="14"/>
      <c r="N464" s="15"/>
      <c r="O464" s="15"/>
      <c r="P464" s="15"/>
      <c r="AV464" s="3"/>
      <c r="AW464" s="65"/>
      <c r="AX464" s="67"/>
      <c r="AY464" s="3"/>
      <c r="BF464" s="3"/>
      <c r="BG464" s="3"/>
      <c r="BH464" s="15"/>
    </row>
    <row r="465" spans="2:60" ht="15" customHeight="1" x14ac:dyDescent="0.4">
      <c r="B465" s="160"/>
      <c r="C465" s="160"/>
      <c r="D465" s="163"/>
      <c r="E465" s="213"/>
      <c r="F465" s="214"/>
      <c r="G465" s="172"/>
      <c r="H465" s="74"/>
      <c r="I465" s="63"/>
      <c r="J465" s="63"/>
      <c r="K465" s="63"/>
      <c r="L465" s="33"/>
      <c r="M465" s="14"/>
      <c r="N465" s="15"/>
      <c r="O465" s="15"/>
      <c r="P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3"/>
      <c r="AQ465" s="3"/>
      <c r="AR465" s="3"/>
      <c r="AS465" s="15"/>
      <c r="AT465" s="3"/>
      <c r="AU465" s="3"/>
      <c r="AV465" s="3"/>
      <c r="AW465" s="15"/>
      <c r="AX465" s="15"/>
      <c r="AY465" s="3"/>
      <c r="AZ465" s="15"/>
      <c r="BF465" s="3"/>
      <c r="BG465" s="3"/>
      <c r="BH465" s="15"/>
    </row>
    <row r="466" spans="2:60" ht="15" customHeight="1" x14ac:dyDescent="0.4">
      <c r="B466" s="68"/>
      <c r="C466" s="69"/>
      <c r="D466" s="161" t="s">
        <v>204</v>
      </c>
      <c r="E466" s="209" t="s">
        <v>247</v>
      </c>
      <c r="F466" s="210"/>
      <c r="G466" s="170">
        <v>30</v>
      </c>
      <c r="H466" s="72"/>
      <c r="I466" s="33"/>
      <c r="J466" s="33"/>
      <c r="K466" s="33"/>
      <c r="L466" s="63"/>
      <c r="M466" s="14"/>
      <c r="N466" s="15"/>
      <c r="O466" s="15"/>
      <c r="P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3"/>
      <c r="AQ466" s="3"/>
      <c r="AR466" s="3"/>
      <c r="AS466" s="3"/>
      <c r="AT466" s="3"/>
      <c r="AU466" s="3"/>
      <c r="AV466" s="3"/>
      <c r="AW466" s="15"/>
      <c r="AX466" s="15"/>
      <c r="AY466" s="3"/>
      <c r="AZ466" s="15"/>
      <c r="BF466" s="3"/>
      <c r="BG466" s="3"/>
      <c r="BH466" s="15"/>
    </row>
    <row r="467" spans="2:60" ht="15" customHeight="1" x14ac:dyDescent="0.4">
      <c r="B467" s="68"/>
      <c r="C467" s="69"/>
      <c r="D467" s="162"/>
      <c r="E467" s="211"/>
      <c r="F467" s="212"/>
      <c r="G467" s="171"/>
      <c r="H467" s="73"/>
      <c r="I467" s="33"/>
      <c r="J467" s="33"/>
      <c r="K467" s="33"/>
      <c r="L467" s="63"/>
      <c r="M467" s="14"/>
      <c r="N467" s="15"/>
      <c r="O467" s="15"/>
      <c r="P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3"/>
      <c r="AQ467" s="3"/>
      <c r="AR467" s="3"/>
      <c r="AS467" s="3"/>
      <c r="AT467" s="3"/>
      <c r="AU467" s="3"/>
      <c r="AV467" s="3"/>
      <c r="AX467" s="65"/>
      <c r="AY467" s="67"/>
      <c r="AZ467" s="15"/>
      <c r="BF467" s="3"/>
      <c r="BG467" s="3"/>
      <c r="BH467" s="15"/>
    </row>
    <row r="468" spans="2:60" ht="15" customHeight="1" x14ac:dyDescent="0.4">
      <c r="B468" s="68"/>
      <c r="C468" s="69"/>
      <c r="D468" s="163"/>
      <c r="E468" s="213"/>
      <c r="F468" s="214"/>
      <c r="G468" s="172"/>
      <c r="H468" s="74"/>
      <c r="I468" s="33"/>
      <c r="J468" s="33"/>
      <c r="K468" s="33"/>
      <c r="L468" s="33"/>
      <c r="M468" s="14"/>
      <c r="N468" s="15"/>
      <c r="O468" s="15"/>
      <c r="P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3"/>
      <c r="AQ468" s="3"/>
      <c r="AR468" s="3"/>
      <c r="AS468" s="3"/>
      <c r="AT468" s="3"/>
      <c r="AU468" s="3"/>
      <c r="AV468" s="3"/>
      <c r="AW468" s="15"/>
      <c r="AX468" s="15"/>
      <c r="AY468" s="3"/>
      <c r="AZ468" s="15"/>
      <c r="BF468" s="3"/>
      <c r="BG468" s="3"/>
      <c r="BH468" s="15"/>
    </row>
    <row r="469" spans="2:60" ht="15" customHeight="1" x14ac:dyDescent="0.4">
      <c r="B469" s="68"/>
      <c r="C469" s="69"/>
      <c r="D469" s="161" t="s">
        <v>248</v>
      </c>
      <c r="E469" s="209" t="s">
        <v>249</v>
      </c>
      <c r="F469" s="210"/>
      <c r="G469" s="170">
        <v>30</v>
      </c>
      <c r="H469" s="72"/>
      <c r="I469" s="33"/>
      <c r="J469" s="33"/>
      <c r="K469" s="33"/>
      <c r="L469" s="63"/>
      <c r="M469" s="14"/>
      <c r="N469" s="15"/>
      <c r="O469" s="15"/>
      <c r="P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3"/>
      <c r="AQ469" s="3"/>
      <c r="AR469" s="3"/>
      <c r="AS469" s="3"/>
      <c r="AT469" s="3"/>
      <c r="AU469" s="3"/>
      <c r="AV469" s="3"/>
      <c r="AW469" s="15"/>
      <c r="AX469" s="15"/>
      <c r="AY469" s="3"/>
      <c r="AZ469" s="15"/>
      <c r="BF469" s="3"/>
      <c r="BG469" s="3"/>
      <c r="BH469" s="15"/>
    </row>
    <row r="470" spans="2:60" ht="15" customHeight="1" x14ac:dyDescent="0.4">
      <c r="B470" s="68"/>
      <c r="C470" s="69"/>
      <c r="D470" s="162"/>
      <c r="E470" s="211"/>
      <c r="F470" s="212"/>
      <c r="G470" s="171"/>
      <c r="H470" s="73"/>
      <c r="I470" s="33"/>
      <c r="J470" s="33"/>
      <c r="K470" s="33"/>
      <c r="L470" s="63"/>
      <c r="M470" s="14"/>
      <c r="N470" s="15"/>
      <c r="O470" s="15"/>
      <c r="P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3"/>
      <c r="AQ470" s="3"/>
      <c r="AR470" s="3"/>
      <c r="AS470" s="3"/>
      <c r="AT470" s="3"/>
      <c r="AU470" s="3"/>
      <c r="AV470" s="3"/>
      <c r="AW470" s="15"/>
      <c r="AY470" s="65"/>
      <c r="AZ470" s="67"/>
      <c r="BF470" s="3"/>
      <c r="BG470" s="3"/>
      <c r="BH470" s="15"/>
    </row>
    <row r="471" spans="2:60" ht="15" customHeight="1" x14ac:dyDescent="0.4">
      <c r="B471" s="68"/>
      <c r="C471" s="69"/>
      <c r="D471" s="163"/>
      <c r="E471" s="213"/>
      <c r="F471" s="214"/>
      <c r="G471" s="172"/>
      <c r="H471" s="74"/>
      <c r="I471" s="33"/>
      <c r="J471" s="33"/>
      <c r="K471" s="33"/>
      <c r="L471" s="33"/>
      <c r="M471" s="14"/>
      <c r="N471" s="15"/>
      <c r="O471" s="15"/>
      <c r="P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15"/>
      <c r="BF471" s="3"/>
      <c r="BG471" s="3"/>
      <c r="BH471" s="15"/>
    </row>
    <row r="472" spans="2:60" ht="15" customHeight="1" x14ac:dyDescent="0.4">
      <c r="B472" s="106"/>
      <c r="C472" s="184" t="s">
        <v>35</v>
      </c>
      <c r="D472" s="187" t="s">
        <v>250</v>
      </c>
      <c r="E472" s="188"/>
      <c r="F472" s="189"/>
      <c r="G472" s="45"/>
      <c r="H472" s="121">
        <f>SUM(G475:G492)</f>
        <v>90</v>
      </c>
      <c r="J472" s="33"/>
      <c r="K472" s="155">
        <f>H472*$J$8</f>
        <v>25323.75</v>
      </c>
      <c r="M472" s="14"/>
      <c r="N472" s="3"/>
      <c r="O472" s="15"/>
      <c r="P472" s="15"/>
      <c r="AG472" s="15"/>
      <c r="AH472" s="15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15"/>
      <c r="AU472" s="15"/>
      <c r="AV472" s="15"/>
      <c r="AW472" s="3"/>
      <c r="AX472" s="3"/>
      <c r="AY472" s="3"/>
      <c r="AZ472" s="3"/>
      <c r="BC472" s="3"/>
      <c r="BD472" s="3"/>
      <c r="BF472" s="3"/>
      <c r="BG472" s="3"/>
      <c r="BH472" s="3"/>
    </row>
    <row r="473" spans="2:60" ht="15" customHeight="1" x14ac:dyDescent="0.4">
      <c r="B473" s="156"/>
      <c r="C473" s="201"/>
      <c r="D473" s="190"/>
      <c r="E473" s="191"/>
      <c r="F473" s="192"/>
      <c r="G473" s="51"/>
      <c r="H473" s="122"/>
      <c r="J473" s="33"/>
      <c r="K473" s="155"/>
      <c r="M473" s="14"/>
      <c r="N473" s="15"/>
      <c r="O473" s="15"/>
      <c r="P473" s="15"/>
      <c r="AG473" s="15"/>
      <c r="AH473" s="15"/>
      <c r="AI473" s="15"/>
      <c r="AJ473" s="15"/>
      <c r="AK473" s="15"/>
      <c r="AL473" s="15"/>
      <c r="AM473" s="15"/>
      <c r="AN473" s="15"/>
      <c r="AW473" s="85"/>
      <c r="AX473" s="86"/>
      <c r="AY473" s="86"/>
      <c r="AZ473" s="87"/>
      <c r="BC473" s="3"/>
      <c r="BD473" s="3"/>
      <c r="BF473" s="3"/>
      <c r="BG473" s="3"/>
      <c r="BH473" s="3"/>
    </row>
    <row r="474" spans="2:60" ht="15" customHeight="1" x14ac:dyDescent="0.4">
      <c r="B474" s="157"/>
      <c r="C474" s="202"/>
      <c r="D474" s="193"/>
      <c r="E474" s="194"/>
      <c r="F474" s="195"/>
      <c r="G474" s="51"/>
      <c r="H474" s="123"/>
      <c r="J474" s="33"/>
      <c r="K474" s="155"/>
      <c r="M474" s="14"/>
      <c r="N474" s="15"/>
      <c r="O474" s="15"/>
      <c r="P474" s="15"/>
      <c r="AG474" s="15"/>
      <c r="AH474" s="15"/>
      <c r="AI474" s="15"/>
      <c r="AJ474" s="15"/>
      <c r="AK474" s="15"/>
      <c r="AL474" s="3"/>
      <c r="AM474" s="3"/>
      <c r="AN474" s="3"/>
      <c r="AO474" s="3"/>
      <c r="AP474" s="3"/>
      <c r="AQ474" s="3"/>
      <c r="AR474" s="3"/>
      <c r="AS474" s="3"/>
      <c r="AT474" s="15"/>
      <c r="AU474" s="15"/>
      <c r="AV474" s="15"/>
      <c r="AW474" s="3"/>
      <c r="AX474" s="3"/>
      <c r="AY474" s="3"/>
      <c r="AZ474" s="3"/>
      <c r="BC474" s="3"/>
      <c r="BD474" s="3"/>
      <c r="BF474" s="3"/>
      <c r="BG474" s="3"/>
      <c r="BH474" s="15"/>
    </row>
    <row r="475" spans="2:60" ht="15" customHeight="1" x14ac:dyDescent="0.4">
      <c r="B475" s="196"/>
      <c r="C475" s="196"/>
      <c r="D475" s="197" t="s">
        <v>207</v>
      </c>
      <c r="E475" s="199" t="s">
        <v>251</v>
      </c>
      <c r="F475" s="199"/>
      <c r="G475" s="170">
        <v>15</v>
      </c>
      <c r="H475" s="72"/>
      <c r="I475" s="63"/>
      <c r="J475" s="64"/>
      <c r="K475" s="64"/>
      <c r="L475" s="33"/>
      <c r="M475" s="14"/>
      <c r="N475" s="15"/>
      <c r="O475" s="15"/>
      <c r="P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3"/>
      <c r="AQ475" s="3"/>
      <c r="AR475" s="3"/>
      <c r="AS475" s="15"/>
      <c r="AT475" s="3"/>
      <c r="AU475" s="3"/>
      <c r="AV475" s="3"/>
      <c r="AW475" s="3"/>
      <c r="AX475" s="3"/>
      <c r="AY475" s="3"/>
      <c r="AZ475" s="15"/>
      <c r="BC475" s="3"/>
      <c r="BD475" s="3"/>
      <c r="BF475" s="3"/>
      <c r="BG475" s="3"/>
      <c r="BH475" s="15"/>
    </row>
    <row r="476" spans="2:60" ht="15" customHeight="1" x14ac:dyDescent="0.4">
      <c r="B476" s="196"/>
      <c r="C476" s="196"/>
      <c r="D476" s="198"/>
      <c r="E476" s="199"/>
      <c r="F476" s="199"/>
      <c r="G476" s="171"/>
      <c r="H476" s="73"/>
      <c r="I476" s="63"/>
      <c r="J476" s="63"/>
      <c r="K476" s="63"/>
      <c r="L476" s="33"/>
      <c r="M476" s="14"/>
      <c r="N476" s="15"/>
      <c r="O476" s="15"/>
      <c r="P476" s="15"/>
      <c r="AV476" s="3"/>
      <c r="AW476" s="70"/>
      <c r="AX476" s="71"/>
      <c r="AY476" s="3"/>
      <c r="AZ476" s="3"/>
      <c r="BA476" s="3"/>
      <c r="BB476" s="3"/>
      <c r="BC476" s="3"/>
      <c r="BD476" s="3"/>
      <c r="BF476" s="3"/>
      <c r="BG476" s="3"/>
      <c r="BH476" s="15"/>
    </row>
    <row r="477" spans="2:60" ht="15" customHeight="1" x14ac:dyDescent="0.4">
      <c r="B477" s="196"/>
      <c r="C477" s="196"/>
      <c r="D477" s="198"/>
      <c r="E477" s="199"/>
      <c r="F477" s="199"/>
      <c r="G477" s="172"/>
      <c r="H477" s="74"/>
      <c r="I477" s="63"/>
      <c r="J477" s="63"/>
      <c r="K477" s="63"/>
      <c r="L477" s="33"/>
      <c r="M477" s="14"/>
      <c r="N477" s="15"/>
      <c r="O477" s="15"/>
      <c r="P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3"/>
      <c r="AQ477" s="3"/>
      <c r="AR477" s="3"/>
      <c r="AS477" s="15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F477" s="3"/>
      <c r="BG477" s="3"/>
      <c r="BH477" s="15"/>
    </row>
    <row r="478" spans="2:60" ht="15" customHeight="1" x14ac:dyDescent="0.4">
      <c r="B478" s="68"/>
      <c r="C478" s="69"/>
      <c r="D478" s="197" t="s">
        <v>209</v>
      </c>
      <c r="E478" s="209" t="s">
        <v>252</v>
      </c>
      <c r="F478" s="210"/>
      <c r="G478" s="170">
        <v>15</v>
      </c>
      <c r="H478" s="72"/>
      <c r="I478" s="33"/>
      <c r="J478" s="33"/>
      <c r="K478" s="33"/>
      <c r="L478" s="63"/>
      <c r="M478" s="14"/>
      <c r="N478" s="15"/>
      <c r="O478" s="15"/>
      <c r="P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F478" s="3"/>
      <c r="BG478" s="3"/>
      <c r="BH478" s="15"/>
    </row>
    <row r="479" spans="2:60" ht="15" customHeight="1" x14ac:dyDescent="0.4">
      <c r="B479" s="68"/>
      <c r="C479" s="69"/>
      <c r="D479" s="198"/>
      <c r="E479" s="211"/>
      <c r="F479" s="212"/>
      <c r="G479" s="171"/>
      <c r="H479" s="73"/>
      <c r="I479" s="33"/>
      <c r="J479" s="33"/>
      <c r="K479" s="33"/>
      <c r="L479" s="63"/>
      <c r="M479" s="14"/>
      <c r="N479" s="15"/>
      <c r="O479" s="15"/>
      <c r="P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3"/>
      <c r="AQ479" s="3"/>
      <c r="AR479" s="3"/>
      <c r="AS479" s="3"/>
      <c r="AT479" s="3"/>
      <c r="AU479" s="3"/>
      <c r="AV479" s="3"/>
      <c r="AW479" s="70"/>
      <c r="AX479" s="71"/>
      <c r="AY479" s="3"/>
      <c r="AZ479" s="3"/>
      <c r="BA479" s="3"/>
      <c r="BB479" s="3"/>
      <c r="BC479" s="3"/>
      <c r="BD479" s="3"/>
      <c r="BF479" s="3"/>
      <c r="BG479" s="3"/>
      <c r="BH479" s="15"/>
    </row>
    <row r="480" spans="2:60" ht="15" customHeight="1" x14ac:dyDescent="0.4">
      <c r="B480" s="68"/>
      <c r="C480" s="69"/>
      <c r="D480" s="198"/>
      <c r="E480" s="213"/>
      <c r="F480" s="214"/>
      <c r="G480" s="172"/>
      <c r="H480" s="74"/>
      <c r="I480" s="33"/>
      <c r="J480" s="33"/>
      <c r="K480" s="33"/>
      <c r="L480" s="33"/>
      <c r="M480" s="14"/>
      <c r="N480" s="15"/>
      <c r="O480" s="15"/>
      <c r="P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15"/>
      <c r="BC480" s="3"/>
      <c r="BD480" s="3"/>
      <c r="BF480" s="3"/>
      <c r="BG480" s="3"/>
      <c r="BH480" s="15"/>
    </row>
    <row r="481" spans="2:60" ht="15" customHeight="1" x14ac:dyDescent="0.4">
      <c r="B481" s="158"/>
      <c r="C481" s="158"/>
      <c r="D481" s="197" t="s">
        <v>211</v>
      </c>
      <c r="E481" s="209" t="s">
        <v>253</v>
      </c>
      <c r="F481" s="210"/>
      <c r="G481" s="170">
        <v>15</v>
      </c>
      <c r="H481" s="72"/>
      <c r="I481" s="63"/>
      <c r="J481" s="64"/>
      <c r="K481" s="64"/>
      <c r="L481" s="33"/>
      <c r="M481" s="14"/>
      <c r="N481" s="15"/>
      <c r="O481" s="15"/>
      <c r="P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3"/>
      <c r="AQ481" s="3"/>
      <c r="AR481" s="3"/>
      <c r="AS481" s="15"/>
      <c r="AT481" s="3"/>
      <c r="AU481" s="3"/>
      <c r="AV481" s="3"/>
      <c r="AW481" s="3"/>
      <c r="AX481" s="3"/>
      <c r="AY481" s="3"/>
      <c r="AZ481" s="15"/>
      <c r="BC481" s="3"/>
      <c r="BD481" s="3"/>
      <c r="BF481" s="3"/>
      <c r="BG481" s="3"/>
      <c r="BH481" s="15"/>
    </row>
    <row r="482" spans="2:60" ht="15" customHeight="1" x14ac:dyDescent="0.4">
      <c r="B482" s="159"/>
      <c r="C482" s="159"/>
      <c r="D482" s="198"/>
      <c r="E482" s="211"/>
      <c r="F482" s="212"/>
      <c r="G482" s="171"/>
      <c r="H482" s="73"/>
      <c r="I482" s="63"/>
      <c r="J482" s="63"/>
      <c r="K482" s="63"/>
      <c r="L482" s="33"/>
      <c r="M482" s="14"/>
      <c r="N482" s="15"/>
      <c r="O482" s="15"/>
      <c r="P482" s="15"/>
      <c r="AX482" s="70"/>
      <c r="AY482" s="71"/>
      <c r="AZ482" s="3"/>
      <c r="BA482" s="3"/>
      <c r="BB482" s="3"/>
      <c r="BC482" s="3"/>
      <c r="BD482" s="3"/>
      <c r="BF482" s="3"/>
      <c r="BG482" s="3"/>
      <c r="BH482" s="15"/>
    </row>
    <row r="483" spans="2:60" ht="15" customHeight="1" x14ac:dyDescent="0.4">
      <c r="B483" s="160"/>
      <c r="C483" s="160"/>
      <c r="D483" s="198"/>
      <c r="E483" s="213"/>
      <c r="F483" s="214"/>
      <c r="G483" s="172"/>
      <c r="H483" s="74"/>
      <c r="I483" s="63"/>
      <c r="J483" s="63"/>
      <c r="K483" s="63"/>
      <c r="L483" s="33"/>
      <c r="M483" s="14"/>
      <c r="N483" s="15"/>
      <c r="O483" s="15"/>
      <c r="P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3"/>
      <c r="AQ483" s="3"/>
      <c r="AR483" s="3"/>
      <c r="AS483" s="15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F483" s="3"/>
      <c r="BG483" s="3"/>
      <c r="BH483" s="15"/>
    </row>
    <row r="484" spans="2:60" ht="18" customHeight="1" x14ac:dyDescent="0.4">
      <c r="B484" s="196"/>
      <c r="C484" s="196"/>
      <c r="D484" s="197" t="s">
        <v>213</v>
      </c>
      <c r="E484" s="199" t="s">
        <v>254</v>
      </c>
      <c r="F484" s="199"/>
      <c r="G484" s="170">
        <v>15</v>
      </c>
      <c r="H484" s="72"/>
      <c r="I484" s="63"/>
      <c r="J484" s="64"/>
      <c r="K484" s="64"/>
      <c r="L484" s="33"/>
      <c r="M484" s="14"/>
      <c r="N484" s="15"/>
      <c r="O484" s="15"/>
      <c r="P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3"/>
      <c r="AQ484" s="3"/>
      <c r="AR484" s="3"/>
      <c r="AS484" s="15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F484" s="3"/>
      <c r="BG484" s="3"/>
      <c r="BH484" s="15"/>
    </row>
    <row r="485" spans="2:60" ht="18" customHeight="1" x14ac:dyDescent="0.4">
      <c r="B485" s="196"/>
      <c r="C485" s="196"/>
      <c r="D485" s="198"/>
      <c r="E485" s="199"/>
      <c r="F485" s="199"/>
      <c r="G485" s="171"/>
      <c r="H485" s="73"/>
      <c r="I485" s="63"/>
      <c r="J485" s="63"/>
      <c r="K485" s="63"/>
      <c r="L485" s="33"/>
      <c r="M485" s="14"/>
      <c r="N485" s="15"/>
      <c r="O485" s="15"/>
      <c r="P485" s="15"/>
      <c r="AX485" s="70"/>
      <c r="AY485" s="71"/>
      <c r="AZ485" s="3"/>
      <c r="BA485" s="3"/>
      <c r="BB485" s="3"/>
      <c r="BC485" s="3"/>
      <c r="BD485" s="3"/>
      <c r="BF485" s="3"/>
      <c r="BG485" s="3"/>
      <c r="BH485" s="15"/>
    </row>
    <row r="486" spans="2:60" ht="18" customHeight="1" x14ac:dyDescent="0.4">
      <c r="B486" s="196"/>
      <c r="C486" s="196"/>
      <c r="D486" s="198"/>
      <c r="E486" s="199"/>
      <c r="F486" s="199"/>
      <c r="G486" s="172"/>
      <c r="H486" s="74"/>
      <c r="I486" s="63"/>
      <c r="J486" s="63"/>
      <c r="K486" s="63"/>
      <c r="L486" s="33"/>
      <c r="M486" s="14"/>
      <c r="N486" s="15"/>
      <c r="O486" s="15"/>
      <c r="P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3"/>
      <c r="AQ486" s="3"/>
      <c r="AR486" s="3"/>
      <c r="AS486" s="15"/>
      <c r="AT486" s="3"/>
      <c r="AU486" s="3"/>
      <c r="AV486" s="3"/>
      <c r="AW486" s="3"/>
      <c r="AX486" s="3"/>
      <c r="AY486" s="3"/>
      <c r="AZ486" s="15"/>
      <c r="BC486" s="3"/>
      <c r="BD486" s="3"/>
      <c r="BF486" s="3"/>
      <c r="BG486" s="3"/>
      <c r="BH486" s="15"/>
    </row>
    <row r="487" spans="2:60" ht="18" customHeight="1" x14ac:dyDescent="0.4">
      <c r="B487" s="68"/>
      <c r="C487" s="69"/>
      <c r="D487" s="197" t="s">
        <v>255</v>
      </c>
      <c r="E487" s="209" t="s">
        <v>256</v>
      </c>
      <c r="F487" s="210"/>
      <c r="G487" s="170">
        <v>15</v>
      </c>
      <c r="H487" s="72"/>
      <c r="I487" s="33"/>
      <c r="J487" s="33"/>
      <c r="K487" s="33"/>
      <c r="L487" s="63"/>
      <c r="M487" s="14"/>
      <c r="N487" s="15"/>
      <c r="O487" s="15"/>
      <c r="P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15"/>
      <c r="BC487" s="3"/>
      <c r="BD487" s="3"/>
      <c r="BF487" s="3"/>
      <c r="BG487" s="3"/>
      <c r="BH487" s="15"/>
    </row>
    <row r="488" spans="2:60" ht="18" customHeight="1" x14ac:dyDescent="0.4">
      <c r="B488" s="68"/>
      <c r="C488" s="69"/>
      <c r="D488" s="198"/>
      <c r="E488" s="211"/>
      <c r="F488" s="212"/>
      <c r="G488" s="171"/>
      <c r="H488" s="73"/>
      <c r="I488" s="33"/>
      <c r="J488" s="33"/>
      <c r="K488" s="33"/>
      <c r="L488" s="63"/>
      <c r="M488" s="14"/>
      <c r="N488" s="15"/>
      <c r="O488" s="15"/>
      <c r="P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3"/>
      <c r="AQ488" s="3"/>
      <c r="AR488" s="3"/>
      <c r="AS488" s="3"/>
      <c r="AT488" s="3"/>
      <c r="AU488" s="3"/>
      <c r="AV488" s="3"/>
      <c r="AW488" s="3"/>
      <c r="AX488" s="3"/>
      <c r="AY488" s="70"/>
      <c r="AZ488" s="67"/>
      <c r="BC488" s="3"/>
      <c r="BD488" s="3"/>
      <c r="BF488" s="3"/>
      <c r="BG488" s="3"/>
      <c r="BH488" s="15"/>
    </row>
    <row r="489" spans="2:60" ht="18" customHeight="1" x14ac:dyDescent="0.4">
      <c r="B489" s="68"/>
      <c r="C489" s="69"/>
      <c r="D489" s="198"/>
      <c r="E489" s="213"/>
      <c r="F489" s="214"/>
      <c r="G489" s="172"/>
      <c r="H489" s="74"/>
      <c r="I489" s="33"/>
      <c r="J489" s="33"/>
      <c r="K489" s="33"/>
      <c r="L489" s="33"/>
      <c r="M489" s="14"/>
      <c r="N489" s="15"/>
      <c r="O489" s="15"/>
      <c r="P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15"/>
      <c r="BC489" s="3"/>
      <c r="BD489" s="3"/>
      <c r="BF489" s="3"/>
      <c r="BG489" s="3"/>
      <c r="BH489" s="15"/>
    </row>
    <row r="490" spans="2:60" ht="18" customHeight="1" x14ac:dyDescent="0.4">
      <c r="B490" s="158"/>
      <c r="C490" s="158"/>
      <c r="D490" s="197" t="s">
        <v>257</v>
      </c>
      <c r="E490" s="209" t="s">
        <v>258</v>
      </c>
      <c r="F490" s="210"/>
      <c r="G490" s="170">
        <v>15</v>
      </c>
      <c r="H490" s="72"/>
      <c r="I490" s="63"/>
      <c r="J490" s="64"/>
      <c r="K490" s="64"/>
      <c r="L490" s="33"/>
      <c r="M490" s="14"/>
      <c r="N490" s="15"/>
      <c r="O490" s="15"/>
      <c r="P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3"/>
      <c r="AQ490" s="3"/>
      <c r="AR490" s="3"/>
      <c r="AS490" s="15"/>
      <c r="AT490" s="3"/>
      <c r="AU490" s="3"/>
      <c r="AV490" s="3"/>
      <c r="AW490" s="3"/>
      <c r="AX490" s="3"/>
      <c r="AY490" s="3"/>
      <c r="AZ490" s="15"/>
      <c r="BC490" s="3"/>
      <c r="BD490" s="3"/>
      <c r="BF490" s="3"/>
      <c r="BG490" s="3"/>
      <c r="BH490" s="15"/>
    </row>
    <row r="491" spans="2:60" ht="18" customHeight="1" x14ac:dyDescent="0.4">
      <c r="B491" s="159"/>
      <c r="C491" s="159"/>
      <c r="D491" s="198"/>
      <c r="E491" s="211"/>
      <c r="F491" s="212"/>
      <c r="G491" s="171"/>
      <c r="H491" s="73"/>
      <c r="I491" s="63"/>
      <c r="J491" s="63"/>
      <c r="K491" s="63"/>
      <c r="L491" s="33"/>
      <c r="M491" s="14"/>
      <c r="N491" s="15"/>
      <c r="O491" s="15"/>
      <c r="P491" s="15"/>
      <c r="AY491" s="70"/>
      <c r="AZ491" s="67"/>
      <c r="BC491" s="3"/>
      <c r="BD491" s="3"/>
      <c r="BF491" s="3"/>
      <c r="BG491" s="3"/>
      <c r="BH491" s="15"/>
    </row>
    <row r="492" spans="2:60" ht="18" customHeight="1" x14ac:dyDescent="0.4">
      <c r="B492" s="160"/>
      <c r="C492" s="160"/>
      <c r="D492" s="198"/>
      <c r="E492" s="213"/>
      <c r="F492" s="214"/>
      <c r="G492" s="172"/>
      <c r="H492" s="74"/>
      <c r="I492" s="63"/>
      <c r="J492" s="63"/>
      <c r="K492" s="63"/>
      <c r="L492" s="33"/>
      <c r="M492" s="14"/>
      <c r="N492" s="15"/>
      <c r="O492" s="15"/>
      <c r="P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3"/>
      <c r="AQ492" s="3"/>
      <c r="AR492" s="3"/>
      <c r="AS492" s="15"/>
      <c r="AT492" s="3"/>
      <c r="AU492" s="3"/>
      <c r="AV492" s="3"/>
      <c r="AW492" s="3"/>
      <c r="AX492" s="3"/>
      <c r="AY492" s="3"/>
      <c r="AZ492" s="15"/>
      <c r="BF492" s="3"/>
      <c r="BG492" s="3"/>
      <c r="BH492" s="15"/>
    </row>
    <row r="493" spans="2:60" ht="15" customHeight="1" x14ac:dyDescent="0.4">
      <c r="B493" s="106"/>
      <c r="C493" s="184" t="s">
        <v>37</v>
      </c>
      <c r="D493" s="215" t="s">
        <v>259</v>
      </c>
      <c r="E493" s="216"/>
      <c r="F493" s="217"/>
      <c r="G493" s="45"/>
      <c r="H493" s="121">
        <f>SUM(G496:G504)</f>
        <v>80</v>
      </c>
      <c r="J493" s="33"/>
      <c r="K493" s="224">
        <f>H493*$J$8</f>
        <v>22510</v>
      </c>
      <c r="M493" s="14"/>
      <c r="N493" s="3"/>
      <c r="O493" s="15"/>
      <c r="P493" s="15"/>
      <c r="AG493" s="15"/>
      <c r="AH493" s="15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15"/>
      <c r="AU493" s="15"/>
      <c r="AV493" s="15"/>
      <c r="AW493" s="3"/>
      <c r="AX493" s="3"/>
      <c r="AY493" s="3"/>
      <c r="AZ493" s="3"/>
      <c r="BF493" s="3"/>
      <c r="BG493" s="3"/>
      <c r="BH493" s="3"/>
    </row>
    <row r="494" spans="2:60" ht="15" customHeight="1" x14ac:dyDescent="0.4">
      <c r="B494" s="107"/>
      <c r="C494" s="185"/>
      <c r="D494" s="218"/>
      <c r="E494" s="219"/>
      <c r="F494" s="220"/>
      <c r="G494" s="51"/>
      <c r="H494" s="122"/>
      <c r="J494" s="33"/>
      <c r="K494" s="225"/>
      <c r="M494" s="14"/>
      <c r="N494" s="15"/>
      <c r="O494" s="15"/>
      <c r="P494" s="15"/>
      <c r="AG494" s="15"/>
      <c r="AH494" s="15"/>
      <c r="AI494" s="15"/>
      <c r="AJ494" s="15"/>
      <c r="AK494" s="15"/>
      <c r="AL494" s="15"/>
      <c r="AM494" s="15"/>
      <c r="AN494" s="15"/>
      <c r="AW494" s="85"/>
      <c r="AX494" s="86"/>
      <c r="AY494" s="86"/>
      <c r="AZ494" s="87"/>
      <c r="BF494" s="3"/>
      <c r="BG494" s="3"/>
      <c r="BH494" s="3"/>
    </row>
    <row r="495" spans="2:60" ht="15" customHeight="1" x14ac:dyDescent="0.4">
      <c r="B495" s="108"/>
      <c r="C495" s="186"/>
      <c r="D495" s="221"/>
      <c r="E495" s="222"/>
      <c r="F495" s="223"/>
      <c r="G495" s="51"/>
      <c r="H495" s="123"/>
      <c r="J495" s="33"/>
      <c r="K495" s="226"/>
      <c r="M495" s="14"/>
      <c r="N495" s="15"/>
      <c r="O495" s="15"/>
      <c r="P495" s="15"/>
      <c r="AG495" s="15"/>
      <c r="AH495" s="15"/>
      <c r="AI495" s="15"/>
      <c r="AJ495" s="15"/>
      <c r="AK495" s="15"/>
      <c r="AL495" s="3"/>
      <c r="AM495" s="3"/>
      <c r="AN495" s="3"/>
      <c r="AO495" s="3"/>
      <c r="AP495" s="3"/>
      <c r="AQ495" s="3"/>
      <c r="AR495" s="3"/>
      <c r="AS495" s="3"/>
      <c r="AT495" s="15"/>
      <c r="AU495" s="15"/>
      <c r="AV495" s="15"/>
      <c r="AW495" s="3"/>
      <c r="AX495" s="3"/>
      <c r="AY495" s="3"/>
      <c r="AZ495" s="3"/>
      <c r="BF495" s="3"/>
      <c r="BG495" s="3"/>
      <c r="BH495" s="15"/>
    </row>
    <row r="496" spans="2:60" ht="15" customHeight="1" x14ac:dyDescent="0.4">
      <c r="B496" s="158"/>
      <c r="C496" s="158"/>
      <c r="D496" s="161" t="s">
        <v>216</v>
      </c>
      <c r="E496" s="209" t="s">
        <v>260</v>
      </c>
      <c r="F496" s="210"/>
      <c r="G496" s="170">
        <v>30</v>
      </c>
      <c r="H496" s="72"/>
      <c r="I496" s="63"/>
      <c r="J496" s="64"/>
      <c r="K496" s="64"/>
      <c r="L496" s="33"/>
      <c r="M496" s="14"/>
      <c r="N496" s="15"/>
      <c r="O496" s="15"/>
      <c r="P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3"/>
      <c r="AQ496" s="3"/>
      <c r="AR496" s="3"/>
      <c r="AS496" s="15"/>
      <c r="AT496" s="3"/>
      <c r="AU496" s="3"/>
      <c r="AV496" s="3"/>
      <c r="AW496" s="3"/>
      <c r="AX496" s="3"/>
      <c r="AY496" s="3"/>
      <c r="AZ496" s="15"/>
      <c r="BF496" s="3"/>
      <c r="BG496" s="3"/>
      <c r="BH496" s="15"/>
    </row>
    <row r="497" spans="2:60" ht="15" customHeight="1" x14ac:dyDescent="0.4">
      <c r="B497" s="159"/>
      <c r="C497" s="159"/>
      <c r="D497" s="162"/>
      <c r="E497" s="211"/>
      <c r="F497" s="212"/>
      <c r="G497" s="171"/>
      <c r="H497" s="73"/>
      <c r="I497" s="63"/>
      <c r="J497" s="63"/>
      <c r="K497" s="63"/>
      <c r="L497" s="33"/>
      <c r="M497" s="14"/>
      <c r="N497" s="15"/>
      <c r="O497" s="15"/>
      <c r="P497" s="15"/>
      <c r="AV497" s="3"/>
      <c r="AW497" s="70"/>
      <c r="AX497" s="88"/>
      <c r="AY497" s="71"/>
      <c r="BF497" s="3"/>
      <c r="BG497" s="3"/>
      <c r="BH497" s="15"/>
    </row>
    <row r="498" spans="2:60" ht="15" customHeight="1" x14ac:dyDescent="0.4">
      <c r="B498" s="160"/>
      <c r="C498" s="160"/>
      <c r="D498" s="163"/>
      <c r="E498" s="213"/>
      <c r="F498" s="214"/>
      <c r="G498" s="172"/>
      <c r="H498" s="74"/>
      <c r="I498" s="63"/>
      <c r="J498" s="63"/>
      <c r="K498" s="63"/>
      <c r="L498" s="33"/>
      <c r="M498" s="14"/>
      <c r="N498" s="15"/>
      <c r="O498" s="15"/>
      <c r="P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3"/>
      <c r="AQ498" s="3"/>
      <c r="AR498" s="3"/>
      <c r="AS498" s="15"/>
      <c r="AT498" s="3"/>
      <c r="AU498" s="3"/>
      <c r="AV498" s="3"/>
      <c r="AW498" s="3"/>
      <c r="AX498" s="3"/>
      <c r="AY498" s="3"/>
      <c r="AZ498" s="15"/>
      <c r="BF498" s="3"/>
      <c r="BG498" s="3"/>
      <c r="BH498" s="15"/>
    </row>
    <row r="499" spans="2:60" ht="15" customHeight="1" x14ac:dyDescent="0.4">
      <c r="B499" s="68"/>
      <c r="C499" s="69"/>
      <c r="D499" s="161" t="s">
        <v>218</v>
      </c>
      <c r="E499" s="209" t="s">
        <v>261</v>
      </c>
      <c r="F499" s="210"/>
      <c r="G499" s="170">
        <v>25</v>
      </c>
      <c r="H499" s="72"/>
      <c r="I499" s="33"/>
      <c r="J499" s="33"/>
      <c r="K499" s="33"/>
      <c r="L499" s="63"/>
      <c r="M499" s="14"/>
      <c r="N499" s="15"/>
      <c r="O499" s="15"/>
      <c r="P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15"/>
      <c r="BF499" s="3"/>
      <c r="BG499" s="3"/>
      <c r="BH499" s="15"/>
    </row>
    <row r="500" spans="2:60" ht="15" customHeight="1" x14ac:dyDescent="0.4">
      <c r="B500" s="68"/>
      <c r="C500" s="69"/>
      <c r="D500" s="162"/>
      <c r="E500" s="211"/>
      <c r="F500" s="212"/>
      <c r="G500" s="171"/>
      <c r="H500" s="73"/>
      <c r="I500" s="33"/>
      <c r="J500" s="33"/>
      <c r="K500" s="33"/>
      <c r="L500" s="63"/>
      <c r="M500" s="14"/>
      <c r="N500" s="15"/>
      <c r="O500" s="15"/>
      <c r="P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3"/>
      <c r="AQ500" s="3"/>
      <c r="AR500" s="3"/>
      <c r="AS500" s="3"/>
      <c r="AT500" s="3"/>
      <c r="AU500" s="3"/>
      <c r="AV500" s="3"/>
      <c r="AW500"/>
      <c r="AX500" s="70"/>
      <c r="AY500" s="88"/>
      <c r="AZ500" s="67"/>
      <c r="BF500" s="3"/>
      <c r="BG500" s="3"/>
      <c r="BH500" s="15"/>
    </row>
    <row r="501" spans="2:60" ht="15" customHeight="1" x14ac:dyDescent="0.4">
      <c r="B501" s="68"/>
      <c r="C501" s="69"/>
      <c r="D501" s="163"/>
      <c r="E501" s="213"/>
      <c r="F501" s="214"/>
      <c r="G501" s="172"/>
      <c r="H501" s="74"/>
      <c r="I501" s="33"/>
      <c r="J501" s="33"/>
      <c r="K501" s="33"/>
      <c r="L501" s="33"/>
      <c r="M501" s="14"/>
      <c r="N501" s="15"/>
      <c r="O501" s="15"/>
      <c r="P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15"/>
      <c r="BF501" s="3"/>
      <c r="BG501" s="3"/>
      <c r="BH501" s="15"/>
    </row>
    <row r="502" spans="2:60" ht="15" customHeight="1" x14ac:dyDescent="0.4">
      <c r="B502" s="68"/>
      <c r="C502" s="69"/>
      <c r="D502" s="161" t="s">
        <v>220</v>
      </c>
      <c r="E502" s="209" t="s">
        <v>262</v>
      </c>
      <c r="F502" s="210"/>
      <c r="G502" s="170">
        <v>25</v>
      </c>
      <c r="H502" s="72"/>
      <c r="I502" s="33"/>
      <c r="J502" s="33"/>
      <c r="K502" s="33"/>
      <c r="L502" s="63"/>
      <c r="M502" s="14"/>
      <c r="N502" s="15"/>
      <c r="O502" s="15"/>
      <c r="P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15"/>
      <c r="BF502" s="3"/>
      <c r="BG502" s="3"/>
      <c r="BH502" s="15"/>
    </row>
    <row r="503" spans="2:60" ht="15" customHeight="1" x14ac:dyDescent="0.4">
      <c r="B503" s="68"/>
      <c r="C503" s="69"/>
      <c r="D503" s="162"/>
      <c r="E503" s="211"/>
      <c r="F503" s="212"/>
      <c r="G503" s="171"/>
      <c r="H503" s="73"/>
      <c r="I503" s="33"/>
      <c r="J503" s="33"/>
      <c r="K503" s="33"/>
      <c r="L503" s="63"/>
      <c r="M503" s="14"/>
      <c r="N503" s="15"/>
      <c r="O503" s="15"/>
      <c r="P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3"/>
      <c r="AQ503" s="3"/>
      <c r="AR503" s="3"/>
      <c r="AS503" s="3"/>
      <c r="AT503" s="3"/>
      <c r="AU503" s="3"/>
      <c r="AV503" s="3"/>
      <c r="AW503"/>
      <c r="AX503" s="70"/>
      <c r="AY503" s="88"/>
      <c r="AZ503" s="67"/>
      <c r="BF503" s="3"/>
      <c r="BG503" s="3"/>
      <c r="BH503" s="15"/>
    </row>
    <row r="504" spans="2:60" ht="15" customHeight="1" x14ac:dyDescent="0.4">
      <c r="B504" s="68"/>
      <c r="C504" s="69"/>
      <c r="D504" s="163"/>
      <c r="E504" s="213"/>
      <c r="F504" s="214"/>
      <c r="G504" s="172"/>
      <c r="H504" s="74"/>
      <c r="I504" s="33"/>
      <c r="J504" s="33"/>
      <c r="K504" s="33"/>
      <c r="L504" s="33"/>
      <c r="M504" s="14"/>
      <c r="N504" s="15"/>
      <c r="O504" s="15"/>
      <c r="P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15"/>
      <c r="BF504" s="3"/>
      <c r="BG504" s="3"/>
      <c r="BH504" s="15"/>
    </row>
    <row r="505" spans="2:60" ht="15" customHeight="1" x14ac:dyDescent="0.4">
      <c r="B505" s="106"/>
      <c r="C505" s="184" t="s">
        <v>39</v>
      </c>
      <c r="D505" s="215" t="s">
        <v>263</v>
      </c>
      <c r="E505" s="216"/>
      <c r="F505" s="217"/>
      <c r="G505" s="45"/>
      <c r="H505" s="121">
        <f>SUM(G508:G513)</f>
        <v>30</v>
      </c>
      <c r="J505" s="33"/>
      <c r="K505" s="224">
        <f>H505*$J$8</f>
        <v>8441.25</v>
      </c>
      <c r="M505" s="14"/>
      <c r="N505" s="3"/>
      <c r="O505" s="15"/>
      <c r="P505" s="15"/>
      <c r="AG505" s="15"/>
      <c r="AH505" s="15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15"/>
      <c r="AU505" s="15"/>
      <c r="AV505" s="15"/>
      <c r="AW505" s="3"/>
      <c r="AX505" s="3"/>
      <c r="AY505" s="3"/>
      <c r="AZ505" s="3"/>
      <c r="BF505" s="3"/>
      <c r="BG505" s="3"/>
      <c r="BH505" s="3"/>
    </row>
    <row r="506" spans="2:60" ht="15" customHeight="1" x14ac:dyDescent="0.4">
      <c r="B506" s="107"/>
      <c r="C506" s="185"/>
      <c r="D506" s="218"/>
      <c r="E506" s="219"/>
      <c r="F506" s="220"/>
      <c r="G506" s="51"/>
      <c r="H506" s="122"/>
      <c r="J506" s="33"/>
      <c r="K506" s="225"/>
      <c r="M506" s="14"/>
      <c r="N506" s="15"/>
      <c r="O506" s="15"/>
      <c r="P506" s="15"/>
      <c r="AG506" s="15"/>
      <c r="AH506" s="15"/>
      <c r="AI506" s="15"/>
      <c r="AJ506" s="15"/>
      <c r="AK506" s="15"/>
      <c r="AL506" s="15"/>
      <c r="AM506" s="15"/>
      <c r="AN506" s="15"/>
      <c r="BA506" s="89"/>
      <c r="BB506" s="83"/>
      <c r="BC506" s="83"/>
      <c r="BD506" s="84"/>
      <c r="BF506" s="3"/>
      <c r="BG506" s="3"/>
      <c r="BH506" s="3"/>
    </row>
    <row r="507" spans="2:60" ht="15" customHeight="1" x14ac:dyDescent="0.4">
      <c r="B507" s="108"/>
      <c r="C507" s="186"/>
      <c r="D507" s="221"/>
      <c r="E507" s="222"/>
      <c r="F507" s="223"/>
      <c r="G507" s="51"/>
      <c r="H507" s="123"/>
      <c r="J507" s="33"/>
      <c r="K507" s="226"/>
      <c r="M507" s="14"/>
      <c r="N507" s="15"/>
      <c r="O507" s="15"/>
      <c r="P507" s="15"/>
      <c r="AG507" s="15"/>
      <c r="AH507" s="15"/>
      <c r="AI507" s="15"/>
      <c r="AJ507" s="15"/>
      <c r="AK507" s="15"/>
      <c r="AL507" s="3"/>
      <c r="AM507" s="3"/>
      <c r="AN507" s="3"/>
      <c r="AO507" s="3"/>
      <c r="AP507" s="3"/>
      <c r="AQ507" s="3"/>
      <c r="AR507" s="3"/>
      <c r="AS507" s="3"/>
      <c r="AT507" s="15"/>
      <c r="AU507" s="15"/>
      <c r="AV507" s="15"/>
      <c r="AW507" s="3"/>
      <c r="AX507" s="3"/>
      <c r="AY507" s="3"/>
      <c r="AZ507" s="15"/>
      <c r="BF507" s="3"/>
      <c r="BG507" s="3"/>
      <c r="BH507" s="3"/>
    </row>
    <row r="508" spans="2:60" ht="15" customHeight="1" x14ac:dyDescent="0.4">
      <c r="B508" s="158"/>
      <c r="C508" s="158"/>
      <c r="D508" s="161" t="s">
        <v>264</v>
      </c>
      <c r="E508" s="209" t="s">
        <v>265</v>
      </c>
      <c r="F508" s="210"/>
      <c r="G508" s="170">
        <v>15</v>
      </c>
      <c r="H508" s="72"/>
      <c r="I508" s="63"/>
      <c r="J508" s="64"/>
      <c r="K508" s="64"/>
      <c r="L508" s="33"/>
      <c r="M508" s="14"/>
      <c r="N508" s="15"/>
      <c r="O508" s="15"/>
      <c r="P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3"/>
      <c r="AQ508" s="3"/>
      <c r="AR508" s="3"/>
      <c r="AS508" s="15"/>
      <c r="AT508" s="3"/>
      <c r="AU508" s="3"/>
      <c r="AV508" s="3"/>
      <c r="AW508" s="3"/>
      <c r="AX508" s="3"/>
      <c r="AY508" s="3"/>
      <c r="AZ508" s="15"/>
      <c r="BF508" s="3"/>
      <c r="BG508" s="3"/>
      <c r="BH508" s="3"/>
    </row>
    <row r="509" spans="2:60" ht="15" customHeight="1" x14ac:dyDescent="0.4">
      <c r="B509" s="159"/>
      <c r="C509" s="159"/>
      <c r="D509" s="162"/>
      <c r="E509" s="211"/>
      <c r="F509" s="212"/>
      <c r="G509" s="171"/>
      <c r="H509" s="73"/>
      <c r="I509" s="63"/>
      <c r="J509" s="63"/>
      <c r="K509" s="63"/>
      <c r="L509" s="33"/>
      <c r="M509" s="14"/>
      <c r="N509" s="15"/>
      <c r="O509" s="15"/>
      <c r="P509" s="15"/>
      <c r="AV509" s="3"/>
      <c r="AW509" s="3"/>
      <c r="AX509" s="3"/>
      <c r="AY509" s="3"/>
      <c r="AZ509" s="15"/>
      <c r="BA509" s="90"/>
      <c r="BB509" s="91"/>
      <c r="BC509" s="3"/>
      <c r="BD509" s="3"/>
      <c r="BF509" s="3"/>
      <c r="BG509" s="3"/>
      <c r="BH509" s="15"/>
    </row>
    <row r="510" spans="2:60" ht="15" customHeight="1" x14ac:dyDescent="0.4">
      <c r="B510" s="160"/>
      <c r="C510" s="160"/>
      <c r="D510" s="163"/>
      <c r="E510" s="213"/>
      <c r="F510" s="214"/>
      <c r="G510" s="172"/>
      <c r="H510" s="74"/>
      <c r="I510" s="63"/>
      <c r="J510" s="63"/>
      <c r="K510" s="63"/>
      <c r="L510" s="33"/>
      <c r="M510" s="14"/>
      <c r="N510" s="15"/>
      <c r="O510" s="15"/>
      <c r="P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3"/>
      <c r="AQ510" s="3"/>
      <c r="AR510" s="3"/>
      <c r="AS510" s="15"/>
      <c r="AT510" s="3"/>
      <c r="AU510" s="3"/>
      <c r="AV510" s="3"/>
      <c r="AW510" s="3"/>
      <c r="AX510" s="3"/>
      <c r="AY510" s="3"/>
      <c r="AZ510" s="15"/>
      <c r="BF510" s="3"/>
      <c r="BG510" s="3"/>
      <c r="BH510" s="15"/>
    </row>
    <row r="511" spans="2:60" ht="15" customHeight="1" x14ac:dyDescent="0.4">
      <c r="B511" s="68"/>
      <c r="C511" s="69"/>
      <c r="D511" s="161" t="s">
        <v>266</v>
      </c>
      <c r="E511" s="209" t="s">
        <v>267</v>
      </c>
      <c r="F511" s="210"/>
      <c r="G511" s="170">
        <v>15</v>
      </c>
      <c r="H511" s="72"/>
      <c r="I511" s="33"/>
      <c r="J511" s="33"/>
      <c r="K511" s="33"/>
      <c r="L511" s="63"/>
      <c r="M511" s="14"/>
      <c r="N511" s="15"/>
      <c r="O511" s="15"/>
      <c r="P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15"/>
      <c r="BF511" s="3"/>
      <c r="BG511" s="3"/>
      <c r="BH511" s="15"/>
    </row>
    <row r="512" spans="2:60" ht="15" customHeight="1" x14ac:dyDescent="0.4">
      <c r="B512" s="68"/>
      <c r="C512" s="69"/>
      <c r="D512" s="162"/>
      <c r="E512" s="211"/>
      <c r="F512" s="212"/>
      <c r="G512" s="171"/>
      <c r="H512" s="73"/>
      <c r="I512" s="33"/>
      <c r="J512" s="33"/>
      <c r="K512" s="33"/>
      <c r="L512" s="63"/>
      <c r="M512" s="14"/>
      <c r="N512" s="15"/>
      <c r="O512" s="15"/>
      <c r="P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90"/>
      <c r="BD512" s="91"/>
      <c r="BF512" s="3"/>
      <c r="BG512" s="3"/>
      <c r="BH512" s="15"/>
    </row>
    <row r="513" spans="2:60" ht="15" customHeight="1" x14ac:dyDescent="0.4">
      <c r="B513" s="68"/>
      <c r="C513" s="69"/>
      <c r="D513" s="163"/>
      <c r="E513" s="213"/>
      <c r="F513" s="214"/>
      <c r="G513" s="172"/>
      <c r="H513" s="74"/>
      <c r="I513" s="33"/>
      <c r="J513" s="33"/>
      <c r="K513" s="33"/>
      <c r="L513" s="33"/>
      <c r="M513" s="14"/>
      <c r="N513" s="15"/>
      <c r="O513" s="15"/>
      <c r="P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15"/>
      <c r="BF513" s="3"/>
      <c r="BG513" s="3"/>
      <c r="BH513" s="15"/>
    </row>
    <row r="514" spans="2:60" ht="18" customHeight="1" x14ac:dyDescent="0.4">
      <c r="B514" s="125" t="s">
        <v>268</v>
      </c>
      <c r="C514" s="173" t="s">
        <v>269</v>
      </c>
      <c r="D514" s="174"/>
      <c r="E514" s="174"/>
      <c r="F514" s="175"/>
      <c r="G514" s="182">
        <f>I514*250</f>
        <v>65000</v>
      </c>
      <c r="H514" s="140"/>
      <c r="I514" s="143">
        <f>SUM(H517:H576)</f>
        <v>260</v>
      </c>
      <c r="J514" s="33"/>
      <c r="K514" s="33"/>
      <c r="L514" s="155">
        <f>SUM(K517:K576)</f>
        <v>73157.5</v>
      </c>
      <c r="M514" s="14"/>
      <c r="N514" s="15"/>
      <c r="O514" s="15"/>
      <c r="P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  <c r="AV514" s="15"/>
      <c r="AW514" s="15"/>
      <c r="AX514" s="15"/>
      <c r="AY514" s="15"/>
      <c r="AZ514" s="15"/>
      <c r="BF514" s="3"/>
      <c r="BG514" s="15"/>
      <c r="BH514" s="15"/>
    </row>
    <row r="515" spans="2:60" ht="20.25" customHeight="1" x14ac:dyDescent="0.4">
      <c r="B515" s="126"/>
      <c r="C515" s="176"/>
      <c r="D515" s="177"/>
      <c r="E515" s="177"/>
      <c r="F515" s="178"/>
      <c r="G515" s="183"/>
      <c r="H515" s="141"/>
      <c r="I515" s="143"/>
      <c r="J515" s="33"/>
      <c r="K515" s="33"/>
      <c r="L515" s="155"/>
      <c r="M515" s="14"/>
      <c r="N515" s="15"/>
      <c r="O515" s="15"/>
      <c r="P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5"/>
      <c r="AV515" s="15"/>
      <c r="AW515" s="92"/>
      <c r="AX515" s="93"/>
      <c r="AY515" s="93"/>
      <c r="AZ515" s="94"/>
      <c r="BA515" s="3"/>
      <c r="BB515" s="3"/>
      <c r="BC515" s="3"/>
      <c r="BD515" s="3"/>
      <c r="BF515" s="3"/>
      <c r="BG515" s="3"/>
      <c r="BH515" s="3"/>
    </row>
    <row r="516" spans="2:60" ht="20.25" customHeight="1" x14ac:dyDescent="0.4">
      <c r="B516" s="127"/>
      <c r="C516" s="179"/>
      <c r="D516" s="180"/>
      <c r="E516" s="180"/>
      <c r="F516" s="181"/>
      <c r="G516" s="183"/>
      <c r="H516" s="141"/>
      <c r="I516" s="143"/>
      <c r="J516" s="33"/>
      <c r="K516" s="33"/>
      <c r="L516" s="155"/>
      <c r="M516" s="14"/>
      <c r="N516" s="15"/>
      <c r="O516" s="15"/>
      <c r="P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  <c r="AV516" s="15"/>
      <c r="AW516" s="15"/>
      <c r="AX516" s="15"/>
      <c r="AY516" s="15"/>
      <c r="AZ516" s="15"/>
      <c r="BF516" s="15"/>
      <c r="BG516" s="15"/>
      <c r="BH516" s="15"/>
    </row>
    <row r="517" spans="2:60" ht="13" customHeight="1" x14ac:dyDescent="0.4">
      <c r="B517" s="106"/>
      <c r="C517" s="109" t="s">
        <v>25</v>
      </c>
      <c r="D517" s="187" t="s">
        <v>270</v>
      </c>
      <c r="E517" s="188"/>
      <c r="F517" s="189"/>
      <c r="G517" s="45"/>
      <c r="H517" s="121">
        <f>SUM(G520:G531)</f>
        <v>48</v>
      </c>
      <c r="J517" s="33"/>
      <c r="K517" s="124">
        <f>H517*$J$8</f>
        <v>13506</v>
      </c>
      <c r="M517" s="14"/>
      <c r="N517" s="3"/>
      <c r="O517" s="15"/>
      <c r="P517" s="15"/>
      <c r="AG517" s="15"/>
      <c r="AH517" s="15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15"/>
      <c r="AU517" s="15"/>
      <c r="AV517" s="15"/>
      <c r="AW517" s="3"/>
      <c r="AX517" s="3"/>
      <c r="AY517" s="3"/>
      <c r="AZ517" s="3"/>
      <c r="BA517" s="3"/>
      <c r="BB517" s="3"/>
      <c r="BC517" s="3"/>
      <c r="BD517" s="3"/>
      <c r="BF517" s="3"/>
      <c r="BG517" s="3"/>
      <c r="BH517" s="3"/>
    </row>
    <row r="518" spans="2:60" ht="13" customHeight="1" x14ac:dyDescent="0.4">
      <c r="B518" s="156"/>
      <c r="C518" s="153"/>
      <c r="D518" s="190"/>
      <c r="E518" s="191"/>
      <c r="F518" s="192"/>
      <c r="G518" s="51"/>
      <c r="H518" s="122"/>
      <c r="J518" s="33"/>
      <c r="K518" s="124"/>
      <c r="M518" s="14"/>
      <c r="N518" s="15"/>
      <c r="O518" s="15"/>
      <c r="P518" s="15"/>
      <c r="AG518" s="15"/>
      <c r="AH518" s="15"/>
      <c r="AI518" s="15"/>
      <c r="AJ518" s="15"/>
      <c r="AK518" s="15"/>
      <c r="AL518" s="15"/>
      <c r="AM518" s="15"/>
      <c r="AN518" s="15"/>
      <c r="AV518" s="15"/>
      <c r="AW518" s="85"/>
      <c r="AX518" s="86"/>
      <c r="AY518" s="86"/>
      <c r="AZ518" s="87"/>
      <c r="BA518" s="3"/>
      <c r="BB518" s="3"/>
      <c r="BC518" s="3"/>
      <c r="BD518" s="3"/>
      <c r="BF518" s="3"/>
      <c r="BG518" s="3"/>
      <c r="BH518" s="3"/>
    </row>
    <row r="519" spans="2:60" ht="13" customHeight="1" x14ac:dyDescent="0.4">
      <c r="B519" s="157"/>
      <c r="C519" s="154"/>
      <c r="D519" s="193"/>
      <c r="E519" s="194"/>
      <c r="F519" s="195"/>
      <c r="G519" s="51"/>
      <c r="H519" s="123"/>
      <c r="J519" s="33"/>
      <c r="K519" s="124"/>
      <c r="M519" s="14"/>
      <c r="N519" s="15"/>
      <c r="O519" s="15"/>
      <c r="P519" s="15"/>
      <c r="AG519" s="15"/>
      <c r="AH519" s="15"/>
      <c r="AI519" s="15"/>
      <c r="AJ519" s="15"/>
      <c r="AK519" s="15"/>
      <c r="AL519" s="3"/>
      <c r="AM519" s="3"/>
      <c r="AN519" s="3"/>
      <c r="AO519" s="3"/>
      <c r="AP519" s="3"/>
      <c r="AQ519" s="3"/>
      <c r="AR519" s="3"/>
      <c r="AS519" s="3"/>
      <c r="AT519" s="15"/>
      <c r="AU519" s="15"/>
      <c r="AV519" s="15"/>
      <c r="AW519" s="3"/>
      <c r="AX519" s="3"/>
      <c r="AY519" s="3"/>
      <c r="AZ519" s="3"/>
      <c r="BA519" s="3"/>
      <c r="BB519" s="3"/>
      <c r="BC519" s="3"/>
      <c r="BD519" s="3"/>
      <c r="BF519" s="3"/>
      <c r="BG519" s="3"/>
      <c r="BH519" s="15"/>
    </row>
    <row r="520" spans="2:60" ht="13" customHeight="1" x14ac:dyDescent="0.4">
      <c r="B520" s="196"/>
      <c r="C520" s="196"/>
      <c r="D520" s="197" t="s">
        <v>100</v>
      </c>
      <c r="E520" s="199" t="s">
        <v>271</v>
      </c>
      <c r="F520" s="199"/>
      <c r="G520" s="170">
        <v>12</v>
      </c>
      <c r="H520" s="72"/>
      <c r="I520" s="63"/>
      <c r="J520" s="64"/>
      <c r="K520" s="64"/>
      <c r="L520" s="33"/>
      <c r="M520" s="14"/>
      <c r="N520" s="15"/>
      <c r="O520" s="15"/>
      <c r="P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3"/>
      <c r="AQ520" s="3"/>
      <c r="AR520" s="3"/>
      <c r="AS520" s="15"/>
      <c r="AT520" s="3"/>
      <c r="AU520" s="3"/>
      <c r="AV520" s="15"/>
      <c r="AW520" s="3"/>
      <c r="AX520" s="3"/>
      <c r="AY520" s="3"/>
      <c r="AZ520" s="3"/>
      <c r="BA520" s="3"/>
      <c r="BB520" s="3"/>
      <c r="BC520" s="3"/>
      <c r="BD520" s="3"/>
      <c r="BF520" s="3"/>
      <c r="BG520" s="3"/>
      <c r="BH520" s="15"/>
    </row>
    <row r="521" spans="2:60" ht="13" customHeight="1" x14ac:dyDescent="0.4">
      <c r="B521" s="196"/>
      <c r="C521" s="196"/>
      <c r="D521" s="198"/>
      <c r="E521" s="199"/>
      <c r="F521" s="199"/>
      <c r="G521" s="171"/>
      <c r="H521" s="73"/>
      <c r="I521" s="63"/>
      <c r="J521" s="63"/>
      <c r="K521" s="63"/>
      <c r="L521" s="33"/>
      <c r="M521" s="14"/>
      <c r="N521" s="15"/>
      <c r="O521" s="15"/>
      <c r="P521" s="15"/>
      <c r="AV521" s="3"/>
      <c r="AW521" s="70"/>
      <c r="AX521" s="71"/>
      <c r="AY521" s="3"/>
      <c r="AZ521" s="3"/>
      <c r="BA521" s="3"/>
      <c r="BB521" s="3"/>
      <c r="BC521" s="3"/>
      <c r="BD521" s="3"/>
      <c r="BF521" s="3"/>
      <c r="BG521" s="3"/>
      <c r="BH521" s="15"/>
    </row>
    <row r="522" spans="2:60" ht="13" customHeight="1" x14ac:dyDescent="0.4">
      <c r="B522" s="196"/>
      <c r="C522" s="196"/>
      <c r="D522" s="198"/>
      <c r="E522" s="199"/>
      <c r="F522" s="199"/>
      <c r="G522" s="172"/>
      <c r="H522" s="74"/>
      <c r="I522" s="63"/>
      <c r="J522" s="63"/>
      <c r="K522" s="63"/>
      <c r="L522" s="33"/>
      <c r="M522" s="14"/>
      <c r="N522" s="15"/>
      <c r="O522" s="15"/>
      <c r="P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3"/>
      <c r="AQ522" s="3"/>
      <c r="AR522" s="3"/>
      <c r="AS522" s="15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F522" s="3"/>
      <c r="BG522" s="3"/>
      <c r="BH522" s="15"/>
    </row>
    <row r="523" spans="2:60" ht="15" customHeight="1" x14ac:dyDescent="0.4">
      <c r="B523" s="68"/>
      <c r="C523" s="69"/>
      <c r="D523" s="197" t="s">
        <v>102</v>
      </c>
      <c r="E523" s="199" t="s">
        <v>272</v>
      </c>
      <c r="F523" s="199"/>
      <c r="G523" s="170">
        <v>12</v>
      </c>
      <c r="H523" s="72"/>
      <c r="I523" s="33"/>
      <c r="J523" s="33"/>
      <c r="K523" s="33"/>
      <c r="L523" s="63"/>
      <c r="M523" s="14"/>
      <c r="N523" s="15"/>
      <c r="O523" s="15"/>
      <c r="P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F523" s="3"/>
      <c r="BG523" s="3"/>
      <c r="BH523" s="15"/>
    </row>
    <row r="524" spans="2:60" ht="15" customHeight="1" x14ac:dyDescent="0.4">
      <c r="B524" s="68"/>
      <c r="C524" s="69"/>
      <c r="D524" s="198"/>
      <c r="E524" s="199"/>
      <c r="F524" s="199"/>
      <c r="G524" s="171"/>
      <c r="H524" s="73"/>
      <c r="I524" s="33"/>
      <c r="J524" s="33"/>
      <c r="K524" s="33"/>
      <c r="L524" s="63"/>
      <c r="M524" s="14"/>
      <c r="N524" s="15"/>
      <c r="O524" s="15"/>
      <c r="P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3"/>
      <c r="AQ524" s="3"/>
      <c r="AR524" s="3"/>
      <c r="AS524" s="3"/>
      <c r="AT524" s="3"/>
      <c r="AU524" s="3"/>
      <c r="AV524" s="3"/>
      <c r="AW524" s="70"/>
      <c r="AX524" s="71"/>
      <c r="AY524" s="3"/>
      <c r="AZ524" s="3"/>
      <c r="BA524" s="3"/>
      <c r="BB524" s="3"/>
      <c r="BC524" s="3"/>
      <c r="BD524" s="3"/>
      <c r="BF524" s="3"/>
      <c r="BG524" s="3"/>
      <c r="BH524" s="15"/>
    </row>
    <row r="525" spans="2:60" ht="15" customHeight="1" x14ac:dyDescent="0.4">
      <c r="B525" s="68"/>
      <c r="C525" s="69"/>
      <c r="D525" s="198"/>
      <c r="E525" s="199"/>
      <c r="F525" s="199"/>
      <c r="G525" s="172"/>
      <c r="H525" s="74"/>
      <c r="I525" s="33"/>
      <c r="J525" s="33"/>
      <c r="K525" s="33"/>
      <c r="L525" s="33"/>
      <c r="M525" s="14"/>
      <c r="N525" s="15"/>
      <c r="O525" s="15"/>
      <c r="P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F525" s="3"/>
      <c r="BG525" s="3"/>
      <c r="BH525" s="15"/>
    </row>
    <row r="526" spans="2:60" ht="15" customHeight="1" x14ac:dyDescent="0.4">
      <c r="B526" s="68"/>
      <c r="C526" s="69"/>
      <c r="D526" s="197" t="s">
        <v>104</v>
      </c>
      <c r="E526" s="199" t="s">
        <v>273</v>
      </c>
      <c r="F526" s="199"/>
      <c r="G526" s="170">
        <v>12</v>
      </c>
      <c r="H526" s="72"/>
      <c r="I526" s="33"/>
      <c r="J526" s="33"/>
      <c r="K526" s="33"/>
      <c r="L526" s="63"/>
      <c r="M526" s="14"/>
      <c r="N526" s="15"/>
      <c r="O526" s="15"/>
      <c r="P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F526" s="3"/>
      <c r="BG526" s="3"/>
      <c r="BH526" s="15"/>
    </row>
    <row r="527" spans="2:60" ht="15" customHeight="1" x14ac:dyDescent="0.4">
      <c r="B527" s="68"/>
      <c r="C527" s="69"/>
      <c r="D527" s="198"/>
      <c r="E527" s="199"/>
      <c r="F527" s="199"/>
      <c r="G527" s="171"/>
      <c r="H527" s="73"/>
      <c r="I527" s="33"/>
      <c r="J527" s="33"/>
      <c r="K527" s="33"/>
      <c r="L527" s="63"/>
      <c r="M527" s="14"/>
      <c r="N527" s="15"/>
      <c r="O527" s="15"/>
      <c r="P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3"/>
      <c r="AQ527" s="3"/>
      <c r="AR527" s="3"/>
      <c r="AS527" s="3"/>
      <c r="AT527" s="3"/>
      <c r="AU527" s="3"/>
      <c r="AV527" s="3"/>
      <c r="AW527" s="3"/>
      <c r="AX527" s="70"/>
      <c r="AY527" s="71"/>
      <c r="AZ527" s="3"/>
      <c r="BA527" s="3"/>
      <c r="BB527" s="3"/>
      <c r="BC527" s="3"/>
      <c r="BD527" s="3"/>
      <c r="BF527" s="3"/>
      <c r="BG527" s="3"/>
      <c r="BH527" s="15"/>
    </row>
    <row r="528" spans="2:60" ht="15" customHeight="1" x14ac:dyDescent="0.4">
      <c r="B528" s="68"/>
      <c r="C528" s="69"/>
      <c r="D528" s="198"/>
      <c r="E528" s="199"/>
      <c r="F528" s="199"/>
      <c r="G528" s="172"/>
      <c r="H528" s="74"/>
      <c r="I528" s="33"/>
      <c r="J528" s="33"/>
      <c r="K528" s="33"/>
      <c r="L528" s="33"/>
      <c r="M528" s="14"/>
      <c r="N528" s="15"/>
      <c r="O528" s="15"/>
      <c r="P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F528" s="3"/>
      <c r="BG528" s="3"/>
      <c r="BH528" s="15"/>
    </row>
    <row r="529" spans="2:60" ht="15" customHeight="1" x14ac:dyDescent="0.4">
      <c r="B529" s="68"/>
      <c r="C529" s="69"/>
      <c r="D529" s="197" t="s">
        <v>106</v>
      </c>
      <c r="E529" s="199" t="s">
        <v>274</v>
      </c>
      <c r="F529" s="199"/>
      <c r="G529" s="170">
        <v>12</v>
      </c>
      <c r="H529" s="72"/>
      <c r="I529" s="33"/>
      <c r="J529" s="33"/>
      <c r="K529" s="33"/>
      <c r="L529" s="63"/>
      <c r="M529" s="14"/>
      <c r="N529" s="15"/>
      <c r="O529" s="15"/>
      <c r="P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F529" s="3"/>
      <c r="BG529" s="3"/>
      <c r="BH529" s="15"/>
    </row>
    <row r="530" spans="2:60" ht="15" customHeight="1" x14ac:dyDescent="0.4">
      <c r="B530" s="68"/>
      <c r="C530" s="69"/>
      <c r="D530" s="198"/>
      <c r="E530" s="199"/>
      <c r="F530" s="199"/>
      <c r="G530" s="171"/>
      <c r="H530" s="73"/>
      <c r="I530" s="33"/>
      <c r="J530" s="33"/>
      <c r="K530" s="33"/>
      <c r="L530" s="63"/>
      <c r="M530" s="14"/>
      <c r="N530" s="15"/>
      <c r="O530" s="15"/>
      <c r="P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3"/>
      <c r="AQ530" s="3"/>
      <c r="AR530" s="3"/>
      <c r="AS530" s="3"/>
      <c r="AT530" s="3"/>
      <c r="AU530" s="3"/>
      <c r="AV530" s="3"/>
      <c r="AW530" s="3"/>
      <c r="AX530" s="3"/>
      <c r="AY530" s="70"/>
      <c r="AZ530" s="71"/>
      <c r="BA530" s="3"/>
      <c r="BB530" s="3"/>
      <c r="BC530" s="3"/>
      <c r="BD530" s="3"/>
      <c r="BF530" s="3"/>
      <c r="BG530" s="3"/>
      <c r="BH530" s="15"/>
    </row>
    <row r="531" spans="2:60" ht="15" customHeight="1" x14ac:dyDescent="0.4">
      <c r="B531" s="68"/>
      <c r="C531" s="69"/>
      <c r="D531" s="198"/>
      <c r="E531" s="199"/>
      <c r="F531" s="199"/>
      <c r="G531" s="172"/>
      <c r="H531" s="74"/>
      <c r="I531" s="33"/>
      <c r="J531" s="33"/>
      <c r="K531" s="33"/>
      <c r="L531" s="33"/>
      <c r="M531" s="14"/>
      <c r="N531" s="15"/>
      <c r="O531" s="15"/>
      <c r="P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F531" s="3"/>
      <c r="BG531" s="3"/>
      <c r="BH531" s="15"/>
    </row>
    <row r="532" spans="2:60" ht="15" customHeight="1" x14ac:dyDescent="0.4">
      <c r="B532" s="106"/>
      <c r="C532" s="109" t="s">
        <v>27</v>
      </c>
      <c r="D532" s="187" t="s">
        <v>275</v>
      </c>
      <c r="E532" s="188"/>
      <c r="F532" s="189"/>
      <c r="G532" s="45"/>
      <c r="H532" s="121">
        <f>SUM(G535:G555)</f>
        <v>100</v>
      </c>
      <c r="J532" s="33"/>
      <c r="K532" s="124">
        <f>H532*$J$8</f>
        <v>28137.5</v>
      </c>
      <c r="M532" s="14"/>
      <c r="N532" s="3"/>
      <c r="O532" s="15"/>
      <c r="P532" s="15"/>
      <c r="AG532" s="15"/>
      <c r="AH532" s="15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15"/>
      <c r="AU532" s="15"/>
      <c r="AV532" s="15"/>
      <c r="AW532" s="3"/>
      <c r="AX532" s="3"/>
      <c r="AY532" s="3"/>
      <c r="AZ532" s="3"/>
      <c r="BA532" s="3"/>
      <c r="BB532" s="3"/>
      <c r="BC532" s="3"/>
      <c r="BD532" s="3"/>
      <c r="BF532" s="3"/>
      <c r="BG532" s="3"/>
      <c r="BH532" s="3"/>
    </row>
    <row r="533" spans="2:60" ht="15" customHeight="1" x14ac:dyDescent="0.4">
      <c r="B533" s="156"/>
      <c r="C533" s="153"/>
      <c r="D533" s="190"/>
      <c r="E533" s="191"/>
      <c r="F533" s="192"/>
      <c r="G533" s="51"/>
      <c r="H533" s="122"/>
      <c r="J533" s="33"/>
      <c r="K533" s="124"/>
      <c r="M533" s="14"/>
      <c r="N533" s="15"/>
      <c r="O533" s="15"/>
      <c r="P533" s="15"/>
      <c r="AG533" s="15"/>
      <c r="AH533" s="15"/>
      <c r="AI533" s="15"/>
      <c r="AJ533" s="15"/>
      <c r="AK533" s="15"/>
      <c r="AL533" s="15"/>
      <c r="AM533" s="15"/>
      <c r="AN533" s="15"/>
      <c r="AW533" s="85"/>
      <c r="AX533" s="86"/>
      <c r="AY533" s="86"/>
      <c r="AZ533" s="87"/>
      <c r="BA533" s="3"/>
      <c r="BB533" s="3"/>
      <c r="BC533" s="3"/>
      <c r="BD533" s="3"/>
      <c r="BF533" s="3"/>
      <c r="BG533" s="3"/>
      <c r="BH533" s="3"/>
    </row>
    <row r="534" spans="2:60" ht="15" customHeight="1" x14ac:dyDescent="0.4">
      <c r="B534" s="157"/>
      <c r="C534" s="154"/>
      <c r="D534" s="193"/>
      <c r="E534" s="194"/>
      <c r="F534" s="195"/>
      <c r="G534" s="51"/>
      <c r="H534" s="123"/>
      <c r="J534" s="33"/>
      <c r="K534" s="124"/>
      <c r="M534" s="14"/>
      <c r="N534" s="15"/>
      <c r="O534" s="15"/>
      <c r="P534" s="15"/>
      <c r="AG534" s="15"/>
      <c r="AH534" s="15"/>
      <c r="AI534" s="15"/>
      <c r="AJ534" s="15"/>
      <c r="AK534" s="15"/>
      <c r="AL534" s="3"/>
      <c r="AM534" s="3"/>
      <c r="AN534" s="3"/>
      <c r="AO534" s="3"/>
      <c r="AP534" s="3"/>
      <c r="AQ534" s="3"/>
      <c r="AR534" s="3"/>
      <c r="AS534" s="3"/>
      <c r="AT534" s="15"/>
      <c r="AU534" s="15"/>
      <c r="AV534" s="15"/>
      <c r="AW534" s="3"/>
      <c r="AX534" s="3"/>
      <c r="AY534" s="3"/>
      <c r="AZ534" s="3"/>
      <c r="BA534" s="3"/>
      <c r="BB534" s="3"/>
      <c r="BC534" s="3"/>
      <c r="BD534" s="3"/>
      <c r="BF534" s="3"/>
      <c r="BG534" s="3"/>
      <c r="BH534" s="15"/>
    </row>
    <row r="535" spans="2:60" ht="15" customHeight="1" x14ac:dyDescent="0.4">
      <c r="B535" s="196"/>
      <c r="C535" s="196"/>
      <c r="D535" s="197" t="s">
        <v>109</v>
      </c>
      <c r="E535" s="199" t="s">
        <v>276</v>
      </c>
      <c r="F535" s="199"/>
      <c r="G535" s="170">
        <v>14</v>
      </c>
      <c r="H535" s="72"/>
      <c r="I535" s="63"/>
      <c r="J535" s="64"/>
      <c r="K535" s="64"/>
      <c r="L535" s="33"/>
      <c r="M535" s="14"/>
      <c r="N535" s="15"/>
      <c r="O535" s="15"/>
      <c r="P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3"/>
      <c r="AQ535" s="3"/>
      <c r="AR535" s="3"/>
      <c r="AS535" s="15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F535" s="3"/>
      <c r="BG535" s="3"/>
      <c r="BH535" s="15"/>
    </row>
    <row r="536" spans="2:60" ht="15" customHeight="1" x14ac:dyDescent="0.4">
      <c r="B536" s="196"/>
      <c r="C536" s="196"/>
      <c r="D536" s="198"/>
      <c r="E536" s="199"/>
      <c r="F536" s="199"/>
      <c r="G536" s="171"/>
      <c r="H536" s="73"/>
      <c r="I536" s="63"/>
      <c r="J536" s="63"/>
      <c r="K536" s="63"/>
      <c r="L536" s="33"/>
      <c r="M536" s="14"/>
      <c r="N536" s="15"/>
      <c r="O536" s="15"/>
      <c r="P536" s="15"/>
      <c r="AV536" s="3"/>
      <c r="AW536" s="70"/>
      <c r="AX536" s="71"/>
      <c r="BA536" s="3"/>
      <c r="BB536" s="3"/>
      <c r="BC536" s="3"/>
      <c r="BD536" s="3"/>
      <c r="BF536" s="3"/>
      <c r="BG536" s="3"/>
      <c r="BH536" s="15"/>
    </row>
    <row r="537" spans="2:60" ht="15" customHeight="1" x14ac:dyDescent="0.4">
      <c r="B537" s="196"/>
      <c r="C537" s="196"/>
      <c r="D537" s="198"/>
      <c r="E537" s="199"/>
      <c r="F537" s="199"/>
      <c r="G537" s="172"/>
      <c r="H537" s="74"/>
      <c r="I537" s="63"/>
      <c r="J537" s="63"/>
      <c r="K537" s="63"/>
      <c r="L537" s="33"/>
      <c r="M537" s="14"/>
      <c r="N537" s="15"/>
      <c r="O537" s="15"/>
      <c r="P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3"/>
      <c r="AQ537" s="3"/>
      <c r="AR537" s="3"/>
      <c r="AS537" s="15"/>
      <c r="AT537" s="3"/>
      <c r="AU537" s="3"/>
      <c r="AV537" s="3"/>
      <c r="AW537" s="3"/>
      <c r="AX537" s="3"/>
      <c r="BA537" s="3"/>
      <c r="BB537" s="3"/>
      <c r="BC537" s="3"/>
      <c r="BD537" s="3"/>
      <c r="BF537" s="3"/>
      <c r="BG537" s="3"/>
      <c r="BH537" s="15"/>
    </row>
    <row r="538" spans="2:60" ht="15" customHeight="1" x14ac:dyDescent="0.4">
      <c r="B538" s="68"/>
      <c r="C538" s="69"/>
      <c r="D538" s="197" t="s">
        <v>111</v>
      </c>
      <c r="E538" s="199" t="s">
        <v>277</v>
      </c>
      <c r="F538" s="199"/>
      <c r="G538" s="170">
        <v>14</v>
      </c>
      <c r="H538" s="72"/>
      <c r="I538" s="33"/>
      <c r="J538" s="33"/>
      <c r="K538" s="33"/>
      <c r="L538" s="63"/>
      <c r="M538" s="14"/>
      <c r="N538" s="15"/>
      <c r="O538" s="15"/>
      <c r="P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3"/>
      <c r="AQ538" s="3"/>
      <c r="AR538" s="3"/>
      <c r="AS538" s="3"/>
      <c r="AT538" s="3"/>
      <c r="AU538" s="3"/>
      <c r="AV538" s="3"/>
      <c r="AW538" s="3"/>
      <c r="AX538" s="3"/>
      <c r="BA538" s="3"/>
      <c r="BB538" s="3"/>
      <c r="BC538" s="3"/>
      <c r="BD538" s="3"/>
      <c r="BF538" s="3"/>
      <c r="BG538" s="3"/>
      <c r="BH538" s="15"/>
    </row>
    <row r="539" spans="2:60" ht="15" customHeight="1" x14ac:dyDescent="0.4">
      <c r="B539" s="68"/>
      <c r="C539" s="69"/>
      <c r="D539" s="198"/>
      <c r="E539" s="199"/>
      <c r="F539" s="199"/>
      <c r="G539" s="171"/>
      <c r="H539" s="73"/>
      <c r="I539" s="33"/>
      <c r="J539" s="33"/>
      <c r="K539" s="33"/>
      <c r="L539" s="63"/>
      <c r="M539" s="14"/>
      <c r="N539" s="15"/>
      <c r="O539" s="15"/>
      <c r="P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3"/>
      <c r="AQ539" s="3"/>
      <c r="AR539" s="3"/>
      <c r="AS539" s="3"/>
      <c r="AT539" s="3"/>
      <c r="AU539" s="3"/>
      <c r="AV539" s="3"/>
      <c r="AW539" s="70"/>
      <c r="AX539" s="71"/>
      <c r="BA539" s="3"/>
      <c r="BB539" s="3"/>
      <c r="BC539" s="3"/>
      <c r="BD539" s="3"/>
      <c r="BF539" s="3"/>
      <c r="BG539" s="3"/>
      <c r="BH539" s="15"/>
    </row>
    <row r="540" spans="2:60" ht="15" customHeight="1" x14ac:dyDescent="0.4">
      <c r="B540" s="68"/>
      <c r="C540" s="69"/>
      <c r="D540" s="198"/>
      <c r="E540" s="199"/>
      <c r="F540" s="199"/>
      <c r="G540" s="172"/>
      <c r="H540" s="74"/>
      <c r="I540" s="33"/>
      <c r="J540" s="33"/>
      <c r="K540" s="33"/>
      <c r="L540" s="33"/>
      <c r="M540" s="14"/>
      <c r="N540" s="15"/>
      <c r="O540" s="15"/>
      <c r="P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3"/>
      <c r="AQ540" s="3"/>
      <c r="AR540" s="3"/>
      <c r="AS540" s="3"/>
      <c r="AT540" s="3"/>
      <c r="AU540" s="3"/>
      <c r="AV540" s="3"/>
      <c r="AW540" s="3"/>
      <c r="AX540" s="3"/>
      <c r="BA540" s="3"/>
      <c r="BB540" s="3"/>
      <c r="BC540" s="3"/>
      <c r="BD540" s="3"/>
      <c r="BF540" s="3"/>
      <c r="BG540" s="3"/>
      <c r="BH540" s="15"/>
    </row>
    <row r="541" spans="2:60" ht="15" customHeight="1" x14ac:dyDescent="0.4">
      <c r="B541" s="68"/>
      <c r="C541" s="69"/>
      <c r="D541" s="197" t="s">
        <v>113</v>
      </c>
      <c r="E541" s="199" t="s">
        <v>278</v>
      </c>
      <c r="F541" s="199"/>
      <c r="G541" s="170">
        <v>14</v>
      </c>
      <c r="H541" s="72"/>
      <c r="I541" s="33"/>
      <c r="J541" s="33"/>
      <c r="K541" s="33"/>
      <c r="L541" s="63"/>
      <c r="M541" s="14"/>
      <c r="N541" s="15"/>
      <c r="O541" s="15"/>
      <c r="P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3"/>
      <c r="AQ541" s="3"/>
      <c r="AR541" s="3"/>
      <c r="AS541" s="3"/>
      <c r="AT541" s="3"/>
      <c r="AU541" s="3"/>
      <c r="AV541" s="3"/>
      <c r="AW541" s="3"/>
      <c r="AX541" s="3"/>
      <c r="BA541" s="3"/>
      <c r="BB541" s="3"/>
      <c r="BC541" s="3"/>
      <c r="BD541" s="3"/>
      <c r="BF541" s="3"/>
      <c r="BG541" s="3"/>
      <c r="BH541" s="15"/>
    </row>
    <row r="542" spans="2:60" ht="15" customHeight="1" x14ac:dyDescent="0.4">
      <c r="B542" s="68"/>
      <c r="C542" s="69"/>
      <c r="D542" s="198"/>
      <c r="E542" s="199"/>
      <c r="F542" s="199"/>
      <c r="G542" s="171"/>
      <c r="H542" s="73"/>
      <c r="I542" s="33"/>
      <c r="J542" s="33"/>
      <c r="K542" s="33"/>
      <c r="L542" s="63"/>
      <c r="M542" s="14"/>
      <c r="N542" s="15"/>
      <c r="O542" s="15"/>
      <c r="P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3"/>
      <c r="AQ542" s="3"/>
      <c r="AR542" s="3"/>
      <c r="AS542" s="3"/>
      <c r="AT542" s="3"/>
      <c r="AU542" s="3"/>
      <c r="AV542" s="3"/>
      <c r="AW542" s="70"/>
      <c r="AX542" s="71"/>
      <c r="BA542" s="3"/>
      <c r="BB542" s="3"/>
      <c r="BC542" s="3"/>
      <c r="BD542" s="3"/>
      <c r="BF542" s="3"/>
      <c r="BG542" s="3"/>
      <c r="BH542" s="15"/>
    </row>
    <row r="543" spans="2:60" ht="15" customHeight="1" x14ac:dyDescent="0.4">
      <c r="B543" s="68"/>
      <c r="C543" s="69"/>
      <c r="D543" s="198"/>
      <c r="E543" s="199"/>
      <c r="F543" s="199"/>
      <c r="G543" s="172"/>
      <c r="H543" s="74"/>
      <c r="I543" s="33"/>
      <c r="J543" s="33"/>
      <c r="K543" s="33"/>
      <c r="L543" s="33"/>
      <c r="M543" s="14"/>
      <c r="N543" s="15"/>
      <c r="O543" s="15"/>
      <c r="P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3"/>
      <c r="AQ543" s="3"/>
      <c r="AR543" s="3"/>
      <c r="AS543" s="3"/>
      <c r="AT543" s="3"/>
      <c r="AU543" s="3"/>
      <c r="AV543" s="3"/>
      <c r="AW543" s="3"/>
      <c r="AX543" s="3"/>
      <c r="BA543" s="3"/>
      <c r="BB543" s="3"/>
      <c r="BC543" s="3"/>
      <c r="BD543" s="3"/>
      <c r="BF543" s="3"/>
      <c r="BG543" s="3"/>
      <c r="BH543" s="15"/>
    </row>
    <row r="544" spans="2:60" ht="15" customHeight="1" x14ac:dyDescent="0.4">
      <c r="B544" s="196"/>
      <c r="C544" s="196"/>
      <c r="D544" s="197" t="s">
        <v>115</v>
      </c>
      <c r="E544" s="199" t="s">
        <v>279</v>
      </c>
      <c r="F544" s="199"/>
      <c r="G544" s="170">
        <v>14</v>
      </c>
      <c r="H544" s="72"/>
      <c r="I544" s="63"/>
      <c r="J544" s="64"/>
      <c r="K544" s="64"/>
      <c r="L544" s="33"/>
      <c r="M544" s="14"/>
      <c r="N544" s="15"/>
      <c r="O544" s="15"/>
      <c r="P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3"/>
      <c r="AQ544" s="3"/>
      <c r="AR544" s="3"/>
      <c r="AS544" s="15"/>
      <c r="AT544" s="3"/>
      <c r="AU544" s="3"/>
      <c r="AV544" s="3"/>
      <c r="AW544" s="3"/>
      <c r="AX544" s="3"/>
      <c r="BA544" s="3"/>
      <c r="BB544" s="3"/>
      <c r="BC544" s="3"/>
      <c r="BD544" s="3"/>
      <c r="BF544" s="3"/>
      <c r="BG544" s="3"/>
      <c r="BH544" s="15"/>
    </row>
    <row r="545" spans="2:60" ht="15" customHeight="1" x14ac:dyDescent="0.4">
      <c r="B545" s="196"/>
      <c r="C545" s="196"/>
      <c r="D545" s="198"/>
      <c r="E545" s="199"/>
      <c r="F545" s="199"/>
      <c r="G545" s="171"/>
      <c r="H545" s="73"/>
      <c r="I545" s="63"/>
      <c r="J545" s="63"/>
      <c r="K545" s="63"/>
      <c r="L545" s="33"/>
      <c r="M545" s="14"/>
      <c r="N545" s="15"/>
      <c r="O545" s="15"/>
      <c r="P545" s="15"/>
      <c r="AV545" s="3"/>
      <c r="AX545" s="70"/>
      <c r="AY545" s="71"/>
      <c r="BA545" s="3"/>
      <c r="BB545" s="3"/>
      <c r="BC545" s="3"/>
      <c r="BD545" s="3"/>
      <c r="BF545" s="3"/>
      <c r="BG545" s="3"/>
      <c r="BH545" s="15"/>
    </row>
    <row r="546" spans="2:60" ht="15" customHeight="1" x14ac:dyDescent="0.4">
      <c r="B546" s="196"/>
      <c r="C546" s="196"/>
      <c r="D546" s="198"/>
      <c r="E546" s="199"/>
      <c r="F546" s="199"/>
      <c r="G546" s="172"/>
      <c r="H546" s="74"/>
      <c r="I546" s="63"/>
      <c r="J546" s="63"/>
      <c r="K546" s="63"/>
      <c r="L546" s="33"/>
      <c r="M546" s="14"/>
      <c r="N546" s="15"/>
      <c r="O546" s="15"/>
      <c r="P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3"/>
      <c r="AQ546" s="3"/>
      <c r="AR546" s="3"/>
      <c r="AS546" s="15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F546" s="3"/>
      <c r="BG546" s="3"/>
      <c r="BH546" s="15"/>
    </row>
    <row r="547" spans="2:60" ht="15" customHeight="1" x14ac:dyDescent="0.4">
      <c r="B547" s="68"/>
      <c r="C547" s="69"/>
      <c r="D547" s="197" t="s">
        <v>117</v>
      </c>
      <c r="E547" s="199" t="s">
        <v>280</v>
      </c>
      <c r="F547" s="199"/>
      <c r="G547" s="170">
        <v>14</v>
      </c>
      <c r="H547" s="72"/>
      <c r="I547" s="33"/>
      <c r="J547" s="33"/>
      <c r="K547" s="33"/>
      <c r="L547" s="63"/>
      <c r="M547" s="14"/>
      <c r="N547" s="15"/>
      <c r="O547" s="15"/>
      <c r="P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F547" s="3"/>
      <c r="BG547" s="3"/>
      <c r="BH547" s="15"/>
    </row>
    <row r="548" spans="2:60" ht="15" customHeight="1" x14ac:dyDescent="0.4">
      <c r="B548" s="68"/>
      <c r="C548" s="69"/>
      <c r="D548" s="198"/>
      <c r="E548" s="199"/>
      <c r="F548" s="199"/>
      <c r="G548" s="171"/>
      <c r="H548" s="73"/>
      <c r="I548" s="33"/>
      <c r="J548" s="33"/>
      <c r="K548" s="33"/>
      <c r="L548" s="63"/>
      <c r="M548" s="14"/>
      <c r="N548" s="15"/>
      <c r="O548" s="15"/>
      <c r="P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3"/>
      <c r="AQ548" s="3"/>
      <c r="AR548" s="3"/>
      <c r="AS548" s="3"/>
      <c r="AT548" s="3"/>
      <c r="AU548" s="3"/>
      <c r="AV548" s="3"/>
      <c r="AW548" s="3"/>
      <c r="AX548" s="70"/>
      <c r="AY548" s="71"/>
      <c r="AZ548" s="3"/>
      <c r="BA548" s="3"/>
      <c r="BB548" s="3"/>
      <c r="BC548" s="3"/>
      <c r="BD548" s="3"/>
      <c r="BF548" s="3"/>
      <c r="BG548" s="3"/>
      <c r="BH548" s="15"/>
    </row>
    <row r="549" spans="2:60" ht="15" customHeight="1" x14ac:dyDescent="0.4">
      <c r="B549" s="68"/>
      <c r="C549" s="69"/>
      <c r="D549" s="198"/>
      <c r="E549" s="199"/>
      <c r="F549" s="199"/>
      <c r="G549" s="172"/>
      <c r="H549" s="74"/>
      <c r="I549" s="33"/>
      <c r="J549" s="33"/>
      <c r="K549" s="33"/>
      <c r="L549" s="33"/>
      <c r="M549" s="14"/>
      <c r="N549" s="15"/>
      <c r="O549" s="15"/>
      <c r="P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F549" s="3"/>
      <c r="BG549" s="3"/>
      <c r="BH549" s="15"/>
    </row>
    <row r="550" spans="2:60" ht="15" customHeight="1" x14ac:dyDescent="0.4">
      <c r="B550" s="68"/>
      <c r="C550" s="69"/>
      <c r="D550" s="197" t="s">
        <v>119</v>
      </c>
      <c r="E550" s="199" t="s">
        <v>281</v>
      </c>
      <c r="F550" s="199"/>
      <c r="G550" s="170">
        <v>15</v>
      </c>
      <c r="H550" s="72"/>
      <c r="I550" s="33"/>
      <c r="J550" s="33"/>
      <c r="K550" s="33"/>
      <c r="L550" s="63"/>
      <c r="M550" s="14"/>
      <c r="N550" s="15"/>
      <c r="O550" s="15"/>
      <c r="P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F550" s="3"/>
      <c r="BG550" s="3"/>
      <c r="BH550" s="15"/>
    </row>
    <row r="551" spans="2:60" ht="15" customHeight="1" x14ac:dyDescent="0.4">
      <c r="B551" s="68"/>
      <c r="C551" s="69"/>
      <c r="D551" s="198"/>
      <c r="E551" s="199"/>
      <c r="F551" s="199"/>
      <c r="G551" s="171"/>
      <c r="H551" s="73"/>
      <c r="I551" s="33"/>
      <c r="J551" s="33"/>
      <c r="K551" s="33"/>
      <c r="L551" s="63"/>
      <c r="M551" s="14"/>
      <c r="N551" s="15"/>
      <c r="O551" s="15"/>
      <c r="P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3"/>
      <c r="AQ551" s="3"/>
      <c r="AR551" s="3"/>
      <c r="AS551" s="3"/>
      <c r="AT551" s="3"/>
      <c r="AU551" s="3"/>
      <c r="AV551" s="3"/>
      <c r="AW551" s="3"/>
      <c r="AY551" s="70"/>
      <c r="AZ551" s="71"/>
      <c r="BA551" s="3"/>
      <c r="BB551" s="3"/>
      <c r="BC551" s="3"/>
      <c r="BD551" s="3"/>
      <c r="BF551" s="3"/>
      <c r="BG551" s="3"/>
      <c r="BH551" s="15"/>
    </row>
    <row r="552" spans="2:60" ht="15" customHeight="1" x14ac:dyDescent="0.4">
      <c r="B552" s="68"/>
      <c r="C552" s="69"/>
      <c r="D552" s="198"/>
      <c r="E552" s="199"/>
      <c r="F552" s="199"/>
      <c r="G552" s="172"/>
      <c r="H552" s="74"/>
      <c r="I552" s="33"/>
      <c r="J552" s="33"/>
      <c r="K552" s="33"/>
      <c r="L552" s="33"/>
      <c r="M552" s="14"/>
      <c r="N552" s="15"/>
      <c r="O552" s="15"/>
      <c r="P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3"/>
      <c r="AQ552" s="3"/>
      <c r="AR552" s="3"/>
      <c r="AS552" s="3"/>
      <c r="AT552" s="3"/>
      <c r="AU552" s="3"/>
      <c r="AV552" s="3"/>
      <c r="AW552" s="3"/>
      <c r="AY552" s="3"/>
      <c r="AZ552" s="3"/>
      <c r="BA552" s="3"/>
      <c r="BB552" s="3"/>
      <c r="BC552" s="3"/>
      <c r="BD552" s="3"/>
      <c r="BF552" s="3"/>
      <c r="BG552" s="3"/>
      <c r="BH552" s="15"/>
    </row>
    <row r="553" spans="2:60" ht="15" customHeight="1" x14ac:dyDescent="0.4">
      <c r="B553" s="68"/>
      <c r="C553" s="69"/>
      <c r="D553" s="197" t="s">
        <v>121</v>
      </c>
      <c r="E553" s="199" t="s">
        <v>282</v>
      </c>
      <c r="F553" s="199"/>
      <c r="G553" s="170">
        <v>15</v>
      </c>
      <c r="H553" s="72"/>
      <c r="I553" s="33"/>
      <c r="J553" s="33"/>
      <c r="K553" s="33"/>
      <c r="L553" s="63"/>
      <c r="M553" s="14"/>
      <c r="N553" s="15"/>
      <c r="O553" s="15"/>
      <c r="P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3"/>
      <c r="AQ553" s="3"/>
      <c r="AR553" s="3"/>
      <c r="AS553" s="3"/>
      <c r="AT553" s="3"/>
      <c r="AU553" s="3"/>
      <c r="AV553" s="3"/>
      <c r="AW553" s="3"/>
      <c r="AY553" s="3"/>
      <c r="AZ553" s="3"/>
      <c r="BA553" s="3"/>
      <c r="BB553" s="3"/>
      <c r="BC553" s="3"/>
      <c r="BD553" s="3"/>
      <c r="BF553" s="3"/>
      <c r="BG553" s="3"/>
      <c r="BH553" s="15"/>
    </row>
    <row r="554" spans="2:60" ht="15" customHeight="1" x14ac:dyDescent="0.4">
      <c r="B554" s="68"/>
      <c r="C554" s="69"/>
      <c r="D554" s="198"/>
      <c r="E554" s="199"/>
      <c r="F554" s="199"/>
      <c r="G554" s="171"/>
      <c r="H554" s="73"/>
      <c r="I554" s="33"/>
      <c r="J554" s="33"/>
      <c r="K554" s="33"/>
      <c r="L554" s="63"/>
      <c r="M554" s="14"/>
      <c r="N554" s="15"/>
      <c r="O554" s="15"/>
      <c r="P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3"/>
      <c r="AQ554" s="3"/>
      <c r="AR554" s="3"/>
      <c r="AS554" s="3"/>
      <c r="AT554" s="3"/>
      <c r="AU554" s="3"/>
      <c r="AV554" s="3"/>
      <c r="AW554" s="3"/>
      <c r="AY554" s="70"/>
      <c r="AZ554" s="71"/>
      <c r="BA554" s="3"/>
      <c r="BB554" s="3"/>
      <c r="BC554" s="3"/>
      <c r="BD554" s="3"/>
      <c r="BF554" s="3"/>
      <c r="BG554" s="3"/>
      <c r="BH554" s="15"/>
    </row>
    <row r="555" spans="2:60" ht="15" customHeight="1" x14ac:dyDescent="0.4">
      <c r="B555" s="68"/>
      <c r="C555" s="69"/>
      <c r="D555" s="198"/>
      <c r="E555" s="199"/>
      <c r="F555" s="199"/>
      <c r="G555" s="172"/>
      <c r="H555" s="74"/>
      <c r="I555" s="33"/>
      <c r="J555" s="33"/>
      <c r="K555" s="33"/>
      <c r="L555" s="33"/>
      <c r="M555" s="14"/>
      <c r="N555" s="15"/>
      <c r="O555" s="15"/>
      <c r="P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F555" s="3"/>
      <c r="BG555" s="3"/>
      <c r="BH555" s="15"/>
    </row>
    <row r="556" spans="2:60" ht="15" customHeight="1" x14ac:dyDescent="0.4">
      <c r="B556" s="106"/>
      <c r="C556" s="109" t="s">
        <v>29</v>
      </c>
      <c r="D556" s="187" t="s">
        <v>283</v>
      </c>
      <c r="E556" s="188"/>
      <c r="F556" s="189"/>
      <c r="G556" s="45"/>
      <c r="H556" s="121">
        <f>SUM(G559:G564)</f>
        <v>22</v>
      </c>
      <c r="J556" s="33"/>
      <c r="K556" s="155">
        <f>H556*$J$8</f>
        <v>6190.25</v>
      </c>
      <c r="M556" s="14"/>
      <c r="N556" s="3"/>
      <c r="O556" s="15"/>
      <c r="P556" s="15"/>
      <c r="AG556" s="15"/>
      <c r="AH556" s="15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15"/>
      <c r="AU556" s="15"/>
      <c r="AV556" s="15"/>
      <c r="AW556" s="3"/>
      <c r="AX556" s="3"/>
      <c r="AY556" s="3"/>
      <c r="AZ556" s="3"/>
      <c r="BA556" s="3"/>
      <c r="BB556" s="3"/>
      <c r="BC556" s="3"/>
      <c r="BD556" s="3"/>
      <c r="BF556" s="3"/>
      <c r="BG556" s="3"/>
      <c r="BH556" s="3"/>
    </row>
    <row r="557" spans="2:60" ht="15" customHeight="1" x14ac:dyDescent="0.4">
      <c r="B557" s="156"/>
      <c r="C557" s="153"/>
      <c r="D557" s="190"/>
      <c r="E557" s="191"/>
      <c r="F557" s="192"/>
      <c r="G557" s="51"/>
      <c r="H557" s="122"/>
      <c r="J557" s="33"/>
      <c r="K557" s="155"/>
      <c r="M557" s="14"/>
      <c r="N557" s="15"/>
      <c r="O557" s="15"/>
      <c r="P557" s="15"/>
      <c r="AG557" s="15"/>
      <c r="AH557" s="15"/>
      <c r="AI557" s="15"/>
      <c r="AJ557" s="15"/>
      <c r="AK557" s="15"/>
      <c r="AL557" s="15"/>
      <c r="AM557" s="15"/>
      <c r="AN557" s="15"/>
      <c r="AW557" s="85"/>
      <c r="AX557" s="86"/>
      <c r="AY557" s="86"/>
      <c r="AZ557" s="87"/>
      <c r="BA557" s="3"/>
      <c r="BB557" s="3"/>
      <c r="BC557" s="3"/>
      <c r="BD557" s="3"/>
      <c r="BF557" s="3"/>
      <c r="BG557" s="3"/>
      <c r="BH557" s="3"/>
    </row>
    <row r="558" spans="2:60" ht="15" customHeight="1" x14ac:dyDescent="0.4">
      <c r="B558" s="157"/>
      <c r="C558" s="154"/>
      <c r="D558" s="193"/>
      <c r="E558" s="194"/>
      <c r="F558" s="195"/>
      <c r="G558" s="51"/>
      <c r="H558" s="123"/>
      <c r="J558" s="33"/>
      <c r="K558" s="155"/>
      <c r="M558" s="14"/>
      <c r="N558" s="15"/>
      <c r="O558" s="15"/>
      <c r="P558" s="15"/>
      <c r="AG558" s="15"/>
      <c r="AH558" s="15"/>
      <c r="AI558" s="15"/>
      <c r="AJ558" s="15"/>
      <c r="AK558" s="15"/>
      <c r="AL558" s="3"/>
      <c r="AM558" s="3"/>
      <c r="AN558" s="3"/>
      <c r="AO558" s="3"/>
      <c r="AP558" s="3"/>
      <c r="AQ558" s="3"/>
      <c r="AR558" s="3"/>
      <c r="AS558" s="3"/>
      <c r="AT558" s="15"/>
      <c r="AU558" s="15"/>
      <c r="AV558" s="15"/>
      <c r="AW558" s="3"/>
      <c r="AX558" s="3"/>
      <c r="AY558" s="3"/>
      <c r="AZ558" s="3"/>
      <c r="BA558" s="3"/>
      <c r="BB558" s="3"/>
      <c r="BC558" s="3"/>
      <c r="BD558" s="3"/>
      <c r="BF558" s="3"/>
      <c r="BG558" s="3"/>
      <c r="BH558" s="15"/>
    </row>
    <row r="559" spans="2:60" ht="15" customHeight="1" x14ac:dyDescent="0.4">
      <c r="B559" s="196"/>
      <c r="C559" s="196"/>
      <c r="D559" s="197" t="s">
        <v>124</v>
      </c>
      <c r="E559" s="199" t="s">
        <v>284</v>
      </c>
      <c r="F559" s="199"/>
      <c r="G559" s="170">
        <v>11</v>
      </c>
      <c r="H559" s="72"/>
      <c r="I559" s="63"/>
      <c r="J559" s="64"/>
      <c r="K559" s="64"/>
      <c r="L559" s="33"/>
      <c r="M559" s="14"/>
      <c r="N559" s="15"/>
      <c r="O559" s="15"/>
      <c r="P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3"/>
      <c r="AQ559" s="3"/>
      <c r="AR559" s="3"/>
      <c r="AS559" s="15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F559" s="3"/>
      <c r="BG559" s="3"/>
      <c r="BH559" s="15"/>
    </row>
    <row r="560" spans="2:60" ht="15" customHeight="1" x14ac:dyDescent="0.4">
      <c r="B560" s="196"/>
      <c r="C560" s="196"/>
      <c r="D560" s="198"/>
      <c r="E560" s="199"/>
      <c r="F560" s="199"/>
      <c r="G560" s="171"/>
      <c r="H560" s="73"/>
      <c r="I560" s="63"/>
      <c r="J560" s="63"/>
      <c r="K560" s="63"/>
      <c r="L560" s="33"/>
      <c r="M560" s="14"/>
      <c r="N560" s="15"/>
      <c r="O560" s="15"/>
      <c r="P560" s="15"/>
      <c r="AV560" s="3"/>
      <c r="AW560" s="70"/>
      <c r="AX560" s="71"/>
      <c r="AY560" s="3"/>
      <c r="AZ560" s="3"/>
      <c r="BA560" s="3"/>
      <c r="BB560" s="3"/>
      <c r="BC560" s="3"/>
      <c r="BD560" s="3"/>
      <c r="BF560" s="3"/>
      <c r="BG560" s="3"/>
      <c r="BH560" s="15"/>
    </row>
    <row r="561" spans="2:60" ht="15" customHeight="1" x14ac:dyDescent="0.4">
      <c r="B561" s="196"/>
      <c r="C561" s="196"/>
      <c r="D561" s="198"/>
      <c r="E561" s="199"/>
      <c r="F561" s="199"/>
      <c r="G561" s="172"/>
      <c r="H561" s="74"/>
      <c r="I561" s="63"/>
      <c r="J561" s="63"/>
      <c r="K561" s="63"/>
      <c r="L561" s="33"/>
      <c r="M561" s="14"/>
      <c r="N561" s="15"/>
      <c r="O561" s="15"/>
      <c r="P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3"/>
      <c r="AQ561" s="3"/>
      <c r="AR561" s="3"/>
      <c r="AS561" s="15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F561" s="3"/>
      <c r="BG561" s="3"/>
      <c r="BH561" s="15"/>
    </row>
    <row r="562" spans="2:60" ht="15" customHeight="1" x14ac:dyDescent="0.4">
      <c r="B562" s="68"/>
      <c r="C562" s="69"/>
      <c r="D562" s="197" t="s">
        <v>126</v>
      </c>
      <c r="E562" s="199" t="s">
        <v>285</v>
      </c>
      <c r="F562" s="199"/>
      <c r="G562" s="170">
        <v>11</v>
      </c>
      <c r="H562" s="72"/>
      <c r="I562" s="33"/>
      <c r="J562" s="33"/>
      <c r="K562" s="33"/>
      <c r="L562" s="63"/>
      <c r="M562" s="14"/>
      <c r="N562" s="15"/>
      <c r="O562" s="15"/>
      <c r="P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F562" s="3"/>
      <c r="BG562" s="3"/>
      <c r="BH562" s="15"/>
    </row>
    <row r="563" spans="2:60" ht="15" customHeight="1" x14ac:dyDescent="0.4">
      <c r="B563" s="68"/>
      <c r="C563" s="69"/>
      <c r="D563" s="198"/>
      <c r="E563" s="199"/>
      <c r="F563" s="199"/>
      <c r="G563" s="171"/>
      <c r="H563" s="73"/>
      <c r="I563" s="33"/>
      <c r="J563" s="33"/>
      <c r="K563" s="33"/>
      <c r="L563" s="63"/>
      <c r="M563" s="14"/>
      <c r="N563" s="15"/>
      <c r="O563" s="15"/>
      <c r="P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3"/>
      <c r="AQ563" s="3"/>
      <c r="AR563" s="3"/>
      <c r="AS563" s="3"/>
      <c r="AT563" s="3"/>
      <c r="AU563" s="3"/>
      <c r="AV563" s="3"/>
      <c r="AW563" s="3"/>
      <c r="AX563" s="3"/>
      <c r="AY563" s="70"/>
      <c r="AZ563" s="71"/>
      <c r="BA563" s="3"/>
      <c r="BB563" s="3"/>
      <c r="BC563" s="3"/>
      <c r="BD563" s="3"/>
      <c r="BF563" s="3"/>
      <c r="BG563" s="3"/>
      <c r="BH563" s="15"/>
    </row>
    <row r="564" spans="2:60" ht="15" customHeight="1" x14ac:dyDescent="0.4">
      <c r="B564" s="68"/>
      <c r="C564" s="69"/>
      <c r="D564" s="198"/>
      <c r="E564" s="199"/>
      <c r="F564" s="199"/>
      <c r="G564" s="172"/>
      <c r="H564" s="74"/>
      <c r="I564" s="33"/>
      <c r="J564" s="33"/>
      <c r="K564" s="33"/>
      <c r="L564" s="33"/>
      <c r="M564" s="14"/>
      <c r="N564" s="15"/>
      <c r="O564" s="15"/>
      <c r="P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F564" s="3"/>
      <c r="BG564" s="3"/>
      <c r="BH564" s="15"/>
    </row>
    <row r="565" spans="2:60" ht="15" customHeight="1" x14ac:dyDescent="0.4">
      <c r="B565" s="106"/>
      <c r="C565" s="109" t="s">
        <v>31</v>
      </c>
      <c r="D565" s="187" t="s">
        <v>286</v>
      </c>
      <c r="E565" s="188"/>
      <c r="F565" s="189"/>
      <c r="G565" s="45"/>
      <c r="H565" s="121">
        <f>SUM(G568:G576)</f>
        <v>90</v>
      </c>
      <c r="J565" s="33"/>
      <c r="K565" s="124">
        <f>H565*$J$8</f>
        <v>25323.75</v>
      </c>
      <c r="M565" s="14"/>
      <c r="N565" s="3"/>
      <c r="O565" s="15"/>
      <c r="P565" s="15"/>
      <c r="AG565" s="15"/>
      <c r="AH565" s="15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15"/>
      <c r="AU565" s="15"/>
      <c r="AV565" s="15"/>
      <c r="AW565" s="3"/>
      <c r="AX565" s="3"/>
      <c r="AY565" s="3"/>
      <c r="AZ565" s="3"/>
      <c r="BA565" s="3"/>
      <c r="BB565" s="3"/>
      <c r="BC565" s="3"/>
      <c r="BD565" s="3"/>
      <c r="BF565" s="3"/>
      <c r="BG565" s="3"/>
      <c r="BH565" s="3"/>
    </row>
    <row r="566" spans="2:60" ht="15" customHeight="1" x14ac:dyDescent="0.4">
      <c r="B566" s="156"/>
      <c r="C566" s="153"/>
      <c r="D566" s="190"/>
      <c r="E566" s="191"/>
      <c r="F566" s="192"/>
      <c r="G566" s="51"/>
      <c r="H566" s="122"/>
      <c r="J566" s="33"/>
      <c r="K566" s="124"/>
      <c r="M566" s="14"/>
      <c r="N566" s="15"/>
      <c r="O566" s="15"/>
      <c r="P566" s="15"/>
      <c r="AG566" s="15"/>
      <c r="AH566" s="15"/>
      <c r="AI566" s="15"/>
      <c r="AJ566" s="15"/>
      <c r="AK566" s="15"/>
      <c r="AL566" s="15"/>
      <c r="AM566" s="15"/>
      <c r="AN566" s="15"/>
      <c r="AV566" s="85"/>
      <c r="AW566" s="86"/>
      <c r="AX566" s="86"/>
      <c r="AY566" s="87"/>
      <c r="BA566" s="3"/>
      <c r="BB566" s="3"/>
      <c r="BC566" s="3"/>
      <c r="BD566" s="3"/>
      <c r="BF566" s="3"/>
      <c r="BG566" s="3"/>
      <c r="BH566" s="3"/>
    </row>
    <row r="567" spans="2:60" ht="15" customHeight="1" x14ac:dyDescent="0.4">
      <c r="B567" s="157"/>
      <c r="C567" s="154"/>
      <c r="D567" s="193"/>
      <c r="E567" s="194"/>
      <c r="F567" s="195"/>
      <c r="G567" s="51"/>
      <c r="H567" s="123"/>
      <c r="J567" s="33"/>
      <c r="K567" s="124"/>
      <c r="M567" s="14"/>
      <c r="N567" s="15"/>
      <c r="O567" s="15"/>
      <c r="P567" s="15"/>
      <c r="AG567" s="15"/>
      <c r="AH567" s="15"/>
      <c r="AI567" s="15"/>
      <c r="AJ567" s="15"/>
      <c r="AK567" s="15"/>
      <c r="AL567" s="3"/>
      <c r="AM567" s="3"/>
      <c r="AN567" s="3"/>
      <c r="AO567" s="3"/>
      <c r="AP567" s="3"/>
      <c r="AQ567" s="3"/>
      <c r="AR567" s="3"/>
      <c r="AS567" s="3"/>
      <c r="AT567" s="15"/>
      <c r="AU567" s="15"/>
      <c r="AV567" s="3"/>
      <c r="AW567" s="3"/>
      <c r="AX567" s="3"/>
      <c r="AY567" s="3"/>
      <c r="BA567" s="3"/>
      <c r="BB567" s="3"/>
      <c r="BC567" s="3"/>
      <c r="BD567" s="3"/>
      <c r="BF567" s="3"/>
      <c r="BG567" s="3"/>
      <c r="BH567" s="15"/>
    </row>
    <row r="568" spans="2:60" ht="15" customHeight="1" x14ac:dyDescent="0.4">
      <c r="B568" s="196"/>
      <c r="C568" s="196"/>
      <c r="D568" s="197" t="s">
        <v>137</v>
      </c>
      <c r="E568" s="199" t="s">
        <v>287</v>
      </c>
      <c r="F568" s="199"/>
      <c r="G568" s="170">
        <v>30</v>
      </c>
      <c r="H568" s="72"/>
      <c r="I568" s="63"/>
      <c r="J568" s="64"/>
      <c r="K568" s="64"/>
      <c r="L568" s="33"/>
      <c r="M568" s="14"/>
      <c r="N568" s="15"/>
      <c r="O568" s="15"/>
      <c r="P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3"/>
      <c r="AQ568" s="3"/>
      <c r="AR568" s="3"/>
      <c r="AS568" s="15"/>
      <c r="AT568" s="3"/>
      <c r="AU568" s="3"/>
      <c r="AV568" s="3"/>
      <c r="AW568" s="3"/>
      <c r="AX568" s="3"/>
      <c r="AY568" s="3"/>
      <c r="BA568" s="3"/>
      <c r="BB568" s="3"/>
      <c r="BC568" s="3"/>
      <c r="BD568" s="3"/>
      <c r="BF568" s="3"/>
      <c r="BG568" s="3"/>
      <c r="BH568" s="15"/>
    </row>
    <row r="569" spans="2:60" ht="15" customHeight="1" x14ac:dyDescent="0.4">
      <c r="B569" s="196"/>
      <c r="C569" s="196"/>
      <c r="D569" s="198"/>
      <c r="E569" s="199"/>
      <c r="F569" s="199"/>
      <c r="G569" s="171"/>
      <c r="H569" s="73"/>
      <c r="I569" s="63"/>
      <c r="J569" s="63"/>
      <c r="K569" s="63"/>
      <c r="L569" s="33"/>
      <c r="M569" s="14"/>
      <c r="N569" s="15"/>
      <c r="O569" s="15"/>
      <c r="P569" s="15"/>
      <c r="AV569" s="70"/>
      <c r="AW569" s="71"/>
      <c r="BA569" s="3"/>
      <c r="BB569" s="3"/>
      <c r="BC569" s="3"/>
      <c r="BD569" s="3"/>
      <c r="BF569" s="3"/>
      <c r="BG569" s="3"/>
      <c r="BH569" s="15"/>
    </row>
    <row r="570" spans="2:60" ht="15" customHeight="1" x14ac:dyDescent="0.4">
      <c r="B570" s="196"/>
      <c r="C570" s="196"/>
      <c r="D570" s="198"/>
      <c r="E570" s="199"/>
      <c r="F570" s="199"/>
      <c r="G570" s="172"/>
      <c r="H570" s="74"/>
      <c r="I570" s="63"/>
      <c r="J570" s="63"/>
      <c r="K570" s="63"/>
      <c r="L570" s="33"/>
      <c r="M570" s="14"/>
      <c r="N570" s="15"/>
      <c r="O570" s="15"/>
      <c r="P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3"/>
      <c r="AQ570" s="3"/>
      <c r="AR570" s="3"/>
      <c r="AS570" s="15"/>
      <c r="AT570" s="3"/>
      <c r="AU570" s="3"/>
      <c r="AV570" s="3"/>
      <c r="AW570" s="3"/>
      <c r="BA570" s="3"/>
      <c r="BB570" s="3"/>
      <c r="BC570" s="3"/>
      <c r="BD570" s="3"/>
      <c r="BF570" s="3"/>
      <c r="BG570" s="3"/>
      <c r="BH570" s="15"/>
    </row>
    <row r="571" spans="2:60" ht="15" customHeight="1" x14ac:dyDescent="0.4">
      <c r="B571" s="68"/>
      <c r="C571" s="69"/>
      <c r="D571" s="197" t="s">
        <v>139</v>
      </c>
      <c r="E571" s="199" t="s">
        <v>288</v>
      </c>
      <c r="F571" s="199"/>
      <c r="G571" s="170">
        <v>30</v>
      </c>
      <c r="H571" s="72"/>
      <c r="I571" s="33"/>
      <c r="J571" s="33"/>
      <c r="K571" s="33"/>
      <c r="L571" s="63"/>
      <c r="M571" s="14"/>
      <c r="N571" s="15"/>
      <c r="O571" s="15"/>
      <c r="P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3"/>
      <c r="AQ571" s="3"/>
      <c r="AR571" s="3"/>
      <c r="AS571" s="3"/>
      <c r="AT571" s="3"/>
      <c r="AU571" s="3"/>
      <c r="AV571" s="3"/>
      <c r="AW571" s="3"/>
      <c r="BA571" s="3"/>
      <c r="BB571" s="3"/>
      <c r="BC571" s="3"/>
      <c r="BD571" s="3"/>
      <c r="BF571" s="3"/>
      <c r="BG571" s="3"/>
      <c r="BH571" s="15"/>
    </row>
    <row r="572" spans="2:60" ht="15" customHeight="1" x14ac:dyDescent="0.4">
      <c r="B572" s="68"/>
      <c r="C572" s="69"/>
      <c r="D572" s="198"/>
      <c r="E572" s="199"/>
      <c r="F572" s="199"/>
      <c r="G572" s="171"/>
      <c r="H572" s="73"/>
      <c r="I572" s="33"/>
      <c r="J572" s="33"/>
      <c r="K572" s="33"/>
      <c r="L572" s="63"/>
      <c r="M572" s="14"/>
      <c r="N572" s="15"/>
      <c r="O572" s="15"/>
      <c r="P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3"/>
      <c r="AQ572" s="3"/>
      <c r="AR572" s="3"/>
      <c r="AS572" s="3"/>
      <c r="AT572" s="3"/>
      <c r="AU572" s="3"/>
      <c r="AV572" s="70"/>
      <c r="AW572" s="71"/>
      <c r="BA572" s="3"/>
      <c r="BB572" s="3"/>
      <c r="BC572" s="3"/>
      <c r="BD572" s="3"/>
      <c r="BF572" s="3"/>
      <c r="BG572" s="3"/>
      <c r="BH572" s="15"/>
    </row>
    <row r="573" spans="2:60" ht="15" customHeight="1" x14ac:dyDescent="0.4">
      <c r="B573" s="68"/>
      <c r="C573" s="69"/>
      <c r="D573" s="198"/>
      <c r="E573" s="199"/>
      <c r="F573" s="199"/>
      <c r="G573" s="172"/>
      <c r="H573" s="74"/>
      <c r="I573" s="33"/>
      <c r="J573" s="33"/>
      <c r="K573" s="33"/>
      <c r="L573" s="33"/>
      <c r="M573" s="14"/>
      <c r="N573" s="15"/>
      <c r="O573" s="15"/>
      <c r="P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3"/>
      <c r="AQ573" s="3"/>
      <c r="AR573" s="3"/>
      <c r="AS573" s="3"/>
      <c r="AT573" s="3"/>
      <c r="AU573" s="3"/>
      <c r="AV573" s="3"/>
      <c r="AW573" s="3"/>
      <c r="BA573" s="3"/>
      <c r="BB573" s="3"/>
      <c r="BC573" s="3"/>
      <c r="BD573" s="3"/>
      <c r="BF573" s="3"/>
      <c r="BG573" s="3"/>
      <c r="BH573" s="15"/>
    </row>
    <row r="574" spans="2:60" ht="15" customHeight="1" x14ac:dyDescent="0.4">
      <c r="B574" s="68"/>
      <c r="C574" s="69"/>
      <c r="D574" s="197" t="s">
        <v>141</v>
      </c>
      <c r="E574" s="199" t="s">
        <v>289</v>
      </c>
      <c r="F574" s="199"/>
      <c r="G574" s="170">
        <v>30</v>
      </c>
      <c r="H574" s="72"/>
      <c r="I574" s="33"/>
      <c r="J574" s="33"/>
      <c r="K574" s="33"/>
      <c r="L574" s="63"/>
      <c r="M574" s="14"/>
      <c r="N574" s="15"/>
      <c r="O574" s="15"/>
      <c r="P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3"/>
      <c r="AQ574" s="3"/>
      <c r="AR574" s="3"/>
      <c r="AS574" s="3"/>
      <c r="AT574" s="3"/>
      <c r="AU574" s="3"/>
      <c r="AV574" s="3"/>
      <c r="AW574" s="3"/>
      <c r="BA574" s="3"/>
      <c r="BB574" s="3"/>
      <c r="BC574" s="3"/>
      <c r="BD574" s="3"/>
      <c r="BF574" s="3"/>
      <c r="BG574" s="3"/>
      <c r="BH574" s="15"/>
    </row>
    <row r="575" spans="2:60" ht="15" customHeight="1" x14ac:dyDescent="0.4">
      <c r="B575" s="68"/>
      <c r="C575" s="69"/>
      <c r="D575" s="198"/>
      <c r="E575" s="199"/>
      <c r="F575" s="199"/>
      <c r="G575" s="171"/>
      <c r="H575" s="73"/>
      <c r="I575" s="33"/>
      <c r="J575" s="33"/>
      <c r="K575" s="33"/>
      <c r="L575" s="63"/>
      <c r="M575" s="14"/>
      <c r="N575" s="15"/>
      <c r="O575" s="15"/>
      <c r="P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3"/>
      <c r="AQ575" s="3"/>
      <c r="AR575" s="3"/>
      <c r="AS575" s="3"/>
      <c r="AT575" s="3"/>
      <c r="AU575" s="3"/>
      <c r="AV575" s="70"/>
      <c r="AW575" s="71"/>
      <c r="BA575" s="3"/>
      <c r="BB575" s="3"/>
      <c r="BC575" s="3"/>
      <c r="BD575" s="3"/>
      <c r="BF575" s="3"/>
      <c r="BG575" s="3"/>
      <c r="BH575" s="15"/>
    </row>
    <row r="576" spans="2:60" ht="15" customHeight="1" x14ac:dyDescent="0.4">
      <c r="B576" s="68"/>
      <c r="C576" s="69"/>
      <c r="D576" s="198"/>
      <c r="E576" s="199"/>
      <c r="F576" s="199"/>
      <c r="G576" s="172"/>
      <c r="H576" s="74"/>
      <c r="I576" s="33"/>
      <c r="J576" s="33"/>
      <c r="K576" s="33"/>
      <c r="L576" s="33"/>
      <c r="M576" s="14"/>
      <c r="N576" s="15"/>
      <c r="O576" s="15"/>
      <c r="P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3"/>
      <c r="AQ576" s="3"/>
      <c r="AR576" s="3"/>
      <c r="AS576" s="3"/>
      <c r="AT576" s="3"/>
      <c r="AU576" s="3"/>
      <c r="AV576" s="3"/>
      <c r="AW576" s="3"/>
      <c r="AX576" s="3"/>
      <c r="BA576" s="3"/>
      <c r="BB576" s="3"/>
      <c r="BC576" s="3"/>
      <c r="BD576" s="3"/>
      <c r="BF576" s="3"/>
      <c r="BG576" s="3"/>
      <c r="BH576" s="15"/>
    </row>
    <row r="577" spans="2:60" ht="15" customHeight="1" x14ac:dyDescent="0.4">
      <c r="B577" s="125" t="s">
        <v>290</v>
      </c>
      <c r="C577" s="173" t="s">
        <v>291</v>
      </c>
      <c r="D577" s="174"/>
      <c r="E577" s="174"/>
      <c r="F577" s="175"/>
      <c r="G577" s="182">
        <f>I577*250</f>
        <v>127000</v>
      </c>
      <c r="H577" s="140"/>
      <c r="I577" s="143">
        <f>SUM(H580:H663)</f>
        <v>508</v>
      </c>
      <c r="J577" s="33"/>
      <c r="K577" s="33"/>
      <c r="L577" s="155">
        <f>SUM(K580:K663)</f>
        <v>142938.5</v>
      </c>
      <c r="M577" s="14"/>
      <c r="N577" s="15"/>
      <c r="O577" s="15"/>
      <c r="P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15"/>
      <c r="AV577" s="15"/>
      <c r="AW577" s="15"/>
      <c r="AX577" s="15"/>
      <c r="AY577" s="15"/>
      <c r="AZ577" s="15"/>
      <c r="BF577" s="15"/>
      <c r="BG577" s="15"/>
      <c r="BH577" s="15"/>
    </row>
    <row r="578" spans="2:60" ht="15" customHeight="1" x14ac:dyDescent="0.4">
      <c r="B578" s="126"/>
      <c r="C578" s="176"/>
      <c r="D578" s="177"/>
      <c r="E578" s="177"/>
      <c r="F578" s="178"/>
      <c r="G578" s="183"/>
      <c r="H578" s="141"/>
      <c r="I578" s="143"/>
      <c r="J578" s="33"/>
      <c r="K578" s="33"/>
      <c r="L578" s="155"/>
      <c r="M578" s="14"/>
      <c r="N578" s="15"/>
      <c r="O578" s="15"/>
      <c r="P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15"/>
      <c r="AV578" s="15"/>
      <c r="AW578" s="92"/>
      <c r="AX578" s="93"/>
      <c r="AY578" s="93"/>
      <c r="AZ578" s="93"/>
      <c r="BA578" s="83"/>
      <c r="BB578" s="83"/>
      <c r="BC578" s="83"/>
      <c r="BD578" s="84"/>
      <c r="BF578" s="3"/>
      <c r="BG578" s="3"/>
      <c r="BH578" s="3"/>
    </row>
    <row r="579" spans="2:60" ht="15" customHeight="1" x14ac:dyDescent="0.4">
      <c r="B579" s="127"/>
      <c r="C579" s="179"/>
      <c r="D579" s="180"/>
      <c r="E579" s="180"/>
      <c r="F579" s="181"/>
      <c r="G579" s="183"/>
      <c r="H579" s="141"/>
      <c r="I579" s="143"/>
      <c r="J579" s="33"/>
      <c r="K579" s="33"/>
      <c r="L579" s="155"/>
      <c r="M579" s="14"/>
      <c r="N579" s="15"/>
      <c r="O579" s="15"/>
      <c r="P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  <c r="BF579" s="15"/>
      <c r="BG579" s="15"/>
      <c r="BH579" s="15"/>
    </row>
    <row r="580" spans="2:60" ht="15" customHeight="1" x14ac:dyDescent="0.4">
      <c r="B580" s="68"/>
      <c r="C580" s="184" t="s">
        <v>25</v>
      </c>
      <c r="D580" s="187" t="s">
        <v>292</v>
      </c>
      <c r="E580" s="188"/>
      <c r="F580" s="189"/>
      <c r="G580" s="45"/>
      <c r="H580" s="121">
        <f>SUM(G583:G588)</f>
        <v>70</v>
      </c>
      <c r="I580" s="33"/>
      <c r="J580" s="33"/>
      <c r="K580" s="124">
        <f>H580*$J$8</f>
        <v>19696.25</v>
      </c>
      <c r="L580" s="63"/>
      <c r="M580" s="14"/>
      <c r="N580" s="15"/>
      <c r="O580" s="15"/>
      <c r="P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15"/>
      <c r="BA580" s="3"/>
      <c r="BB580" s="3"/>
      <c r="BC580" s="3"/>
      <c r="BD580" s="3"/>
      <c r="BF580" s="3"/>
      <c r="BG580" s="3"/>
      <c r="BH580" s="15"/>
    </row>
    <row r="581" spans="2:60" ht="15" customHeight="1" x14ac:dyDescent="0.4">
      <c r="B581" s="68"/>
      <c r="C581" s="201"/>
      <c r="D581" s="190"/>
      <c r="E581" s="191"/>
      <c r="F581" s="192"/>
      <c r="G581" s="51"/>
      <c r="H581" s="122"/>
      <c r="I581" s="33"/>
      <c r="J581" s="33"/>
      <c r="K581" s="124"/>
      <c r="L581" s="63"/>
      <c r="M581" s="14"/>
      <c r="N581" s="15"/>
      <c r="O581" s="15"/>
      <c r="P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3"/>
      <c r="AQ581" s="3"/>
      <c r="AR581" s="3"/>
      <c r="AS581" s="3"/>
      <c r="AT581" s="3"/>
      <c r="AU581" s="3"/>
      <c r="AV581" s="3"/>
      <c r="AW581" s="85"/>
      <c r="AX581" s="86"/>
      <c r="AY581" s="86"/>
      <c r="AZ581" s="61"/>
      <c r="BA581" s="3"/>
      <c r="BB581" s="3"/>
      <c r="BC581" s="3"/>
      <c r="BD581" s="3"/>
      <c r="BF581" s="3"/>
      <c r="BG581" s="3"/>
      <c r="BH581" s="15"/>
    </row>
    <row r="582" spans="2:60" ht="15" customHeight="1" x14ac:dyDescent="0.4">
      <c r="B582" s="68"/>
      <c r="C582" s="202"/>
      <c r="D582" s="193"/>
      <c r="E582" s="194"/>
      <c r="F582" s="195"/>
      <c r="G582" s="51"/>
      <c r="H582" s="123"/>
      <c r="I582" s="33"/>
      <c r="J582" s="33"/>
      <c r="K582" s="124"/>
      <c r="L582" s="33"/>
      <c r="M582" s="14"/>
      <c r="N582" s="15"/>
      <c r="O582" s="15"/>
      <c r="P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15"/>
      <c r="BA582" s="3"/>
      <c r="BB582" s="3"/>
      <c r="BC582" s="3"/>
      <c r="BD582" s="3"/>
      <c r="BF582" s="3"/>
      <c r="BG582" s="3"/>
      <c r="BH582" s="15"/>
    </row>
    <row r="583" spans="2:60" ht="15" customHeight="1" x14ac:dyDescent="0.4">
      <c r="B583" s="196"/>
      <c r="C583" s="196"/>
      <c r="D583" s="197" t="s">
        <v>100</v>
      </c>
      <c r="E583" s="199" t="s">
        <v>293</v>
      </c>
      <c r="F583" s="199"/>
      <c r="G583" s="170">
        <v>35</v>
      </c>
      <c r="H583" s="63"/>
      <c r="I583" s="63"/>
      <c r="J583" s="64"/>
      <c r="K583" s="64"/>
      <c r="L583" s="33"/>
      <c r="M583" s="14"/>
      <c r="N583" s="15"/>
      <c r="O583" s="15"/>
      <c r="P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3"/>
      <c r="AQ583" s="3"/>
      <c r="AR583" s="3"/>
      <c r="AS583" s="15"/>
      <c r="AT583" s="3"/>
      <c r="AU583" s="3"/>
      <c r="AV583" s="3"/>
      <c r="AW583" s="3"/>
      <c r="AX583" s="3"/>
      <c r="AY583" s="3"/>
      <c r="AZ583" s="15"/>
      <c r="BF583" s="3"/>
      <c r="BG583" s="3"/>
      <c r="BH583" s="15"/>
    </row>
    <row r="584" spans="2:60" ht="15" customHeight="1" x14ac:dyDescent="0.4">
      <c r="B584" s="196"/>
      <c r="C584" s="196"/>
      <c r="D584" s="198"/>
      <c r="E584" s="199"/>
      <c r="F584" s="199"/>
      <c r="G584" s="171"/>
      <c r="H584" s="63"/>
      <c r="I584" s="63"/>
      <c r="J584" s="63"/>
      <c r="K584" s="63"/>
      <c r="L584" s="33"/>
      <c r="M584" s="14"/>
      <c r="N584" s="15"/>
      <c r="O584" s="15"/>
      <c r="P584" s="15"/>
      <c r="AV584" s="3"/>
      <c r="AW584" s="70"/>
      <c r="AX584" s="71"/>
      <c r="AY584" s="3"/>
      <c r="AZ584" s="15"/>
      <c r="BA584" s="3"/>
      <c r="BB584" s="3"/>
      <c r="BC584" s="3"/>
      <c r="BD584" s="3"/>
      <c r="BF584" s="3"/>
      <c r="BG584" s="3"/>
      <c r="BH584" s="15"/>
    </row>
    <row r="585" spans="2:60" ht="15" customHeight="1" x14ac:dyDescent="0.4">
      <c r="B585" s="196"/>
      <c r="C585" s="196"/>
      <c r="D585" s="198"/>
      <c r="E585" s="199"/>
      <c r="F585" s="199"/>
      <c r="G585" s="172"/>
      <c r="H585" s="63"/>
      <c r="I585" s="63"/>
      <c r="J585" s="63"/>
      <c r="K585" s="63"/>
      <c r="L585" s="33"/>
      <c r="M585" s="14"/>
      <c r="N585" s="15"/>
      <c r="O585" s="15"/>
      <c r="P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3"/>
      <c r="AQ585" s="3"/>
      <c r="AR585" s="3"/>
      <c r="AS585" s="15"/>
      <c r="AT585" s="3"/>
      <c r="AU585" s="3"/>
      <c r="AV585" s="3"/>
      <c r="AW585" s="3"/>
      <c r="AX585" s="3"/>
      <c r="AY585" s="3"/>
      <c r="AZ585" s="15"/>
      <c r="BA585" s="3"/>
      <c r="BB585" s="3"/>
      <c r="BC585" s="3"/>
      <c r="BD585" s="3"/>
      <c r="BF585" s="3"/>
      <c r="BG585" s="3"/>
      <c r="BH585" s="15"/>
    </row>
    <row r="586" spans="2:60" ht="15" customHeight="1" x14ac:dyDescent="0.4">
      <c r="B586" s="196"/>
      <c r="C586" s="196"/>
      <c r="D586" s="197" t="s">
        <v>102</v>
      </c>
      <c r="E586" s="199" t="s">
        <v>294</v>
      </c>
      <c r="F586" s="199"/>
      <c r="G586" s="170">
        <v>35</v>
      </c>
      <c r="H586" s="63"/>
      <c r="I586" s="63"/>
      <c r="J586" s="64"/>
      <c r="K586" s="64"/>
      <c r="L586" s="33"/>
      <c r="M586" s="14"/>
      <c r="N586" s="15"/>
      <c r="O586" s="15"/>
      <c r="P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3"/>
      <c r="AQ586" s="3"/>
      <c r="AR586" s="3"/>
      <c r="AS586" s="15"/>
      <c r="AT586" s="3"/>
      <c r="AU586" s="3"/>
      <c r="AV586" s="3"/>
      <c r="AW586" s="3"/>
      <c r="AX586" s="3"/>
      <c r="AY586" s="3"/>
      <c r="AZ586" s="15"/>
      <c r="BA586" s="3"/>
      <c r="BB586" s="3"/>
      <c r="BC586" s="3"/>
      <c r="BD586" s="3"/>
      <c r="BF586" s="3"/>
      <c r="BG586" s="3"/>
      <c r="BH586" s="15"/>
    </row>
    <row r="587" spans="2:60" ht="15" customHeight="1" x14ac:dyDescent="0.4">
      <c r="B587" s="196"/>
      <c r="C587" s="196"/>
      <c r="D587" s="198"/>
      <c r="E587" s="199"/>
      <c r="F587" s="199"/>
      <c r="G587" s="171"/>
      <c r="H587" s="63"/>
      <c r="I587" s="63"/>
      <c r="J587" s="63"/>
      <c r="K587" s="63"/>
      <c r="L587" s="33"/>
      <c r="M587" s="14"/>
      <c r="N587" s="15"/>
      <c r="O587" s="15"/>
      <c r="P587" s="15"/>
      <c r="AX587" s="70"/>
      <c r="AY587" s="88"/>
      <c r="AZ587" s="67"/>
      <c r="BA587" s="3"/>
      <c r="BB587" s="3"/>
      <c r="BC587" s="3"/>
      <c r="BD587" s="3"/>
      <c r="BF587" s="3"/>
      <c r="BG587" s="3"/>
      <c r="BH587" s="15"/>
    </row>
    <row r="588" spans="2:60" ht="15" customHeight="1" x14ac:dyDescent="0.4">
      <c r="B588" s="196"/>
      <c r="C588" s="196"/>
      <c r="D588" s="198"/>
      <c r="E588" s="199"/>
      <c r="F588" s="199"/>
      <c r="G588" s="172"/>
      <c r="H588" s="63"/>
      <c r="I588" s="63"/>
      <c r="J588" s="63"/>
      <c r="K588" s="63"/>
      <c r="L588" s="33"/>
      <c r="M588" s="14"/>
      <c r="N588" s="15"/>
      <c r="O588" s="15"/>
      <c r="P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3"/>
      <c r="AQ588" s="3"/>
      <c r="AR588" s="3"/>
      <c r="AS588" s="15"/>
      <c r="AT588" s="3"/>
      <c r="AU588" s="3"/>
      <c r="AV588" s="3"/>
      <c r="AW588" s="3"/>
      <c r="AX588" s="3"/>
      <c r="AY588" s="3"/>
      <c r="AZ588" s="15"/>
      <c r="BF588" s="3"/>
      <c r="BG588" s="3"/>
      <c r="BH588" s="15"/>
    </row>
    <row r="589" spans="2:60" ht="15" customHeight="1" x14ac:dyDescent="0.4">
      <c r="B589" s="106"/>
      <c r="C589" s="184" t="s">
        <v>27</v>
      </c>
      <c r="D589" s="187" t="s">
        <v>295</v>
      </c>
      <c r="E589" s="188"/>
      <c r="F589" s="189"/>
      <c r="G589" s="45"/>
      <c r="H589" s="121">
        <f>SUM(G592:G603)</f>
        <v>84</v>
      </c>
      <c r="I589" s="63"/>
      <c r="J589" s="33"/>
      <c r="K589" s="124">
        <f>H589*$J$8</f>
        <v>23635.5</v>
      </c>
      <c r="L589" s="33"/>
      <c r="M589" s="14"/>
      <c r="N589" s="3"/>
      <c r="O589" s="15"/>
      <c r="P589" s="15"/>
      <c r="AG589" s="15"/>
      <c r="AH589" s="15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15"/>
      <c r="AU589" s="15"/>
      <c r="AV589" s="15"/>
      <c r="AW589" s="3"/>
      <c r="AX589" s="3"/>
      <c r="AY589" s="3"/>
      <c r="AZ589" s="3"/>
      <c r="BF589" s="3"/>
      <c r="BG589" s="3"/>
      <c r="BH589" s="3"/>
    </row>
    <row r="590" spans="2:60" ht="15" customHeight="1" x14ac:dyDescent="0.4">
      <c r="B590" s="156"/>
      <c r="C590" s="201"/>
      <c r="D590" s="190"/>
      <c r="E590" s="191"/>
      <c r="F590" s="192"/>
      <c r="G590" s="51"/>
      <c r="H590" s="122"/>
      <c r="I590" s="63"/>
      <c r="J590" s="33"/>
      <c r="K590" s="124"/>
      <c r="L590" s="33"/>
      <c r="M590" s="14"/>
      <c r="N590" s="15"/>
      <c r="O590" s="15"/>
      <c r="P590" s="15"/>
      <c r="AG590" s="15"/>
      <c r="AH590" s="15"/>
      <c r="AI590" s="15"/>
      <c r="AJ590" s="15"/>
      <c r="AK590" s="15"/>
      <c r="AL590" s="15"/>
      <c r="AM590" s="15"/>
      <c r="AN590" s="15"/>
      <c r="AW590" s="85"/>
      <c r="AX590" s="86"/>
      <c r="AY590" s="86"/>
      <c r="AZ590" s="87"/>
      <c r="BF590" s="3"/>
      <c r="BG590" s="3"/>
      <c r="BH590" s="3"/>
    </row>
    <row r="591" spans="2:60" ht="15" customHeight="1" x14ac:dyDescent="0.4">
      <c r="B591" s="157"/>
      <c r="C591" s="202"/>
      <c r="D591" s="193"/>
      <c r="E591" s="194"/>
      <c r="F591" s="195"/>
      <c r="G591" s="51"/>
      <c r="H591" s="123"/>
      <c r="I591" s="63"/>
      <c r="J591" s="33"/>
      <c r="K591" s="124"/>
      <c r="L591" s="33"/>
      <c r="M591" s="14"/>
      <c r="N591" s="15"/>
      <c r="O591" s="15"/>
      <c r="P591" s="15"/>
      <c r="AG591" s="15"/>
      <c r="AH591" s="15"/>
      <c r="AI591" s="15"/>
      <c r="AJ591" s="15"/>
      <c r="AK591" s="15"/>
      <c r="AL591" s="3"/>
      <c r="AM591" s="3"/>
      <c r="AN591" s="3"/>
      <c r="AO591" s="3"/>
      <c r="AP591" s="3"/>
      <c r="AQ591" s="3"/>
      <c r="AR591" s="3"/>
      <c r="AS591" s="3"/>
      <c r="AT591" s="15"/>
      <c r="AU591" s="15"/>
      <c r="AV591" s="15"/>
      <c r="AW591" s="3"/>
      <c r="AX591" s="3"/>
      <c r="AY591" s="3"/>
      <c r="AZ591" s="3"/>
      <c r="BF591" s="3"/>
      <c r="BG591" s="3"/>
      <c r="BH591" s="15"/>
    </row>
    <row r="592" spans="2:60" ht="15" customHeight="1" x14ac:dyDescent="0.4">
      <c r="B592" s="196"/>
      <c r="C592" s="196"/>
      <c r="D592" s="197" t="s">
        <v>109</v>
      </c>
      <c r="E592" s="199" t="s">
        <v>296</v>
      </c>
      <c r="F592" s="199"/>
      <c r="G592" s="170">
        <v>21</v>
      </c>
      <c r="H592" s="63"/>
      <c r="I592" s="63"/>
      <c r="J592" s="64"/>
      <c r="K592" s="64"/>
      <c r="L592" s="33"/>
      <c r="M592" s="14"/>
      <c r="N592" s="15"/>
      <c r="O592" s="15"/>
      <c r="P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3"/>
      <c r="AQ592" s="3"/>
      <c r="AR592" s="3"/>
      <c r="AS592" s="15"/>
      <c r="AT592" s="3"/>
      <c r="AU592" s="3"/>
      <c r="AV592" s="3"/>
      <c r="AW592" s="3"/>
      <c r="AX592" s="3"/>
      <c r="AY592" s="3"/>
      <c r="AZ592" s="3"/>
      <c r="BF592" s="3"/>
      <c r="BG592" s="3"/>
      <c r="BH592" s="15"/>
    </row>
    <row r="593" spans="2:60" ht="15" customHeight="1" x14ac:dyDescent="0.4">
      <c r="B593" s="196"/>
      <c r="C593" s="196"/>
      <c r="D593" s="198"/>
      <c r="E593" s="199"/>
      <c r="F593" s="199"/>
      <c r="G593" s="171"/>
      <c r="H593" s="63"/>
      <c r="I593" s="63"/>
      <c r="J593" s="63"/>
      <c r="K593" s="63"/>
      <c r="L593" s="33"/>
      <c r="M593" s="14"/>
      <c r="N593" s="15"/>
      <c r="O593" s="15"/>
      <c r="P593" s="15"/>
      <c r="AV593" s="3"/>
      <c r="AW593" s="70"/>
      <c r="AX593" s="71"/>
      <c r="BF593" s="3"/>
      <c r="BG593" s="3"/>
      <c r="BH593" s="15"/>
    </row>
    <row r="594" spans="2:60" ht="15" customHeight="1" x14ac:dyDescent="0.4">
      <c r="B594" s="196"/>
      <c r="C594" s="196"/>
      <c r="D594" s="198"/>
      <c r="E594" s="199"/>
      <c r="F594" s="199"/>
      <c r="G594" s="172"/>
      <c r="H594" s="63"/>
      <c r="I594" s="63"/>
      <c r="J594" s="63"/>
      <c r="K594" s="63"/>
      <c r="L594" s="33"/>
      <c r="M594" s="14"/>
      <c r="N594" s="15"/>
      <c r="O594" s="15"/>
      <c r="P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3"/>
      <c r="AQ594" s="3"/>
      <c r="AR594" s="3"/>
      <c r="AS594" s="15"/>
      <c r="AT594" s="3"/>
      <c r="AU594" s="3"/>
      <c r="AV594" s="3"/>
      <c r="AW594" s="3"/>
      <c r="AX594" s="3"/>
      <c r="BF594" s="3"/>
      <c r="BG594" s="3"/>
      <c r="BH594" s="15"/>
    </row>
    <row r="595" spans="2:60" ht="15" customHeight="1" x14ac:dyDescent="0.4">
      <c r="B595" s="196"/>
      <c r="C595" s="196"/>
      <c r="D595" s="197" t="s">
        <v>111</v>
      </c>
      <c r="E595" s="199" t="s">
        <v>297</v>
      </c>
      <c r="F595" s="199"/>
      <c r="G595" s="170">
        <v>21</v>
      </c>
      <c r="H595" s="63"/>
      <c r="I595" s="63"/>
      <c r="J595" s="64"/>
      <c r="K595" s="64"/>
      <c r="L595" s="33"/>
      <c r="M595" s="14"/>
      <c r="N595" s="15"/>
      <c r="O595" s="15"/>
      <c r="P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3"/>
      <c r="AQ595" s="3"/>
      <c r="AR595" s="3"/>
      <c r="AS595" s="15"/>
      <c r="AT595" s="3"/>
      <c r="AU595" s="3"/>
      <c r="AV595" s="3"/>
      <c r="AW595" s="3"/>
      <c r="AX595" s="3"/>
      <c r="BF595" s="3"/>
      <c r="BG595" s="3"/>
      <c r="BH595" s="15"/>
    </row>
    <row r="596" spans="2:60" ht="15" customHeight="1" x14ac:dyDescent="0.4">
      <c r="B596" s="196"/>
      <c r="C596" s="196"/>
      <c r="D596" s="198"/>
      <c r="E596" s="199"/>
      <c r="F596" s="199"/>
      <c r="G596" s="171"/>
      <c r="H596" s="63"/>
      <c r="I596" s="63"/>
      <c r="J596" s="63"/>
      <c r="K596" s="63"/>
      <c r="L596" s="33"/>
      <c r="M596" s="14"/>
      <c r="N596" s="15"/>
      <c r="O596" s="15"/>
      <c r="P596" s="15"/>
      <c r="AV596" s="3"/>
      <c r="AW596" s="70"/>
      <c r="AX596" s="71"/>
      <c r="BF596" s="3"/>
      <c r="BG596" s="3"/>
      <c r="BH596" s="15"/>
    </row>
    <row r="597" spans="2:60" ht="15" customHeight="1" x14ac:dyDescent="0.4">
      <c r="B597" s="196"/>
      <c r="C597" s="196"/>
      <c r="D597" s="198"/>
      <c r="E597" s="199"/>
      <c r="F597" s="199"/>
      <c r="G597" s="172"/>
      <c r="H597" s="63"/>
      <c r="I597" s="63"/>
      <c r="J597" s="63"/>
      <c r="K597" s="63"/>
      <c r="L597" s="33"/>
      <c r="M597" s="14"/>
      <c r="N597" s="15"/>
      <c r="O597" s="15"/>
      <c r="P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3"/>
      <c r="AQ597" s="3"/>
      <c r="AR597" s="3"/>
      <c r="AS597" s="15"/>
      <c r="AT597" s="3"/>
      <c r="AU597" s="3"/>
      <c r="AV597" s="3"/>
      <c r="AW597" s="3"/>
      <c r="AX597" s="3"/>
      <c r="AY597" s="3"/>
      <c r="AZ597" s="15"/>
      <c r="BF597" s="3"/>
      <c r="BG597" s="3"/>
      <c r="BH597" s="15"/>
    </row>
    <row r="598" spans="2:60" ht="15" customHeight="1" x14ac:dyDescent="0.4">
      <c r="B598" s="196"/>
      <c r="C598" s="196"/>
      <c r="D598" s="197" t="s">
        <v>113</v>
      </c>
      <c r="E598" s="199" t="s">
        <v>298</v>
      </c>
      <c r="F598" s="199"/>
      <c r="G598" s="170">
        <v>21</v>
      </c>
      <c r="H598" s="63"/>
      <c r="I598" s="63"/>
      <c r="J598" s="64"/>
      <c r="K598" s="64"/>
      <c r="L598" s="33"/>
      <c r="M598" s="14"/>
      <c r="N598" s="15"/>
      <c r="O598" s="15"/>
      <c r="P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3"/>
      <c r="AQ598" s="3"/>
      <c r="AR598" s="3"/>
      <c r="AS598" s="15"/>
      <c r="AT598" s="3"/>
      <c r="AU598" s="3"/>
      <c r="AV598" s="3"/>
      <c r="AW598" s="3"/>
      <c r="AX598" s="3"/>
      <c r="AY598" s="3"/>
      <c r="AZ598" s="15"/>
      <c r="BF598" s="3"/>
      <c r="BG598" s="3"/>
      <c r="BH598" s="15"/>
    </row>
    <row r="599" spans="2:60" ht="15" customHeight="1" x14ac:dyDescent="0.4">
      <c r="B599" s="196"/>
      <c r="C599" s="196"/>
      <c r="D599" s="198"/>
      <c r="E599" s="199"/>
      <c r="F599" s="199"/>
      <c r="G599" s="171"/>
      <c r="H599" s="63"/>
      <c r="I599" s="63"/>
      <c r="J599" s="63"/>
      <c r="K599" s="63"/>
      <c r="L599" s="33"/>
      <c r="M599" s="14"/>
      <c r="N599" s="15"/>
      <c r="O599" s="15"/>
      <c r="P599" s="15"/>
      <c r="AY599" s="70"/>
      <c r="AZ599" s="67"/>
      <c r="BF599" s="3"/>
      <c r="BG599" s="3"/>
      <c r="BH599" s="15"/>
    </row>
    <row r="600" spans="2:60" ht="15" customHeight="1" x14ac:dyDescent="0.4">
      <c r="B600" s="196"/>
      <c r="C600" s="196"/>
      <c r="D600" s="198"/>
      <c r="E600" s="199"/>
      <c r="F600" s="199"/>
      <c r="G600" s="172"/>
      <c r="H600" s="63"/>
      <c r="I600" s="63"/>
      <c r="J600" s="63"/>
      <c r="K600" s="63"/>
      <c r="L600" s="33"/>
      <c r="M600" s="14"/>
      <c r="N600" s="15"/>
      <c r="O600" s="15"/>
      <c r="P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3"/>
      <c r="AQ600" s="3"/>
      <c r="AR600" s="3"/>
      <c r="AS600" s="15"/>
      <c r="AT600" s="3"/>
      <c r="AU600" s="3"/>
      <c r="AV600" s="3"/>
      <c r="AW600" s="3"/>
      <c r="AX600" s="3"/>
      <c r="AY600" s="3"/>
      <c r="AZ600" s="15"/>
      <c r="BF600" s="3"/>
      <c r="BG600" s="3"/>
      <c r="BH600" s="15"/>
    </row>
    <row r="601" spans="2:60" ht="15" customHeight="1" x14ac:dyDescent="0.4">
      <c r="B601" s="196"/>
      <c r="C601" s="196"/>
      <c r="D601" s="197" t="s">
        <v>115</v>
      </c>
      <c r="E601" s="199" t="s">
        <v>299</v>
      </c>
      <c r="F601" s="199"/>
      <c r="G601" s="170">
        <v>21</v>
      </c>
      <c r="H601" s="63"/>
      <c r="I601" s="63"/>
      <c r="J601" s="64"/>
      <c r="K601" s="64"/>
      <c r="L601" s="33"/>
      <c r="M601" s="14"/>
      <c r="N601" s="15"/>
      <c r="O601" s="15"/>
      <c r="P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3"/>
      <c r="AQ601" s="3"/>
      <c r="AR601" s="3"/>
      <c r="AS601" s="15"/>
      <c r="AT601" s="3"/>
      <c r="AU601" s="3"/>
      <c r="AV601" s="3"/>
      <c r="AW601" s="3"/>
      <c r="AX601" s="3"/>
      <c r="AY601" s="3"/>
      <c r="AZ601" s="15"/>
      <c r="BF601" s="3"/>
      <c r="BG601" s="3"/>
      <c r="BH601" s="15"/>
    </row>
    <row r="602" spans="2:60" ht="15" customHeight="1" x14ac:dyDescent="0.4">
      <c r="B602" s="196"/>
      <c r="C602" s="196"/>
      <c r="D602" s="198"/>
      <c r="E602" s="199"/>
      <c r="F602" s="199"/>
      <c r="G602" s="171"/>
      <c r="H602" s="63"/>
      <c r="I602" s="63"/>
      <c r="J602" s="63"/>
      <c r="K602" s="63"/>
      <c r="L602" s="33"/>
      <c r="M602" s="14"/>
      <c r="N602" s="15"/>
      <c r="O602" s="15"/>
      <c r="P602" s="15"/>
      <c r="AY602" s="70"/>
      <c r="AZ602" s="67"/>
      <c r="BF602" s="3"/>
      <c r="BG602" s="3"/>
      <c r="BH602" s="15"/>
    </row>
    <row r="603" spans="2:60" ht="15" customHeight="1" x14ac:dyDescent="0.4">
      <c r="B603" s="196"/>
      <c r="C603" s="196"/>
      <c r="D603" s="198"/>
      <c r="E603" s="199"/>
      <c r="F603" s="199"/>
      <c r="G603" s="172"/>
      <c r="H603" s="63"/>
      <c r="I603" s="63"/>
      <c r="J603" s="63"/>
      <c r="K603" s="63"/>
      <c r="L603" s="33"/>
      <c r="M603" s="14"/>
      <c r="N603" s="15"/>
      <c r="O603" s="15"/>
      <c r="P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3"/>
      <c r="AQ603" s="3"/>
      <c r="AR603" s="3"/>
      <c r="AS603" s="15"/>
      <c r="AT603" s="3"/>
      <c r="AU603" s="3"/>
      <c r="AV603" s="3"/>
      <c r="AW603" s="3"/>
      <c r="AX603" s="3"/>
      <c r="AY603" s="3"/>
      <c r="AZ603" s="15"/>
      <c r="BF603" s="3"/>
      <c r="BG603" s="3"/>
      <c r="BH603" s="15"/>
    </row>
    <row r="604" spans="2:60" ht="15" customHeight="1" x14ac:dyDescent="0.4">
      <c r="B604" s="106"/>
      <c r="C604" s="184" t="s">
        <v>29</v>
      </c>
      <c r="D604" s="187" t="s">
        <v>300</v>
      </c>
      <c r="E604" s="188"/>
      <c r="F604" s="189"/>
      <c r="G604" s="45"/>
      <c r="H604" s="121">
        <f>SUM(G607:G618)</f>
        <v>48</v>
      </c>
      <c r="I604" s="63"/>
      <c r="J604" s="33"/>
      <c r="K604" s="124">
        <f>H604*$J$8</f>
        <v>13506</v>
      </c>
      <c r="L604" s="33"/>
      <c r="M604" s="14"/>
      <c r="N604" s="3"/>
      <c r="O604" s="15"/>
      <c r="P604" s="15"/>
      <c r="AG604" s="15"/>
      <c r="AH604" s="15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15"/>
      <c r="AU604" s="15"/>
      <c r="AV604" s="15"/>
      <c r="AW604" s="3"/>
      <c r="AX604" s="3"/>
      <c r="AY604" s="3"/>
      <c r="AZ604" s="3"/>
      <c r="BF604" s="3"/>
      <c r="BG604" s="3"/>
      <c r="BH604" s="3"/>
    </row>
    <row r="605" spans="2:60" ht="15" customHeight="1" x14ac:dyDescent="0.4">
      <c r="B605" s="156"/>
      <c r="C605" s="201"/>
      <c r="D605" s="190"/>
      <c r="E605" s="191"/>
      <c r="F605" s="192"/>
      <c r="G605" s="51"/>
      <c r="H605" s="122"/>
      <c r="I605" s="63"/>
      <c r="J605" s="33"/>
      <c r="K605" s="124"/>
      <c r="L605" s="33"/>
      <c r="M605" s="14"/>
      <c r="N605" s="15"/>
      <c r="O605" s="15"/>
      <c r="P605" s="15"/>
      <c r="AG605" s="15"/>
      <c r="AH605" s="15"/>
      <c r="AI605" s="15"/>
      <c r="AJ605" s="15"/>
      <c r="AK605" s="15"/>
      <c r="AL605" s="15"/>
      <c r="AM605" s="15"/>
      <c r="AN605" s="15"/>
      <c r="AZ605" s="85"/>
      <c r="BA605" s="95"/>
      <c r="BB605" s="95"/>
      <c r="BC605" s="96"/>
      <c r="BD605" s="15"/>
      <c r="BF605" s="3"/>
      <c r="BG605" s="3"/>
      <c r="BH605" s="3"/>
    </row>
    <row r="606" spans="2:60" ht="15" customHeight="1" x14ac:dyDescent="0.4">
      <c r="B606" s="157"/>
      <c r="C606" s="202"/>
      <c r="D606" s="193"/>
      <c r="E606" s="194"/>
      <c r="F606" s="195"/>
      <c r="G606" s="51"/>
      <c r="H606" s="123"/>
      <c r="I606" s="63"/>
      <c r="J606" s="33"/>
      <c r="K606" s="124"/>
      <c r="L606" s="33"/>
      <c r="M606" s="14"/>
      <c r="N606" s="15"/>
      <c r="O606" s="15"/>
      <c r="P606" s="15"/>
      <c r="AG606" s="15"/>
      <c r="AH606" s="15"/>
      <c r="AI606" s="15"/>
      <c r="AJ606" s="15"/>
      <c r="AK606" s="15"/>
      <c r="AL606" s="3"/>
      <c r="AM606" s="3"/>
      <c r="AN606" s="3"/>
      <c r="AO606" s="3"/>
      <c r="AP606" s="3"/>
      <c r="AQ606" s="3"/>
      <c r="AR606" s="3"/>
      <c r="AS606" s="3"/>
      <c r="AT606" s="15"/>
      <c r="AU606" s="15"/>
      <c r="AV606" s="15"/>
      <c r="AW606" s="3"/>
      <c r="AX606" s="3"/>
      <c r="AY606" s="3"/>
      <c r="AZ606" s="3"/>
      <c r="BF606" s="3"/>
      <c r="BG606" s="3"/>
      <c r="BH606" s="15"/>
    </row>
    <row r="607" spans="2:60" ht="15" customHeight="1" x14ac:dyDescent="0.4">
      <c r="B607" s="196"/>
      <c r="C607" s="196"/>
      <c r="D607" s="197" t="s">
        <v>124</v>
      </c>
      <c r="E607" s="199" t="s">
        <v>301</v>
      </c>
      <c r="F607" s="199"/>
      <c r="G607" s="170">
        <v>12</v>
      </c>
      <c r="H607" s="63"/>
      <c r="I607" s="63"/>
      <c r="J607" s="64"/>
      <c r="K607" s="64"/>
      <c r="L607" s="33"/>
      <c r="M607" s="14"/>
      <c r="N607" s="15"/>
      <c r="O607" s="15"/>
      <c r="P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3"/>
      <c r="AQ607" s="3"/>
      <c r="AR607" s="3"/>
      <c r="AS607" s="15"/>
      <c r="AT607" s="3"/>
      <c r="AU607" s="3"/>
      <c r="AV607" s="3"/>
      <c r="AW607" s="3"/>
      <c r="AX607" s="3"/>
      <c r="AY607" s="3"/>
      <c r="AZ607" s="3"/>
      <c r="BF607" s="3"/>
      <c r="BG607" s="3"/>
      <c r="BH607" s="15"/>
    </row>
    <row r="608" spans="2:60" ht="15" customHeight="1" x14ac:dyDescent="0.4">
      <c r="B608" s="196"/>
      <c r="C608" s="196"/>
      <c r="D608" s="198"/>
      <c r="E608" s="199"/>
      <c r="F608" s="199"/>
      <c r="G608" s="171"/>
      <c r="H608" s="63"/>
      <c r="I608" s="63"/>
      <c r="J608" s="63"/>
      <c r="K608" s="63"/>
      <c r="L608" s="33"/>
      <c r="M608" s="14"/>
      <c r="N608" s="15"/>
      <c r="O608" s="15"/>
      <c r="P608" s="15"/>
      <c r="AZ608" s="70"/>
      <c r="BA608" s="91"/>
      <c r="BB608" s="15"/>
      <c r="BC608" s="15"/>
      <c r="BD608" s="15"/>
      <c r="BF608" s="3"/>
      <c r="BG608" s="3"/>
      <c r="BH608" s="15"/>
    </row>
    <row r="609" spans="2:60" ht="15" customHeight="1" x14ac:dyDescent="0.4">
      <c r="B609" s="196"/>
      <c r="C609" s="196"/>
      <c r="D609" s="198"/>
      <c r="E609" s="199"/>
      <c r="F609" s="199"/>
      <c r="G609" s="172"/>
      <c r="H609" s="63"/>
      <c r="I609" s="63"/>
      <c r="J609" s="63"/>
      <c r="K609" s="63"/>
      <c r="L609" s="33"/>
      <c r="M609" s="14"/>
      <c r="N609" s="15"/>
      <c r="O609" s="15"/>
      <c r="P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3"/>
      <c r="AQ609" s="3"/>
      <c r="AR609" s="3"/>
      <c r="AS609" s="15"/>
      <c r="AT609" s="3"/>
      <c r="AU609" s="3"/>
      <c r="AV609" s="3"/>
      <c r="AW609" s="3"/>
      <c r="AX609" s="3"/>
      <c r="AY609" s="3"/>
      <c r="AZ609" s="3"/>
      <c r="BB609" s="15"/>
      <c r="BC609" s="15"/>
      <c r="BD609" s="15"/>
      <c r="BF609" s="3"/>
      <c r="BG609" s="3"/>
      <c r="BH609" s="15"/>
    </row>
    <row r="610" spans="2:60" ht="15" customHeight="1" x14ac:dyDescent="0.4">
      <c r="B610" s="196"/>
      <c r="C610" s="196"/>
      <c r="D610" s="197" t="s">
        <v>126</v>
      </c>
      <c r="E610" s="199" t="s">
        <v>302</v>
      </c>
      <c r="F610" s="199"/>
      <c r="G610" s="170">
        <v>12</v>
      </c>
      <c r="H610" s="63"/>
      <c r="I610" s="63"/>
      <c r="J610" s="64"/>
      <c r="K610" s="64"/>
      <c r="L610" s="33"/>
      <c r="M610" s="14"/>
      <c r="N610" s="15"/>
      <c r="O610" s="15"/>
      <c r="P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3"/>
      <c r="AQ610" s="3"/>
      <c r="AR610" s="3"/>
      <c r="AS610" s="15"/>
      <c r="AT610" s="3"/>
      <c r="AU610" s="3"/>
      <c r="AV610" s="3"/>
      <c r="AW610" s="3"/>
      <c r="AX610" s="3"/>
      <c r="AY610" s="3"/>
      <c r="AZ610" s="3"/>
      <c r="BB610" s="15"/>
      <c r="BC610" s="15"/>
      <c r="BD610" s="15"/>
      <c r="BF610" s="3"/>
      <c r="BG610" s="3"/>
      <c r="BH610" s="15"/>
    </row>
    <row r="611" spans="2:60" ht="15" customHeight="1" x14ac:dyDescent="0.4">
      <c r="B611" s="196"/>
      <c r="C611" s="196"/>
      <c r="D611" s="198"/>
      <c r="E611" s="199"/>
      <c r="F611" s="199"/>
      <c r="G611" s="171"/>
      <c r="H611" s="63"/>
      <c r="I611" s="63"/>
      <c r="J611" s="63"/>
      <c r="K611" s="63"/>
      <c r="L611" s="33"/>
      <c r="M611" s="14"/>
      <c r="N611" s="15"/>
      <c r="O611" s="15"/>
      <c r="P611" s="15"/>
      <c r="AZ611" s="70"/>
      <c r="BA611" s="91"/>
      <c r="BB611" s="15"/>
      <c r="BC611" s="15"/>
      <c r="BD611" s="15"/>
      <c r="BF611" s="3"/>
      <c r="BG611" s="3"/>
      <c r="BH611" s="15"/>
    </row>
    <row r="612" spans="2:60" ht="15" customHeight="1" x14ac:dyDescent="0.4">
      <c r="B612" s="196"/>
      <c r="C612" s="196"/>
      <c r="D612" s="198"/>
      <c r="E612" s="199"/>
      <c r="F612" s="199"/>
      <c r="G612" s="172"/>
      <c r="H612" s="63"/>
      <c r="I612" s="63"/>
      <c r="J612" s="63"/>
      <c r="K612" s="63"/>
      <c r="L612" s="33"/>
      <c r="M612" s="14"/>
      <c r="N612" s="15"/>
      <c r="O612" s="15"/>
      <c r="P612" s="15"/>
      <c r="AG612" s="15"/>
      <c r="AH612" s="15"/>
      <c r="AI612" s="15"/>
      <c r="AJ612" s="15"/>
      <c r="AK612" s="15"/>
      <c r="AL612" s="15"/>
      <c r="AM612" s="15"/>
      <c r="AN612" s="15"/>
      <c r="AO612" s="15"/>
      <c r="AP612" s="3"/>
      <c r="AQ612" s="3"/>
      <c r="AR612" s="3"/>
      <c r="AS612" s="15"/>
      <c r="AT612" s="3"/>
      <c r="AU612" s="3"/>
      <c r="AV612" s="3"/>
      <c r="AW612" s="3"/>
      <c r="AX612" s="3"/>
      <c r="AY612" s="3"/>
      <c r="AZ612" s="3"/>
      <c r="BF612" s="3"/>
      <c r="BG612" s="3"/>
      <c r="BH612" s="15"/>
    </row>
    <row r="613" spans="2:60" ht="15" customHeight="1" x14ac:dyDescent="0.4">
      <c r="B613" s="196"/>
      <c r="C613" s="196"/>
      <c r="D613" s="197" t="s">
        <v>128</v>
      </c>
      <c r="E613" s="199" t="s">
        <v>303</v>
      </c>
      <c r="F613" s="199"/>
      <c r="G613" s="170">
        <v>12</v>
      </c>
      <c r="H613" s="63"/>
      <c r="I613" s="63"/>
      <c r="J613" s="64"/>
      <c r="K613" s="64"/>
      <c r="L613" s="33"/>
      <c r="M613" s="14"/>
      <c r="N613" s="15"/>
      <c r="O613" s="15"/>
      <c r="P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3"/>
      <c r="AQ613" s="3"/>
      <c r="AR613" s="3"/>
      <c r="AS613" s="15"/>
      <c r="AT613" s="3"/>
      <c r="AU613" s="3"/>
      <c r="AV613" s="3"/>
      <c r="AW613" s="3"/>
      <c r="AX613" s="3"/>
      <c r="AY613" s="3"/>
      <c r="AZ613" s="3"/>
      <c r="BF613" s="3"/>
      <c r="BG613" s="3"/>
      <c r="BH613" s="15"/>
    </row>
    <row r="614" spans="2:60" ht="15" customHeight="1" x14ac:dyDescent="0.4">
      <c r="B614" s="196"/>
      <c r="C614" s="196"/>
      <c r="D614" s="198"/>
      <c r="E614" s="199"/>
      <c r="F614" s="199"/>
      <c r="G614" s="171"/>
      <c r="H614" s="63"/>
      <c r="I614" s="63"/>
      <c r="J614" s="63"/>
      <c r="K614" s="63"/>
      <c r="L614" s="33"/>
      <c r="M614" s="14"/>
      <c r="N614" s="15"/>
      <c r="O614" s="15"/>
      <c r="P614" s="15"/>
      <c r="BC614" s="90"/>
      <c r="BD614" s="91"/>
      <c r="BF614" s="3"/>
      <c r="BG614" s="3"/>
      <c r="BH614" s="15"/>
    </row>
    <row r="615" spans="2:60" ht="15" customHeight="1" x14ac:dyDescent="0.4">
      <c r="B615" s="196"/>
      <c r="C615" s="196"/>
      <c r="D615" s="198"/>
      <c r="E615" s="199"/>
      <c r="F615" s="199"/>
      <c r="G615" s="172"/>
      <c r="H615" s="63"/>
      <c r="I615" s="63"/>
      <c r="J615" s="63"/>
      <c r="K615" s="63"/>
      <c r="L615" s="33"/>
      <c r="M615" s="14"/>
      <c r="N615" s="15"/>
      <c r="O615" s="15"/>
      <c r="P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3"/>
      <c r="AQ615" s="3"/>
      <c r="AR615" s="3"/>
      <c r="AS615" s="15"/>
      <c r="AT615" s="3"/>
      <c r="AU615" s="3"/>
      <c r="AV615" s="3"/>
      <c r="AW615" s="3"/>
      <c r="AX615" s="3"/>
      <c r="AY615" s="3"/>
      <c r="AZ615" s="3"/>
      <c r="BA615" s="3"/>
      <c r="BB615" s="3"/>
      <c r="BF615" s="3"/>
      <c r="BG615" s="3"/>
      <c r="BH615" s="15"/>
    </row>
    <row r="616" spans="2:60" ht="15" customHeight="1" x14ac:dyDescent="0.4">
      <c r="B616" s="196"/>
      <c r="C616" s="196"/>
      <c r="D616" s="197" t="s">
        <v>130</v>
      </c>
      <c r="E616" s="199" t="s">
        <v>304</v>
      </c>
      <c r="F616" s="199"/>
      <c r="G616" s="170">
        <v>12</v>
      </c>
      <c r="H616" s="63"/>
      <c r="I616" s="63"/>
      <c r="J616" s="64"/>
      <c r="K616" s="64"/>
      <c r="L616" s="33"/>
      <c r="M616" s="14"/>
      <c r="N616" s="15"/>
      <c r="O616" s="15"/>
      <c r="P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3"/>
      <c r="AQ616" s="3"/>
      <c r="AR616" s="3"/>
      <c r="AS616" s="15"/>
      <c r="AT616" s="3"/>
      <c r="AU616" s="3"/>
      <c r="AV616" s="3"/>
      <c r="AW616" s="3"/>
      <c r="AX616" s="3"/>
      <c r="AY616" s="3"/>
      <c r="AZ616" s="3"/>
      <c r="BA616" s="3"/>
      <c r="BB616" s="3"/>
      <c r="BF616" s="3"/>
      <c r="BG616" s="3"/>
      <c r="BH616" s="15"/>
    </row>
    <row r="617" spans="2:60" ht="15" customHeight="1" x14ac:dyDescent="0.4">
      <c r="B617" s="196"/>
      <c r="C617" s="196"/>
      <c r="D617" s="198"/>
      <c r="E617" s="199"/>
      <c r="F617" s="199"/>
      <c r="G617" s="171"/>
      <c r="H617" s="63"/>
      <c r="I617" s="63"/>
      <c r="J617" s="63"/>
      <c r="K617" s="63"/>
      <c r="L617" s="33"/>
      <c r="M617" s="14"/>
      <c r="N617" s="15"/>
      <c r="O617" s="15"/>
      <c r="P617" s="15"/>
      <c r="BC617" s="90"/>
      <c r="BD617" s="91"/>
      <c r="BF617" s="3"/>
      <c r="BG617" s="3"/>
      <c r="BH617" s="15"/>
    </row>
    <row r="618" spans="2:60" ht="15" customHeight="1" x14ac:dyDescent="0.4">
      <c r="B618" s="196"/>
      <c r="C618" s="196"/>
      <c r="D618" s="198"/>
      <c r="E618" s="199"/>
      <c r="F618" s="199"/>
      <c r="G618" s="172"/>
      <c r="H618" s="63"/>
      <c r="I618" s="63"/>
      <c r="J618" s="63"/>
      <c r="K618" s="63"/>
      <c r="L618" s="33"/>
      <c r="M618" s="14"/>
      <c r="N618" s="15"/>
      <c r="O618" s="15"/>
      <c r="P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3"/>
      <c r="AQ618" s="3"/>
      <c r="AR618" s="3"/>
      <c r="AS618" s="15"/>
      <c r="AT618" s="3"/>
      <c r="AU618" s="3"/>
      <c r="AV618" s="3"/>
      <c r="AW618" s="3"/>
      <c r="AX618" s="3"/>
      <c r="AY618" s="3"/>
      <c r="AZ618" s="3"/>
      <c r="BF618" s="3"/>
      <c r="BG618" s="3"/>
      <c r="BH618" s="15"/>
    </row>
    <row r="619" spans="2:60" ht="20.149999999999999" customHeight="1" x14ac:dyDescent="0.4">
      <c r="B619" s="106"/>
      <c r="C619" s="184" t="s">
        <v>31</v>
      </c>
      <c r="D619" s="187" t="s">
        <v>305</v>
      </c>
      <c r="E619" s="188"/>
      <c r="F619" s="189"/>
      <c r="G619" s="45"/>
      <c r="H619" s="121">
        <f>SUM(G622:G627)</f>
        <v>40</v>
      </c>
      <c r="I619" s="63"/>
      <c r="J619" s="33"/>
      <c r="K619" s="124">
        <f>H619*$J$8</f>
        <v>11255</v>
      </c>
      <c r="L619" s="33"/>
      <c r="M619" s="14"/>
      <c r="N619" s="3"/>
      <c r="O619" s="15"/>
      <c r="P619" s="15"/>
      <c r="AG619" s="15"/>
      <c r="AH619" s="15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15"/>
      <c r="AU619" s="15"/>
      <c r="AV619" s="15"/>
      <c r="AW619" s="3"/>
      <c r="AX619" s="3"/>
      <c r="AY619" s="3"/>
      <c r="AZ619" s="3"/>
      <c r="BF619" s="3"/>
      <c r="BG619" s="3"/>
      <c r="BH619" s="3"/>
    </row>
    <row r="620" spans="2:60" ht="20.149999999999999" customHeight="1" x14ac:dyDescent="0.4">
      <c r="B620" s="156"/>
      <c r="C620" s="201"/>
      <c r="D620" s="190"/>
      <c r="E620" s="191"/>
      <c r="F620" s="192"/>
      <c r="G620" s="51"/>
      <c r="H620" s="122"/>
      <c r="I620" s="63"/>
      <c r="J620" s="33"/>
      <c r="K620" s="124"/>
      <c r="L620" s="33"/>
      <c r="M620" s="14"/>
      <c r="N620" s="15"/>
      <c r="O620" s="15"/>
      <c r="P620" s="15"/>
      <c r="AG620" s="15"/>
      <c r="AH620" s="15"/>
      <c r="AI620" s="15"/>
      <c r="AJ620" s="15"/>
      <c r="AK620" s="15"/>
      <c r="AL620" s="15"/>
      <c r="AM620" s="15"/>
      <c r="AN620" s="15"/>
      <c r="AU620" s="15"/>
      <c r="AV620" s="15"/>
      <c r="AW620" s="3"/>
      <c r="AX620" s="3"/>
      <c r="AY620" s="3"/>
      <c r="AZ620" s="3"/>
      <c r="BA620" s="97"/>
      <c r="BB620" s="95"/>
      <c r="BC620" s="95"/>
      <c r="BD620" s="96"/>
      <c r="BF620" s="3"/>
      <c r="BG620" s="3"/>
      <c r="BH620" s="3"/>
    </row>
    <row r="621" spans="2:60" ht="20.149999999999999" customHeight="1" x14ac:dyDescent="0.4">
      <c r="B621" s="157"/>
      <c r="C621" s="202"/>
      <c r="D621" s="193"/>
      <c r="E621" s="194"/>
      <c r="F621" s="195"/>
      <c r="G621" s="51"/>
      <c r="H621" s="123"/>
      <c r="I621" s="63"/>
      <c r="J621" s="33"/>
      <c r="K621" s="124"/>
      <c r="L621" s="33"/>
      <c r="M621" s="14"/>
      <c r="N621" s="15"/>
      <c r="O621" s="15"/>
      <c r="P621" s="15"/>
      <c r="AG621" s="15"/>
      <c r="AH621" s="15"/>
      <c r="AI621" s="15"/>
      <c r="AJ621" s="15"/>
      <c r="AK621" s="15"/>
      <c r="AL621" s="3"/>
      <c r="AM621" s="3"/>
      <c r="AN621" s="3"/>
      <c r="AO621" s="3"/>
      <c r="AP621" s="3"/>
      <c r="AQ621" s="3"/>
      <c r="AR621" s="3"/>
      <c r="AS621" s="3"/>
      <c r="AT621" s="15"/>
      <c r="AU621" s="15"/>
      <c r="AV621" s="15"/>
      <c r="AW621" s="3"/>
      <c r="AX621" s="3"/>
      <c r="AY621" s="3"/>
      <c r="AZ621" s="3"/>
      <c r="BF621" s="3"/>
      <c r="BG621" s="3"/>
      <c r="BH621" s="15"/>
    </row>
    <row r="622" spans="2:60" ht="15" customHeight="1" x14ac:dyDescent="0.4">
      <c r="B622" s="196"/>
      <c r="C622" s="196"/>
      <c r="D622" s="197" t="s">
        <v>137</v>
      </c>
      <c r="E622" s="199" t="s">
        <v>306</v>
      </c>
      <c r="F622" s="199"/>
      <c r="G622" s="170">
        <v>20</v>
      </c>
      <c r="H622" s="63"/>
      <c r="I622" s="63"/>
      <c r="J622" s="64"/>
      <c r="K622" s="64"/>
      <c r="L622" s="33"/>
      <c r="M622" s="14"/>
      <c r="N622" s="15"/>
      <c r="O622" s="15"/>
      <c r="P622" s="15"/>
      <c r="AG622" s="15"/>
      <c r="AH622" s="15"/>
      <c r="AI622" s="15"/>
      <c r="AJ622" s="15"/>
      <c r="AK622" s="15"/>
      <c r="AL622" s="15"/>
      <c r="AM622" s="15"/>
      <c r="AN622" s="15"/>
      <c r="AO622" s="15"/>
      <c r="AP622" s="3"/>
      <c r="AQ622" s="3"/>
      <c r="AR622" s="3"/>
      <c r="AS622" s="15"/>
      <c r="AT622" s="3"/>
      <c r="AU622" s="15"/>
      <c r="AV622" s="15"/>
      <c r="AW622" s="3"/>
      <c r="AX622" s="3"/>
      <c r="AY622" s="3"/>
      <c r="AZ622" s="3"/>
      <c r="BF622" s="3"/>
      <c r="BG622" s="3"/>
      <c r="BH622" s="15"/>
    </row>
    <row r="623" spans="2:60" ht="15" customHeight="1" x14ac:dyDescent="0.4">
      <c r="B623" s="196"/>
      <c r="C623" s="196"/>
      <c r="D623" s="198"/>
      <c r="E623" s="199"/>
      <c r="F623" s="199"/>
      <c r="G623" s="171"/>
      <c r="H623" s="63"/>
      <c r="I623" s="63"/>
      <c r="J623" s="63"/>
      <c r="K623" s="63"/>
      <c r="L623" s="33"/>
      <c r="M623" s="14"/>
      <c r="N623" s="15"/>
      <c r="O623" s="15"/>
      <c r="P623" s="15"/>
      <c r="AU623" s="15"/>
      <c r="AV623" s="15"/>
      <c r="AW623" s="3"/>
      <c r="AX623" s="3"/>
      <c r="AY623" s="3"/>
      <c r="AZ623" s="3"/>
      <c r="BA623" s="90"/>
      <c r="BB623" s="91"/>
      <c r="BC623" s="15"/>
      <c r="BD623" s="15"/>
      <c r="BF623" s="3"/>
      <c r="BG623" s="3"/>
      <c r="BH623" s="15"/>
    </row>
    <row r="624" spans="2:60" ht="15" customHeight="1" x14ac:dyDescent="0.4">
      <c r="B624" s="196"/>
      <c r="C624" s="196"/>
      <c r="D624" s="198"/>
      <c r="E624" s="199"/>
      <c r="F624" s="199"/>
      <c r="G624" s="172"/>
      <c r="H624" s="63"/>
      <c r="I624" s="63"/>
      <c r="J624" s="63"/>
      <c r="K624" s="63"/>
      <c r="L624" s="33"/>
      <c r="M624" s="14"/>
      <c r="N624" s="15"/>
      <c r="O624" s="15"/>
      <c r="P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3"/>
      <c r="AQ624" s="3"/>
      <c r="AR624" s="3"/>
      <c r="AS624" s="15"/>
      <c r="AT624" s="3"/>
      <c r="AU624" s="15"/>
      <c r="AV624" s="15"/>
      <c r="AW624" s="3"/>
      <c r="AX624" s="3"/>
      <c r="AY624" s="3"/>
      <c r="AZ624" s="3"/>
      <c r="BF624" s="3"/>
      <c r="BG624" s="3"/>
      <c r="BH624" s="15"/>
    </row>
    <row r="625" spans="2:60" ht="15" customHeight="1" x14ac:dyDescent="0.4">
      <c r="B625" s="196"/>
      <c r="C625" s="196"/>
      <c r="D625" s="197" t="s">
        <v>139</v>
      </c>
      <c r="E625" s="199" t="s">
        <v>307</v>
      </c>
      <c r="F625" s="199"/>
      <c r="G625" s="170">
        <v>20</v>
      </c>
      <c r="H625" s="63"/>
      <c r="I625" s="63"/>
      <c r="J625" s="64"/>
      <c r="K625" s="64"/>
      <c r="L625" s="33"/>
      <c r="M625" s="14"/>
      <c r="N625" s="15"/>
      <c r="O625" s="15"/>
      <c r="P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3"/>
      <c r="AQ625" s="3"/>
      <c r="AR625" s="3"/>
      <c r="AS625" s="15"/>
      <c r="AT625" s="3"/>
      <c r="AU625" s="15"/>
      <c r="AV625" s="15"/>
      <c r="AW625" s="3"/>
      <c r="AX625" s="3"/>
      <c r="AY625" s="3"/>
      <c r="AZ625" s="3"/>
      <c r="BF625" s="3"/>
      <c r="BG625" s="3"/>
      <c r="BH625" s="15"/>
    </row>
    <row r="626" spans="2:60" ht="15" customHeight="1" x14ac:dyDescent="0.4">
      <c r="B626" s="196"/>
      <c r="C626" s="196"/>
      <c r="D626" s="198"/>
      <c r="E626" s="199"/>
      <c r="F626" s="199"/>
      <c r="G626" s="171"/>
      <c r="H626" s="63"/>
      <c r="I626" s="63"/>
      <c r="J626" s="63"/>
      <c r="K626" s="63"/>
      <c r="L626" s="33"/>
      <c r="M626" s="14"/>
      <c r="N626" s="15"/>
      <c r="O626" s="15"/>
      <c r="P626" s="15"/>
      <c r="AU626" s="15"/>
      <c r="AV626" s="15"/>
      <c r="AW626" s="3"/>
      <c r="AX626" s="3"/>
      <c r="AY626" s="3"/>
      <c r="AZ626" s="3"/>
      <c r="BA626" s="3"/>
      <c r="BB626" s="3"/>
      <c r="BC626" s="90"/>
      <c r="BD626" s="91"/>
      <c r="BF626" s="3"/>
      <c r="BG626" s="3"/>
      <c r="BH626" s="15"/>
    </row>
    <row r="627" spans="2:60" ht="15" customHeight="1" x14ac:dyDescent="0.4">
      <c r="B627" s="196"/>
      <c r="C627" s="196"/>
      <c r="D627" s="198"/>
      <c r="E627" s="199"/>
      <c r="F627" s="199"/>
      <c r="G627" s="172"/>
      <c r="H627" s="63"/>
      <c r="I627" s="63"/>
      <c r="J627" s="63"/>
      <c r="K627" s="63"/>
      <c r="L627" s="33"/>
      <c r="M627" s="14"/>
      <c r="N627" s="15"/>
      <c r="O627" s="15"/>
      <c r="P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3"/>
      <c r="AQ627" s="3"/>
      <c r="AR627" s="3"/>
      <c r="AS627" s="15"/>
      <c r="AT627" s="3"/>
      <c r="AU627" s="15"/>
      <c r="AV627" s="15"/>
      <c r="AW627" s="3"/>
      <c r="AX627" s="3"/>
      <c r="AY627" s="3"/>
      <c r="AZ627" s="3"/>
      <c r="BF627" s="3"/>
      <c r="BG627" s="3"/>
      <c r="BH627" s="15"/>
    </row>
    <row r="628" spans="2:60" ht="15" customHeight="1" x14ac:dyDescent="0.4">
      <c r="B628" s="106"/>
      <c r="C628" s="184" t="s">
        <v>33</v>
      </c>
      <c r="D628" s="187" t="s">
        <v>308</v>
      </c>
      <c r="E628" s="188"/>
      <c r="F628" s="189"/>
      <c r="G628" s="45"/>
      <c r="H628" s="121">
        <f>SUM(G631:G636)</f>
        <v>40</v>
      </c>
      <c r="I628" s="63"/>
      <c r="J628" s="33"/>
      <c r="K628" s="124">
        <f>H628*$J$8</f>
        <v>11255</v>
      </c>
      <c r="L628" s="33"/>
      <c r="M628" s="14"/>
      <c r="N628" s="3"/>
      <c r="O628" s="15"/>
      <c r="P628" s="15"/>
      <c r="AG628" s="15"/>
      <c r="AH628" s="15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15"/>
      <c r="AU628" s="15"/>
      <c r="AV628" s="15"/>
      <c r="AW628" s="3"/>
      <c r="AX628" s="3"/>
      <c r="AY628" s="3"/>
      <c r="AZ628" s="3"/>
      <c r="BF628" s="3"/>
      <c r="BG628" s="3"/>
      <c r="BH628" s="3"/>
    </row>
    <row r="629" spans="2:60" ht="15" customHeight="1" x14ac:dyDescent="0.4">
      <c r="B629" s="156"/>
      <c r="C629" s="201"/>
      <c r="D629" s="190"/>
      <c r="E629" s="191"/>
      <c r="F629" s="192"/>
      <c r="G629" s="51"/>
      <c r="H629" s="122"/>
      <c r="I629" s="63"/>
      <c r="J629" s="33"/>
      <c r="K629" s="124"/>
      <c r="L629" s="33"/>
      <c r="M629" s="14"/>
      <c r="N629" s="15"/>
      <c r="O629" s="15"/>
      <c r="P629" s="15"/>
      <c r="AG629" s="15"/>
      <c r="AH629" s="15"/>
      <c r="AI629" s="15"/>
      <c r="AJ629" s="15"/>
      <c r="AK629" s="15"/>
      <c r="AL629" s="15"/>
      <c r="AM629" s="15"/>
      <c r="AN629" s="15"/>
      <c r="AU629" s="15"/>
      <c r="AV629" s="15"/>
      <c r="AW629" s="3"/>
      <c r="AX629" s="3"/>
      <c r="AY629" s="3"/>
      <c r="AZ629" s="3"/>
      <c r="BA629" s="97"/>
      <c r="BB629" s="95"/>
      <c r="BC629" s="95"/>
      <c r="BD629" s="96"/>
      <c r="BF629" s="3"/>
      <c r="BG629" s="3"/>
      <c r="BH629" s="3"/>
    </row>
    <row r="630" spans="2:60" ht="15" customHeight="1" x14ac:dyDescent="0.4">
      <c r="B630" s="157"/>
      <c r="C630" s="202"/>
      <c r="D630" s="193"/>
      <c r="E630" s="194"/>
      <c r="F630" s="195"/>
      <c r="G630" s="51"/>
      <c r="H630" s="123"/>
      <c r="I630" s="63"/>
      <c r="J630" s="33"/>
      <c r="K630" s="124"/>
      <c r="L630" s="33"/>
      <c r="M630" s="14"/>
      <c r="N630" s="15"/>
      <c r="O630" s="15"/>
      <c r="P630" s="15"/>
      <c r="AG630" s="15"/>
      <c r="AH630" s="15"/>
      <c r="AI630" s="15"/>
      <c r="AJ630" s="15"/>
      <c r="AK630" s="15"/>
      <c r="AL630" s="3"/>
      <c r="AM630" s="3"/>
      <c r="AN630" s="3"/>
      <c r="AO630" s="3"/>
      <c r="AP630" s="3"/>
      <c r="AQ630" s="3"/>
      <c r="AR630" s="3"/>
      <c r="AS630" s="3"/>
      <c r="AT630" s="15"/>
      <c r="AU630" s="15"/>
      <c r="AV630" s="15"/>
      <c r="AW630" s="3"/>
      <c r="AX630" s="3"/>
      <c r="AY630" s="3"/>
      <c r="AZ630" s="3"/>
      <c r="BF630" s="3"/>
      <c r="BG630" s="3"/>
      <c r="BH630" s="15"/>
    </row>
    <row r="631" spans="2:60" ht="15" customHeight="1" x14ac:dyDescent="0.4">
      <c r="B631" s="196"/>
      <c r="C631" s="196"/>
      <c r="D631" s="197" t="s">
        <v>202</v>
      </c>
      <c r="E631" s="199" t="s">
        <v>309</v>
      </c>
      <c r="F631" s="199"/>
      <c r="G631" s="170">
        <v>20</v>
      </c>
      <c r="H631" s="63"/>
      <c r="I631" s="63"/>
      <c r="J631" s="64"/>
      <c r="K631" s="64"/>
      <c r="L631" s="33"/>
      <c r="M631" s="14"/>
      <c r="N631" s="15"/>
      <c r="O631" s="15"/>
      <c r="P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3"/>
      <c r="AQ631" s="3"/>
      <c r="AR631" s="3"/>
      <c r="AS631" s="15"/>
      <c r="AT631" s="3"/>
      <c r="AU631" s="15"/>
      <c r="AV631" s="15"/>
      <c r="AW631" s="3"/>
      <c r="AX631" s="3"/>
      <c r="AY631" s="3"/>
      <c r="AZ631" s="3"/>
      <c r="BF631" s="3"/>
      <c r="BG631" s="3"/>
      <c r="BH631" s="15"/>
    </row>
    <row r="632" spans="2:60" ht="15" customHeight="1" x14ac:dyDescent="0.4">
      <c r="B632" s="196"/>
      <c r="C632" s="196"/>
      <c r="D632" s="198"/>
      <c r="E632" s="199"/>
      <c r="F632" s="199"/>
      <c r="G632" s="171"/>
      <c r="H632" s="63"/>
      <c r="I632" s="63"/>
      <c r="J632" s="63"/>
      <c r="K632" s="63"/>
      <c r="L632" s="33"/>
      <c r="M632" s="14"/>
      <c r="N632" s="15"/>
      <c r="O632" s="15"/>
      <c r="P632" s="15"/>
      <c r="AU632" s="15"/>
      <c r="AV632" s="15"/>
      <c r="AW632" s="3"/>
      <c r="AX632" s="3"/>
      <c r="AY632" s="3"/>
      <c r="AZ632" s="3"/>
      <c r="BA632" s="90"/>
      <c r="BB632" s="91"/>
      <c r="BC632" s="15"/>
      <c r="BD632" s="15"/>
      <c r="BF632" s="3"/>
      <c r="BG632" s="3"/>
      <c r="BH632" s="15"/>
    </row>
    <row r="633" spans="2:60" ht="15" customHeight="1" x14ac:dyDescent="0.4">
      <c r="B633" s="196"/>
      <c r="C633" s="196"/>
      <c r="D633" s="198"/>
      <c r="E633" s="199"/>
      <c r="F633" s="199"/>
      <c r="G633" s="172"/>
      <c r="H633" s="63"/>
      <c r="I633" s="63"/>
      <c r="J633" s="63"/>
      <c r="K633" s="63"/>
      <c r="L633" s="33"/>
      <c r="M633" s="14"/>
      <c r="N633" s="15"/>
      <c r="O633" s="15"/>
      <c r="P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3"/>
      <c r="AQ633" s="3"/>
      <c r="AR633" s="3"/>
      <c r="AS633" s="15"/>
      <c r="AT633" s="3"/>
      <c r="AU633" s="15"/>
      <c r="AV633" s="15"/>
      <c r="AW633" s="3"/>
      <c r="AX633" s="3"/>
      <c r="AY633" s="3"/>
      <c r="AZ633" s="3"/>
      <c r="BF633" s="3"/>
      <c r="BG633" s="3"/>
      <c r="BH633" s="15"/>
    </row>
    <row r="634" spans="2:60" ht="15" customHeight="1" x14ac:dyDescent="0.4">
      <c r="B634" s="196"/>
      <c r="C634" s="196"/>
      <c r="D634" s="197" t="s">
        <v>204</v>
      </c>
      <c r="E634" s="199" t="s">
        <v>310</v>
      </c>
      <c r="F634" s="199"/>
      <c r="G634" s="170">
        <v>20</v>
      </c>
      <c r="H634" s="63"/>
      <c r="I634" s="63"/>
      <c r="J634" s="64"/>
      <c r="K634" s="64"/>
      <c r="L634" s="33"/>
      <c r="M634" s="14"/>
      <c r="N634" s="15"/>
      <c r="O634" s="15"/>
      <c r="P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3"/>
      <c r="AQ634" s="3"/>
      <c r="AR634" s="3"/>
      <c r="AS634" s="15"/>
      <c r="AT634" s="3"/>
      <c r="AU634" s="15"/>
      <c r="AV634" s="15"/>
      <c r="AW634" s="3"/>
      <c r="AX634" s="3"/>
      <c r="AY634" s="3"/>
      <c r="AZ634" s="3"/>
      <c r="BF634" s="3"/>
      <c r="BG634" s="3"/>
      <c r="BH634" s="15"/>
    </row>
    <row r="635" spans="2:60" ht="15" customHeight="1" x14ac:dyDescent="0.4">
      <c r="B635" s="196"/>
      <c r="C635" s="196"/>
      <c r="D635" s="198"/>
      <c r="E635" s="199"/>
      <c r="F635" s="199"/>
      <c r="G635" s="171"/>
      <c r="H635" s="63"/>
      <c r="I635" s="63"/>
      <c r="J635" s="63"/>
      <c r="K635" s="63"/>
      <c r="L635" s="33"/>
      <c r="M635" s="14"/>
      <c r="N635" s="15"/>
      <c r="O635" s="15"/>
      <c r="P635" s="15"/>
      <c r="AU635" s="15"/>
      <c r="AV635" s="15"/>
      <c r="AW635" s="3"/>
      <c r="AX635" s="3"/>
      <c r="AY635" s="3"/>
      <c r="AZ635" s="3"/>
      <c r="BA635" s="3"/>
      <c r="BB635" s="3"/>
      <c r="BC635" s="90"/>
      <c r="BD635" s="91"/>
      <c r="BF635" s="3"/>
      <c r="BG635" s="3"/>
      <c r="BH635" s="15"/>
    </row>
    <row r="636" spans="2:60" ht="15" customHeight="1" x14ac:dyDescent="0.4">
      <c r="B636" s="196"/>
      <c r="C636" s="196"/>
      <c r="D636" s="198"/>
      <c r="E636" s="199"/>
      <c r="F636" s="199"/>
      <c r="G636" s="172"/>
      <c r="H636" s="63"/>
      <c r="I636" s="63"/>
      <c r="J636" s="63"/>
      <c r="K636" s="63"/>
      <c r="L636" s="33"/>
      <c r="M636" s="14"/>
      <c r="N636" s="15"/>
      <c r="O636" s="15"/>
      <c r="P636" s="15"/>
      <c r="AG636" s="15"/>
      <c r="AH636" s="15"/>
      <c r="AI636" s="15"/>
      <c r="AJ636" s="15"/>
      <c r="AK636" s="15"/>
      <c r="AL636" s="15"/>
      <c r="AM636" s="15"/>
      <c r="AN636" s="15"/>
      <c r="AO636" s="15"/>
      <c r="AP636" s="3"/>
      <c r="AQ636" s="3"/>
      <c r="AR636" s="3"/>
      <c r="AS636" s="15"/>
      <c r="AT636" s="3"/>
      <c r="AU636" s="15"/>
      <c r="AV636" s="15"/>
      <c r="AW636" s="3"/>
      <c r="AX636" s="3"/>
      <c r="AY636" s="3"/>
      <c r="AZ636" s="3"/>
      <c r="BF636" s="3"/>
      <c r="BG636" s="3"/>
      <c r="BH636" s="15"/>
    </row>
    <row r="637" spans="2:60" ht="15" customHeight="1" x14ac:dyDescent="0.4">
      <c r="B637" s="106"/>
      <c r="C637" s="184" t="s">
        <v>35</v>
      </c>
      <c r="D637" s="187" t="s">
        <v>311</v>
      </c>
      <c r="E637" s="188"/>
      <c r="F637" s="189"/>
      <c r="G637" s="45"/>
      <c r="H637" s="121">
        <f>SUM(G640:G651)</f>
        <v>76</v>
      </c>
      <c r="I637" s="63"/>
      <c r="J637" s="33"/>
      <c r="K637" s="124">
        <f>H637*$J$8</f>
        <v>21384.5</v>
      </c>
      <c r="L637" s="33"/>
      <c r="M637" s="14"/>
      <c r="N637" s="3"/>
      <c r="O637" s="15"/>
      <c r="P637" s="15"/>
      <c r="AG637" s="15"/>
      <c r="AH637" s="15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15"/>
      <c r="AU637" s="15"/>
      <c r="AV637" s="15"/>
      <c r="AW637" s="3"/>
      <c r="AX637" s="3"/>
      <c r="AY637" s="3"/>
      <c r="AZ637" s="3"/>
      <c r="BF637" s="3"/>
      <c r="BG637" s="3"/>
      <c r="BH637" s="3"/>
    </row>
    <row r="638" spans="2:60" ht="15" customHeight="1" x14ac:dyDescent="0.4">
      <c r="B638" s="156"/>
      <c r="C638" s="201"/>
      <c r="D638" s="190"/>
      <c r="E638" s="191"/>
      <c r="F638" s="192"/>
      <c r="G638" s="51"/>
      <c r="H638" s="122"/>
      <c r="I638" s="63"/>
      <c r="J638" s="33"/>
      <c r="K638" s="124"/>
      <c r="L638" s="33"/>
      <c r="M638" s="14"/>
      <c r="N638" s="15"/>
      <c r="O638" s="15"/>
      <c r="P638" s="15"/>
      <c r="AG638" s="15"/>
      <c r="AH638" s="15"/>
      <c r="AI638" s="15"/>
      <c r="AJ638" s="15"/>
      <c r="AK638" s="15"/>
      <c r="AL638" s="15"/>
      <c r="AM638" s="15"/>
      <c r="AN638" s="15"/>
      <c r="AV638" s="15"/>
      <c r="AW638" s="3"/>
      <c r="AX638" s="3"/>
      <c r="AY638" s="3"/>
      <c r="AZ638" s="3"/>
      <c r="BA638" s="97"/>
      <c r="BB638" s="95"/>
      <c r="BC638" s="95"/>
      <c r="BD638" s="96"/>
      <c r="BF638" s="3"/>
      <c r="BG638" s="3"/>
      <c r="BH638" s="3"/>
    </row>
    <row r="639" spans="2:60" ht="15" customHeight="1" x14ac:dyDescent="0.4">
      <c r="B639" s="157"/>
      <c r="C639" s="202"/>
      <c r="D639" s="193"/>
      <c r="E639" s="194"/>
      <c r="F639" s="195"/>
      <c r="G639" s="51"/>
      <c r="H639" s="123"/>
      <c r="I639" s="63"/>
      <c r="J639" s="33"/>
      <c r="K639" s="124"/>
      <c r="L639" s="33"/>
      <c r="M639" s="14"/>
      <c r="N639" s="15"/>
      <c r="O639" s="15"/>
      <c r="P639" s="15"/>
      <c r="AG639" s="15"/>
      <c r="AH639" s="15"/>
      <c r="AI639" s="15"/>
      <c r="AJ639" s="15"/>
      <c r="AK639" s="15"/>
      <c r="AL639" s="3"/>
      <c r="AM639" s="3"/>
      <c r="AN639" s="3"/>
      <c r="AO639" s="3"/>
      <c r="AP639" s="3"/>
      <c r="AQ639" s="3"/>
      <c r="AR639" s="3"/>
      <c r="AS639" s="3"/>
      <c r="AT639" s="15"/>
      <c r="AU639" s="15"/>
      <c r="AV639" s="15"/>
      <c r="AW639" s="3"/>
      <c r="AX639" s="3"/>
      <c r="AY639" s="3"/>
      <c r="AZ639" s="3"/>
      <c r="BF639" s="3"/>
      <c r="BG639" s="3"/>
      <c r="BH639" s="15"/>
    </row>
    <row r="640" spans="2:60" ht="14.15" customHeight="1" x14ac:dyDescent="0.4">
      <c r="B640" s="68"/>
      <c r="C640" s="69"/>
      <c r="D640" s="197" t="s">
        <v>207</v>
      </c>
      <c r="E640" s="209" t="s">
        <v>312</v>
      </c>
      <c r="F640" s="210"/>
      <c r="G640" s="170">
        <v>19</v>
      </c>
      <c r="H640" s="72"/>
      <c r="I640" s="33"/>
      <c r="J640" s="33"/>
      <c r="K640" s="33"/>
      <c r="L640" s="63"/>
      <c r="M640" s="14"/>
      <c r="N640" s="15"/>
      <c r="O640" s="15"/>
      <c r="P640" s="15"/>
      <c r="AG640" s="15"/>
      <c r="AH640" s="15"/>
      <c r="AI640" s="15"/>
      <c r="AJ640" s="15"/>
      <c r="AK640" s="15"/>
      <c r="AL640" s="15"/>
      <c r="AM640" s="15"/>
      <c r="AN640" s="15"/>
      <c r="AO640" s="15"/>
      <c r="AP640" s="3"/>
      <c r="AQ640" s="3"/>
      <c r="AR640" s="3"/>
      <c r="AS640" s="3"/>
      <c r="AT640" s="3"/>
      <c r="AU640" s="3"/>
      <c r="AV640" s="15"/>
      <c r="AW640" s="3"/>
      <c r="AX640" s="3"/>
      <c r="AY640" s="3"/>
      <c r="AZ640" s="3"/>
      <c r="BF640" s="3"/>
      <c r="BG640" s="3"/>
      <c r="BH640" s="15"/>
    </row>
    <row r="641" spans="2:60" ht="14.15" customHeight="1" x14ac:dyDescent="0.4">
      <c r="B641" s="68"/>
      <c r="C641" s="69"/>
      <c r="D641" s="198"/>
      <c r="E641" s="211"/>
      <c r="F641" s="212"/>
      <c r="G641" s="171"/>
      <c r="H641" s="73"/>
      <c r="I641" s="33"/>
      <c r="J641" s="33"/>
      <c r="K641" s="33"/>
      <c r="L641" s="63"/>
      <c r="M641" s="14"/>
      <c r="N641" s="15"/>
      <c r="O641" s="15"/>
      <c r="P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3"/>
      <c r="AQ641" s="3"/>
      <c r="AR641" s="3"/>
      <c r="AS641" s="3"/>
      <c r="AT641" s="3"/>
      <c r="AU641" s="3"/>
      <c r="AV641" s="15"/>
      <c r="AW641" s="3"/>
      <c r="AX641" s="3"/>
      <c r="AY641" s="3"/>
      <c r="AZ641" s="3"/>
      <c r="BA641" s="90"/>
      <c r="BB641" s="91"/>
      <c r="BD641" s="15"/>
      <c r="BF641" s="3"/>
      <c r="BG641" s="3"/>
      <c r="BH641" s="15"/>
    </row>
    <row r="642" spans="2:60" ht="14.15" customHeight="1" x14ac:dyDescent="0.4">
      <c r="B642" s="68"/>
      <c r="C642" s="69"/>
      <c r="D642" s="198"/>
      <c r="E642" s="213"/>
      <c r="F642" s="214"/>
      <c r="G642" s="172"/>
      <c r="H642" s="74"/>
      <c r="I642" s="33"/>
      <c r="J642" s="33"/>
      <c r="K642" s="33"/>
      <c r="L642" s="33"/>
      <c r="M642" s="14"/>
      <c r="N642" s="15"/>
      <c r="O642" s="15"/>
      <c r="P642" s="15"/>
      <c r="AG642" s="15"/>
      <c r="AH642" s="15"/>
      <c r="AI642" s="15"/>
      <c r="AJ642" s="15"/>
      <c r="AK642" s="15"/>
      <c r="AL642" s="15"/>
      <c r="AM642" s="15"/>
      <c r="AN642" s="15"/>
      <c r="AO642" s="15"/>
      <c r="AP642" s="3"/>
      <c r="AQ642" s="3"/>
      <c r="AR642" s="3"/>
      <c r="AS642" s="3"/>
      <c r="AT642" s="3"/>
      <c r="AU642" s="3"/>
      <c r="AV642" s="15"/>
      <c r="AW642" s="3"/>
      <c r="AX642" s="3"/>
      <c r="AY642" s="3"/>
      <c r="AZ642" s="3"/>
      <c r="BD642" s="15"/>
      <c r="BF642" s="3"/>
      <c r="BG642" s="3"/>
      <c r="BH642" s="15"/>
    </row>
    <row r="643" spans="2:60" ht="14.15" customHeight="1" x14ac:dyDescent="0.4">
      <c r="B643" s="158"/>
      <c r="C643" s="158"/>
      <c r="D643" s="197" t="s">
        <v>209</v>
      </c>
      <c r="E643" s="203" t="s">
        <v>313</v>
      </c>
      <c r="F643" s="204"/>
      <c r="G643" s="170">
        <v>19</v>
      </c>
      <c r="H643" s="72"/>
      <c r="I643" s="63"/>
      <c r="J643" s="64"/>
      <c r="K643" s="64"/>
      <c r="L643" s="33"/>
      <c r="M643" s="14"/>
      <c r="N643" s="15"/>
      <c r="O643" s="15"/>
      <c r="P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3"/>
      <c r="AQ643" s="3"/>
      <c r="AR643" s="3"/>
      <c r="AS643" s="15"/>
      <c r="AT643" s="3"/>
      <c r="AU643" s="3"/>
      <c r="AV643" s="15"/>
      <c r="AW643" s="3"/>
      <c r="AX643" s="3"/>
      <c r="AY643" s="3"/>
      <c r="AZ643" s="3"/>
      <c r="BD643" s="15"/>
      <c r="BF643" s="3"/>
      <c r="BG643" s="3"/>
      <c r="BH643" s="15"/>
    </row>
    <row r="644" spans="2:60" ht="14.15" customHeight="1" x14ac:dyDescent="0.4">
      <c r="B644" s="159"/>
      <c r="C644" s="159"/>
      <c r="D644" s="198"/>
      <c r="E644" s="205"/>
      <c r="F644" s="206"/>
      <c r="G644" s="171"/>
      <c r="H644" s="73"/>
      <c r="I644" s="63"/>
      <c r="J644" s="63"/>
      <c r="K644" s="63"/>
      <c r="L644" s="33"/>
      <c r="M644" s="14"/>
      <c r="N644" s="15"/>
      <c r="O644" s="15"/>
      <c r="P644" s="15"/>
      <c r="AV644" s="15"/>
      <c r="AW644" s="3"/>
      <c r="AX644" s="3"/>
      <c r="AY644" s="3"/>
      <c r="AZ644" s="3"/>
      <c r="BA644" s="90"/>
      <c r="BB644" s="91"/>
      <c r="BD644" s="15"/>
      <c r="BF644" s="3"/>
      <c r="BG644" s="3"/>
      <c r="BH644" s="15"/>
    </row>
    <row r="645" spans="2:60" ht="14.15" customHeight="1" x14ac:dyDescent="0.4">
      <c r="B645" s="160"/>
      <c r="C645" s="160"/>
      <c r="D645" s="198"/>
      <c r="E645" s="207"/>
      <c r="F645" s="208"/>
      <c r="G645" s="172"/>
      <c r="H645" s="74"/>
      <c r="I645" s="63"/>
      <c r="J645" s="63"/>
      <c r="K645" s="63"/>
      <c r="L645" s="33"/>
      <c r="M645" s="14"/>
      <c r="N645" s="15"/>
      <c r="O645" s="15"/>
      <c r="P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3"/>
      <c r="AQ645" s="3"/>
      <c r="AR645" s="3"/>
      <c r="AS645" s="15"/>
      <c r="AT645" s="3"/>
      <c r="AU645" s="3"/>
      <c r="AV645" s="15"/>
      <c r="AW645" s="3"/>
      <c r="AX645" s="3"/>
      <c r="AY645" s="3"/>
      <c r="AZ645" s="3"/>
      <c r="BF645" s="3"/>
      <c r="BG645" s="3"/>
      <c r="BH645" s="15"/>
    </row>
    <row r="646" spans="2:60" ht="14.15" customHeight="1" x14ac:dyDescent="0.4">
      <c r="B646" s="196"/>
      <c r="C646" s="196"/>
      <c r="D646" s="197" t="s">
        <v>211</v>
      </c>
      <c r="E646" s="199" t="s">
        <v>314</v>
      </c>
      <c r="F646" s="199"/>
      <c r="G646" s="170">
        <v>19</v>
      </c>
      <c r="H646" s="72"/>
      <c r="I646" s="63"/>
      <c r="J646" s="64"/>
      <c r="K646" s="64"/>
      <c r="L646" s="33"/>
      <c r="M646" s="14"/>
      <c r="N646" s="15"/>
      <c r="O646" s="15"/>
      <c r="P646" s="15"/>
      <c r="AG646" s="15"/>
      <c r="AH646" s="15"/>
      <c r="AI646" s="15"/>
      <c r="AJ646" s="15"/>
      <c r="AK646" s="15"/>
      <c r="AL646" s="15"/>
      <c r="AM646" s="15"/>
      <c r="AN646" s="15"/>
      <c r="AO646" s="15"/>
      <c r="AP646" s="3"/>
      <c r="AQ646" s="3"/>
      <c r="AR646" s="3"/>
      <c r="AS646" s="15"/>
      <c r="AT646" s="3"/>
      <c r="AU646" s="3"/>
      <c r="AV646" s="15"/>
      <c r="AW646" s="3"/>
      <c r="AX646" s="3"/>
      <c r="AY646" s="3"/>
      <c r="AZ646" s="3"/>
      <c r="BF646" s="3"/>
      <c r="BG646" s="3"/>
      <c r="BH646" s="15"/>
    </row>
    <row r="647" spans="2:60" ht="14.15" customHeight="1" x14ac:dyDescent="0.4">
      <c r="B647" s="196"/>
      <c r="C647" s="196"/>
      <c r="D647" s="198"/>
      <c r="E647" s="199"/>
      <c r="F647" s="199"/>
      <c r="G647" s="171"/>
      <c r="H647" s="73"/>
      <c r="I647" s="63"/>
      <c r="J647" s="63"/>
      <c r="K647" s="63"/>
      <c r="L647" s="33"/>
      <c r="M647" s="14"/>
      <c r="N647" s="15"/>
      <c r="O647" s="15"/>
      <c r="P647" s="15"/>
      <c r="AV647" s="15"/>
      <c r="AW647" s="3"/>
      <c r="AX647" s="3"/>
      <c r="AY647" s="3"/>
      <c r="AZ647" s="3"/>
      <c r="BA647" s="3"/>
      <c r="BB647" s="90"/>
      <c r="BC647" s="91"/>
      <c r="BD647" s="15"/>
      <c r="BF647" s="3"/>
      <c r="BG647" s="3"/>
      <c r="BH647" s="15"/>
    </row>
    <row r="648" spans="2:60" ht="14.15" customHeight="1" x14ac:dyDescent="0.4">
      <c r="B648" s="196"/>
      <c r="C648" s="196"/>
      <c r="D648" s="198"/>
      <c r="E648" s="199"/>
      <c r="F648" s="199"/>
      <c r="G648" s="172"/>
      <c r="H648" s="74"/>
      <c r="I648" s="63"/>
      <c r="J648" s="63"/>
      <c r="K648" s="63"/>
      <c r="L648" s="33"/>
      <c r="M648" s="14"/>
      <c r="N648" s="15"/>
      <c r="O648" s="15"/>
      <c r="P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3"/>
      <c r="AQ648" s="3"/>
      <c r="AR648" s="3"/>
      <c r="AS648" s="15"/>
      <c r="AT648" s="3"/>
      <c r="AU648" s="3"/>
      <c r="AV648" s="3"/>
      <c r="AW648" s="3"/>
      <c r="AX648" s="3"/>
      <c r="AY648" s="3"/>
      <c r="AZ648" s="3"/>
      <c r="BF648" s="3"/>
      <c r="BG648" s="3"/>
      <c r="BH648" s="15"/>
    </row>
    <row r="649" spans="2:60" ht="14.15" customHeight="1" x14ac:dyDescent="0.4">
      <c r="B649" s="196"/>
      <c r="C649" s="196"/>
      <c r="D649" s="197" t="s">
        <v>213</v>
      </c>
      <c r="E649" s="199" t="s">
        <v>315</v>
      </c>
      <c r="F649" s="199"/>
      <c r="G649" s="170">
        <v>19</v>
      </c>
      <c r="H649" s="72"/>
      <c r="I649" s="63"/>
      <c r="J649" s="64"/>
      <c r="K649" s="64"/>
      <c r="L649" s="33"/>
      <c r="M649" s="14"/>
      <c r="N649" s="15"/>
      <c r="O649" s="15"/>
      <c r="P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3"/>
      <c r="AQ649" s="3"/>
      <c r="AR649" s="3"/>
      <c r="AS649" s="15"/>
      <c r="AT649" s="3"/>
      <c r="AU649" s="3"/>
      <c r="AV649" s="3"/>
      <c r="AW649" s="3"/>
      <c r="AX649" s="3"/>
      <c r="AY649" s="3"/>
      <c r="AZ649" s="3"/>
      <c r="BF649" s="3"/>
      <c r="BG649" s="3"/>
      <c r="BH649" s="15"/>
    </row>
    <row r="650" spans="2:60" ht="14.15" customHeight="1" x14ac:dyDescent="0.4">
      <c r="B650" s="196"/>
      <c r="C650" s="196"/>
      <c r="D650" s="198"/>
      <c r="E650" s="199"/>
      <c r="F650" s="199"/>
      <c r="G650" s="171"/>
      <c r="H650" s="73"/>
      <c r="I650" s="63"/>
      <c r="J650" s="63"/>
      <c r="K650" s="63"/>
      <c r="L650" s="33"/>
      <c r="M650" s="14"/>
      <c r="N650" s="15"/>
      <c r="O650" s="15"/>
      <c r="P650" s="15"/>
      <c r="AV650" s="3"/>
      <c r="AW650" s="3"/>
      <c r="AX650" s="3"/>
      <c r="AY650" s="3"/>
      <c r="AZ650" s="3"/>
      <c r="BB650" s="90"/>
      <c r="BC650" s="91"/>
      <c r="BD650" s="3"/>
      <c r="BF650" s="3"/>
      <c r="BG650" s="3"/>
      <c r="BH650" s="15"/>
    </row>
    <row r="651" spans="2:60" ht="14.15" customHeight="1" x14ac:dyDescent="0.4">
      <c r="B651" s="196"/>
      <c r="C651" s="196"/>
      <c r="D651" s="198"/>
      <c r="E651" s="199"/>
      <c r="F651" s="199"/>
      <c r="G651" s="172"/>
      <c r="H651" s="74"/>
      <c r="I651" s="63"/>
      <c r="J651" s="63"/>
      <c r="K651" s="63"/>
      <c r="L651" s="33"/>
      <c r="M651" s="14"/>
      <c r="N651" s="15"/>
      <c r="O651" s="15"/>
      <c r="P651" s="15"/>
      <c r="AG651" s="15"/>
      <c r="AH651" s="15"/>
      <c r="AI651" s="15"/>
      <c r="AJ651" s="15"/>
      <c r="AK651" s="15"/>
      <c r="AL651" s="15"/>
      <c r="AM651" s="15"/>
      <c r="AN651" s="15"/>
      <c r="AO651" s="15"/>
      <c r="AP651" s="3"/>
      <c r="AQ651" s="3"/>
      <c r="AR651" s="3"/>
      <c r="AS651" s="15"/>
      <c r="AT651" s="3"/>
      <c r="AU651" s="3"/>
      <c r="AV651" s="3"/>
      <c r="AW651" s="3"/>
      <c r="AX651" s="3"/>
      <c r="AY651" s="3"/>
      <c r="AZ651" s="3"/>
      <c r="BF651" s="3"/>
      <c r="BG651" s="3"/>
      <c r="BH651" s="15"/>
    </row>
    <row r="652" spans="2:60" ht="15" customHeight="1" x14ac:dyDescent="0.4">
      <c r="B652" s="106"/>
      <c r="C652" s="184" t="s">
        <v>37</v>
      </c>
      <c r="D652" s="187" t="s">
        <v>316</v>
      </c>
      <c r="E652" s="188"/>
      <c r="F652" s="189"/>
      <c r="G652" s="45"/>
      <c r="H652" s="121">
        <f>SUM(G655:G663)</f>
        <v>150</v>
      </c>
      <c r="I652" s="63"/>
      <c r="J652" s="33"/>
      <c r="K652" s="124">
        <f>H652*$J$8</f>
        <v>42206.25</v>
      </c>
      <c r="L652" s="33"/>
      <c r="M652" s="14"/>
      <c r="N652" s="3"/>
      <c r="O652" s="15"/>
      <c r="P652" s="15"/>
      <c r="AG652" s="15"/>
      <c r="AH652" s="15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15"/>
      <c r="AU652" s="15"/>
      <c r="AV652" s="15"/>
      <c r="AW652" s="3"/>
      <c r="AX652" s="3"/>
      <c r="AY652" s="3"/>
      <c r="AZ652" s="3"/>
      <c r="BF652" s="3"/>
      <c r="BG652" s="3"/>
      <c r="BH652" s="3"/>
    </row>
    <row r="653" spans="2:60" ht="15" customHeight="1" x14ac:dyDescent="0.4">
      <c r="B653" s="156"/>
      <c r="C653" s="201"/>
      <c r="D653" s="190"/>
      <c r="E653" s="191"/>
      <c r="F653" s="192"/>
      <c r="G653" s="51"/>
      <c r="H653" s="122"/>
      <c r="I653" s="63"/>
      <c r="J653" s="33"/>
      <c r="K653" s="124"/>
      <c r="L653" s="33"/>
      <c r="M653" s="14"/>
      <c r="N653" s="15"/>
      <c r="O653" s="15"/>
      <c r="P653" s="15"/>
      <c r="AG653" s="15"/>
      <c r="AH653" s="15"/>
      <c r="AI653" s="15"/>
      <c r="AJ653" s="15"/>
      <c r="AK653" s="15"/>
      <c r="AL653" s="15"/>
      <c r="AM653" s="15"/>
      <c r="AN653" s="15"/>
      <c r="AV653" s="15"/>
      <c r="AW653" s="3"/>
      <c r="AX653" s="3"/>
      <c r="AY653" s="3"/>
      <c r="AZ653" s="3"/>
      <c r="BA653" s="97"/>
      <c r="BB653" s="95"/>
      <c r="BC653" s="95"/>
      <c r="BD653" s="96"/>
      <c r="BF653" s="3"/>
      <c r="BG653" s="3"/>
      <c r="BH653" s="3"/>
    </row>
    <row r="654" spans="2:60" ht="15" customHeight="1" x14ac:dyDescent="0.4">
      <c r="B654" s="157"/>
      <c r="C654" s="202"/>
      <c r="D654" s="193"/>
      <c r="E654" s="194"/>
      <c r="F654" s="195"/>
      <c r="G654" s="51"/>
      <c r="H654" s="123"/>
      <c r="I654" s="63"/>
      <c r="J654" s="33"/>
      <c r="K654" s="124"/>
      <c r="L654" s="33"/>
      <c r="M654" s="14"/>
      <c r="N654" s="15"/>
      <c r="O654" s="15"/>
      <c r="P654" s="15"/>
      <c r="AG654" s="15"/>
      <c r="AH654" s="15"/>
      <c r="AI654" s="15"/>
      <c r="AJ654" s="15"/>
      <c r="AK654" s="15"/>
      <c r="AL654" s="3"/>
      <c r="AM654" s="3"/>
      <c r="AN654" s="3"/>
      <c r="AO654" s="3"/>
      <c r="AP654" s="3"/>
      <c r="AQ654" s="3"/>
      <c r="AR654" s="3"/>
      <c r="AS654" s="3"/>
      <c r="AT654" s="15"/>
      <c r="AU654" s="15"/>
      <c r="AV654" s="15"/>
      <c r="AW654" s="3"/>
      <c r="AX654" s="3"/>
      <c r="AY654" s="3"/>
      <c r="AZ654" s="3"/>
      <c r="BF654" s="3"/>
      <c r="BG654" s="3"/>
      <c r="BH654" s="15"/>
    </row>
    <row r="655" spans="2:60" ht="14.15" customHeight="1" x14ac:dyDescent="0.4">
      <c r="B655" s="68"/>
      <c r="C655" s="69"/>
      <c r="D655" s="197" t="s">
        <v>216</v>
      </c>
      <c r="E655" s="209" t="s">
        <v>317</v>
      </c>
      <c r="F655" s="210"/>
      <c r="G655" s="170">
        <v>45</v>
      </c>
      <c r="H655" s="72"/>
      <c r="I655" s="33"/>
      <c r="J655" s="33"/>
      <c r="K655" s="33"/>
      <c r="L655" s="63"/>
      <c r="M655" s="14"/>
      <c r="N655" s="15"/>
      <c r="O655" s="15"/>
      <c r="P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3"/>
      <c r="AQ655" s="3"/>
      <c r="AR655" s="3"/>
      <c r="AS655" s="3"/>
      <c r="AT655" s="3"/>
      <c r="AU655" s="3"/>
      <c r="AV655" s="15"/>
      <c r="AW655" s="3"/>
      <c r="AX655" s="3"/>
      <c r="AY655" s="3"/>
      <c r="AZ655" s="3"/>
      <c r="BF655" s="3"/>
      <c r="BG655" s="3"/>
      <c r="BH655" s="15"/>
    </row>
    <row r="656" spans="2:60" ht="14.15" customHeight="1" x14ac:dyDescent="0.4">
      <c r="B656" s="68"/>
      <c r="C656" s="69"/>
      <c r="D656" s="198"/>
      <c r="E656" s="211"/>
      <c r="F656" s="212"/>
      <c r="G656" s="171"/>
      <c r="H656" s="73"/>
      <c r="I656" s="33"/>
      <c r="J656" s="33"/>
      <c r="K656" s="33"/>
      <c r="L656" s="63"/>
      <c r="M656" s="14"/>
      <c r="N656" s="15"/>
      <c r="O656" s="15"/>
      <c r="P656" s="15"/>
      <c r="AG656" s="15"/>
      <c r="AH656" s="15"/>
      <c r="AI656" s="15"/>
      <c r="AJ656" s="15"/>
      <c r="AK656" s="15"/>
      <c r="AL656" s="15"/>
      <c r="AM656" s="15"/>
      <c r="AN656" s="15"/>
      <c r="AO656" s="15"/>
      <c r="AP656" s="3"/>
      <c r="AQ656" s="3"/>
      <c r="AR656" s="3"/>
      <c r="AS656" s="3"/>
      <c r="AT656" s="3"/>
      <c r="AU656" s="3"/>
      <c r="AV656" s="15"/>
      <c r="AW656" s="3"/>
      <c r="AX656" s="3"/>
      <c r="AY656" s="3"/>
      <c r="AZ656" s="3"/>
      <c r="BA656" s="90"/>
      <c r="BB656" s="91"/>
      <c r="BD656" s="15"/>
      <c r="BF656" s="3"/>
      <c r="BG656" s="3"/>
      <c r="BH656" s="15"/>
    </row>
    <row r="657" spans="2:60" ht="14.15" customHeight="1" x14ac:dyDescent="0.4">
      <c r="B657" s="68"/>
      <c r="C657" s="69"/>
      <c r="D657" s="198"/>
      <c r="E657" s="213"/>
      <c r="F657" s="214"/>
      <c r="G657" s="172"/>
      <c r="H657" s="74"/>
      <c r="I657" s="33"/>
      <c r="J657" s="33"/>
      <c r="K657" s="33"/>
      <c r="L657" s="33"/>
      <c r="M657" s="14"/>
      <c r="N657" s="15"/>
      <c r="O657" s="15"/>
      <c r="P657" s="15"/>
      <c r="AG657" s="15"/>
      <c r="AH657" s="15"/>
      <c r="AI657" s="15"/>
      <c r="AJ657" s="15"/>
      <c r="AK657" s="15"/>
      <c r="AL657" s="15"/>
      <c r="AM657" s="15"/>
      <c r="AN657" s="15"/>
      <c r="AO657" s="15"/>
      <c r="AP657" s="3"/>
      <c r="AQ657" s="3"/>
      <c r="AR657" s="3"/>
      <c r="AS657" s="3"/>
      <c r="AT657" s="3"/>
      <c r="AU657" s="3"/>
      <c r="AV657" s="15"/>
      <c r="AW657" s="3"/>
      <c r="AX657" s="3"/>
      <c r="AY657" s="3"/>
      <c r="AZ657" s="3"/>
      <c r="BD657" s="15"/>
      <c r="BF657" s="3"/>
      <c r="BG657" s="3"/>
      <c r="BH657" s="15"/>
    </row>
    <row r="658" spans="2:60" ht="14.15" customHeight="1" x14ac:dyDescent="0.4">
      <c r="B658" s="158"/>
      <c r="C658" s="158"/>
      <c r="D658" s="197" t="s">
        <v>218</v>
      </c>
      <c r="E658" s="203" t="s">
        <v>318</v>
      </c>
      <c r="F658" s="204"/>
      <c r="G658" s="170">
        <v>35</v>
      </c>
      <c r="H658" s="72"/>
      <c r="I658" s="63"/>
      <c r="J658" s="64"/>
      <c r="K658" s="64"/>
      <c r="L658" s="33"/>
      <c r="M658" s="14"/>
      <c r="N658" s="15"/>
      <c r="O658" s="15"/>
      <c r="P658" s="15"/>
      <c r="AG658" s="15"/>
      <c r="AH658" s="15"/>
      <c r="AI658" s="15"/>
      <c r="AJ658" s="15"/>
      <c r="AK658" s="15"/>
      <c r="AL658" s="15"/>
      <c r="AM658" s="15"/>
      <c r="AN658" s="15"/>
      <c r="AO658" s="15"/>
      <c r="AP658" s="3"/>
      <c r="AQ658" s="3"/>
      <c r="AR658" s="3"/>
      <c r="AS658" s="15"/>
      <c r="AT658" s="3"/>
      <c r="AU658" s="3"/>
      <c r="AV658" s="15"/>
      <c r="AW658" s="3"/>
      <c r="AX658" s="3"/>
      <c r="AY658" s="3"/>
      <c r="AZ658" s="3"/>
      <c r="BD658" s="15"/>
      <c r="BF658" s="3"/>
      <c r="BG658" s="3"/>
      <c r="BH658" s="15"/>
    </row>
    <row r="659" spans="2:60" ht="14.15" customHeight="1" x14ac:dyDescent="0.4">
      <c r="B659" s="159"/>
      <c r="C659" s="159"/>
      <c r="D659" s="198"/>
      <c r="E659" s="205"/>
      <c r="F659" s="206"/>
      <c r="G659" s="171"/>
      <c r="H659" s="73"/>
      <c r="I659" s="63"/>
      <c r="J659" s="63"/>
      <c r="K659" s="63"/>
      <c r="L659" s="33"/>
      <c r="M659" s="14"/>
      <c r="N659" s="15"/>
      <c r="O659" s="15"/>
      <c r="P659" s="15"/>
      <c r="AV659" s="15"/>
      <c r="AW659" s="3"/>
      <c r="AX659" s="3"/>
      <c r="AY659" s="3"/>
      <c r="AZ659" s="3"/>
      <c r="BA659" s="90"/>
      <c r="BB659" s="91"/>
      <c r="BD659" s="15"/>
      <c r="BF659" s="3"/>
      <c r="BG659" s="3"/>
      <c r="BH659" s="15"/>
    </row>
    <row r="660" spans="2:60" ht="14.15" customHeight="1" x14ac:dyDescent="0.4">
      <c r="B660" s="160"/>
      <c r="C660" s="160"/>
      <c r="D660" s="198"/>
      <c r="E660" s="207"/>
      <c r="F660" s="208"/>
      <c r="G660" s="172"/>
      <c r="H660" s="74"/>
      <c r="I660" s="63"/>
      <c r="J660" s="63"/>
      <c r="K660" s="63"/>
      <c r="L660" s="33"/>
      <c r="M660" s="14"/>
      <c r="N660" s="15"/>
      <c r="O660" s="15"/>
      <c r="P660" s="15"/>
      <c r="AG660" s="15"/>
      <c r="AH660" s="15"/>
      <c r="AI660" s="15"/>
      <c r="AJ660" s="15"/>
      <c r="AK660" s="15"/>
      <c r="AL660" s="15"/>
      <c r="AM660" s="15"/>
      <c r="AN660" s="15"/>
      <c r="AO660" s="15"/>
      <c r="AP660" s="3"/>
      <c r="AQ660" s="3"/>
      <c r="AR660" s="3"/>
      <c r="AS660" s="15"/>
      <c r="AT660" s="3"/>
      <c r="AU660" s="3"/>
      <c r="AV660" s="15"/>
      <c r="AW660" s="3"/>
      <c r="AX660" s="3"/>
      <c r="AY660" s="3"/>
      <c r="AZ660" s="3"/>
      <c r="BF660" s="3"/>
      <c r="BG660" s="3"/>
      <c r="BH660" s="15"/>
    </row>
    <row r="661" spans="2:60" ht="14.15" customHeight="1" x14ac:dyDescent="0.4">
      <c r="B661" s="196"/>
      <c r="C661" s="196"/>
      <c r="D661" s="197" t="s">
        <v>220</v>
      </c>
      <c r="E661" s="199" t="s">
        <v>319</v>
      </c>
      <c r="F661" s="199"/>
      <c r="G661" s="170">
        <v>70</v>
      </c>
      <c r="H661" s="72"/>
      <c r="I661" s="63"/>
      <c r="J661" s="64"/>
      <c r="K661" s="64"/>
      <c r="L661" s="33"/>
      <c r="M661" s="14"/>
      <c r="N661" s="15"/>
      <c r="O661" s="15"/>
      <c r="P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3"/>
      <c r="AQ661" s="3"/>
      <c r="AR661" s="3"/>
      <c r="AS661" s="15"/>
      <c r="AT661" s="3"/>
      <c r="AU661" s="3"/>
      <c r="AV661" s="15"/>
      <c r="AW661" s="3"/>
      <c r="AX661" s="3"/>
      <c r="AY661" s="3"/>
      <c r="AZ661" s="3"/>
      <c r="BF661" s="3"/>
      <c r="BG661" s="3"/>
      <c r="BH661" s="15"/>
    </row>
    <row r="662" spans="2:60" ht="14.15" customHeight="1" x14ac:dyDescent="0.4">
      <c r="B662" s="196"/>
      <c r="C662" s="196"/>
      <c r="D662" s="198"/>
      <c r="E662" s="199"/>
      <c r="F662" s="199"/>
      <c r="G662" s="171"/>
      <c r="H662" s="73"/>
      <c r="I662" s="63"/>
      <c r="J662" s="63"/>
      <c r="K662" s="63"/>
      <c r="L662" s="33"/>
      <c r="M662" s="14"/>
      <c r="N662" s="15"/>
      <c r="O662" s="15"/>
      <c r="P662" s="15"/>
      <c r="AV662" s="15"/>
      <c r="AW662" s="3"/>
      <c r="AX662" s="3"/>
      <c r="AY662" s="3"/>
      <c r="AZ662" s="3"/>
      <c r="BA662" s="3"/>
      <c r="BB662" s="90"/>
      <c r="BC662" s="91"/>
      <c r="BD662" s="15"/>
      <c r="BF662" s="3"/>
      <c r="BG662" s="3"/>
      <c r="BH662" s="15"/>
    </row>
    <row r="663" spans="2:60" ht="14.15" customHeight="1" x14ac:dyDescent="0.4">
      <c r="B663" s="196"/>
      <c r="C663" s="196"/>
      <c r="D663" s="198"/>
      <c r="E663" s="199"/>
      <c r="F663" s="199"/>
      <c r="G663" s="172"/>
      <c r="H663" s="74"/>
      <c r="I663" s="63"/>
      <c r="J663" s="63"/>
      <c r="K663" s="63"/>
      <c r="L663" s="33"/>
      <c r="M663" s="14"/>
      <c r="N663" s="15"/>
      <c r="O663" s="15"/>
      <c r="P663" s="15"/>
      <c r="AG663" s="15"/>
      <c r="AH663" s="15"/>
      <c r="AI663" s="15"/>
      <c r="AJ663" s="15"/>
      <c r="AK663" s="15"/>
      <c r="AL663" s="15"/>
      <c r="AM663" s="15"/>
      <c r="AN663" s="15"/>
      <c r="AO663" s="15"/>
      <c r="AP663" s="3"/>
      <c r="AQ663" s="3"/>
      <c r="AR663" s="3"/>
      <c r="AS663" s="15"/>
      <c r="AT663" s="3"/>
      <c r="AU663" s="3"/>
      <c r="AV663" s="3"/>
      <c r="AW663" s="3"/>
      <c r="AX663" s="3"/>
      <c r="AY663" s="3"/>
      <c r="AZ663" s="3"/>
      <c r="BF663" s="3"/>
      <c r="BG663" s="3"/>
      <c r="BH663" s="15"/>
    </row>
    <row r="664" spans="2:60" ht="18.75" customHeight="1" x14ac:dyDescent="0.4">
      <c r="B664" s="125" t="s">
        <v>320</v>
      </c>
      <c r="C664" s="128" t="s">
        <v>321</v>
      </c>
      <c r="D664" s="129"/>
      <c r="E664" s="129"/>
      <c r="F664" s="130"/>
      <c r="G664" s="182">
        <f>I664*250</f>
        <v>92000</v>
      </c>
      <c r="H664" s="140"/>
      <c r="I664" s="143">
        <f>SUM(H667:H720)</f>
        <v>368</v>
      </c>
      <c r="J664" s="33"/>
      <c r="K664" s="33"/>
      <c r="L664" s="155">
        <f>SUM(K667:K720)</f>
        <v>103546</v>
      </c>
      <c r="M664" s="14"/>
      <c r="N664" s="15"/>
      <c r="O664" s="15"/>
      <c r="P664" s="15"/>
      <c r="AG664" s="15"/>
      <c r="AH664" s="15"/>
      <c r="AI664" s="15"/>
      <c r="AJ664" s="15"/>
      <c r="AK664" s="15"/>
      <c r="AL664" s="15"/>
      <c r="AM664" s="15"/>
      <c r="AN664" s="15"/>
      <c r="AO664" s="15"/>
      <c r="AP664" s="15"/>
      <c r="AQ664" s="15"/>
      <c r="AR664" s="15"/>
      <c r="AS664" s="15"/>
      <c r="AT664" s="15"/>
      <c r="AU664" s="15"/>
      <c r="AV664" s="15"/>
      <c r="AW664" s="15"/>
      <c r="AX664" s="15"/>
      <c r="AY664" s="15"/>
      <c r="AZ664" s="15"/>
      <c r="BF664" s="15"/>
      <c r="BG664" s="15"/>
      <c r="BH664" s="15"/>
    </row>
    <row r="665" spans="2:60" ht="18.75" customHeight="1" x14ac:dyDescent="0.4">
      <c r="B665" s="126"/>
      <c r="C665" s="131"/>
      <c r="D665" s="132"/>
      <c r="E665" s="132"/>
      <c r="F665" s="133"/>
      <c r="G665" s="183"/>
      <c r="H665" s="141"/>
      <c r="I665" s="143"/>
      <c r="J665" s="33"/>
      <c r="K665" s="33"/>
      <c r="L665" s="155"/>
      <c r="M665" s="14"/>
      <c r="N665" s="15"/>
      <c r="O665" s="15"/>
      <c r="P665" s="15"/>
      <c r="AG665" s="15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R665" s="15"/>
      <c r="AS665" s="15"/>
      <c r="AT665" s="15"/>
      <c r="AU665" s="15"/>
      <c r="AV665" s="15"/>
      <c r="AW665" s="15"/>
      <c r="AX665" s="15"/>
      <c r="AY665" s="15"/>
      <c r="AZ665" s="15"/>
      <c r="BA665" s="56"/>
      <c r="BB665" s="57"/>
      <c r="BC665" s="57"/>
      <c r="BD665" s="58"/>
      <c r="BF665" s="3"/>
      <c r="BG665" s="3"/>
      <c r="BH665" s="3"/>
    </row>
    <row r="666" spans="2:60" ht="21" customHeight="1" x14ac:dyDescent="0.4">
      <c r="B666" s="127"/>
      <c r="C666" s="134"/>
      <c r="D666" s="135"/>
      <c r="E666" s="135"/>
      <c r="F666" s="136"/>
      <c r="G666" s="183"/>
      <c r="H666" s="141"/>
      <c r="I666" s="143"/>
      <c r="J666" s="33"/>
      <c r="K666" s="33"/>
      <c r="L666" s="155"/>
      <c r="M666" s="14"/>
      <c r="N666" s="15"/>
      <c r="O666" s="15"/>
      <c r="P666" s="15"/>
      <c r="AG666" s="15"/>
      <c r="AH666" s="15"/>
      <c r="AI666" s="15"/>
      <c r="AJ666" s="15"/>
      <c r="AK666" s="15"/>
      <c r="AL666" s="15"/>
      <c r="AM666" s="15"/>
      <c r="AN666" s="15"/>
      <c r="AO666" s="15"/>
      <c r="AP666" s="15"/>
      <c r="AQ666" s="15"/>
      <c r="AR666" s="15"/>
      <c r="AS666" s="15"/>
      <c r="AT666" s="15"/>
      <c r="AU666" s="15"/>
      <c r="AV666" s="15"/>
      <c r="AW666" s="15"/>
      <c r="AX666" s="15"/>
      <c r="AY666" s="15"/>
      <c r="AZ666" s="15"/>
      <c r="BF666" s="15"/>
      <c r="BG666" s="15"/>
      <c r="BH666" s="15"/>
    </row>
    <row r="667" spans="2:60" ht="15" customHeight="1" x14ac:dyDescent="0.4">
      <c r="B667" s="106"/>
      <c r="C667" s="184" t="s">
        <v>25</v>
      </c>
      <c r="D667" s="187" t="s">
        <v>322</v>
      </c>
      <c r="E667" s="188"/>
      <c r="F667" s="189"/>
      <c r="G667" s="45"/>
      <c r="H667" s="121">
        <f>SUM(G670:G681)</f>
        <v>60</v>
      </c>
      <c r="I667" s="33"/>
      <c r="J667" s="33"/>
      <c r="K667" s="124">
        <f>H667*$J$8</f>
        <v>16882.5</v>
      </c>
      <c r="L667" s="33"/>
      <c r="M667" s="14"/>
      <c r="N667" s="3"/>
      <c r="O667" s="15"/>
      <c r="P667" s="15"/>
      <c r="AG667" s="15"/>
      <c r="AH667" s="15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15"/>
      <c r="AU667" s="15"/>
      <c r="AV667" s="15"/>
      <c r="AW667" s="15"/>
      <c r="AX667" s="15"/>
      <c r="AY667" s="15"/>
      <c r="AZ667" s="15"/>
      <c r="BF667" s="3"/>
      <c r="BG667" s="3"/>
      <c r="BH667" s="3"/>
    </row>
    <row r="668" spans="2:60" ht="15" customHeight="1" x14ac:dyDescent="0.4">
      <c r="B668" s="156"/>
      <c r="C668" s="201"/>
      <c r="D668" s="190"/>
      <c r="E668" s="191"/>
      <c r="F668" s="192"/>
      <c r="G668" s="51"/>
      <c r="H668" s="122"/>
      <c r="I668" s="33"/>
      <c r="J668" s="33"/>
      <c r="K668" s="124"/>
      <c r="L668" s="33"/>
      <c r="M668" s="14"/>
      <c r="N668" s="15"/>
      <c r="O668" s="15"/>
      <c r="P668" s="15"/>
      <c r="AG668" s="15"/>
      <c r="AH668" s="15"/>
      <c r="AI668" s="15"/>
      <c r="AJ668" s="15"/>
      <c r="AK668" s="15"/>
      <c r="AL668" s="15"/>
      <c r="AM668" s="15"/>
      <c r="AN668" s="15"/>
      <c r="AV668" s="15"/>
      <c r="AW668" s="15"/>
      <c r="AX668" s="15"/>
      <c r="AY668" s="15"/>
      <c r="AZ668" s="15"/>
      <c r="BA668" s="97"/>
      <c r="BB668" s="95"/>
      <c r="BC668" s="95"/>
      <c r="BD668" s="96"/>
      <c r="BF668" s="3"/>
      <c r="BG668" s="3"/>
      <c r="BH668" s="3"/>
    </row>
    <row r="669" spans="2:60" ht="15" customHeight="1" x14ac:dyDescent="0.4">
      <c r="B669" s="157"/>
      <c r="C669" s="202"/>
      <c r="D669" s="193"/>
      <c r="E669" s="194"/>
      <c r="F669" s="195"/>
      <c r="G669" s="51"/>
      <c r="H669" s="123"/>
      <c r="I669" s="33"/>
      <c r="J669" s="33"/>
      <c r="K669" s="124"/>
      <c r="L669" s="33"/>
      <c r="M669" s="14"/>
      <c r="N669" s="15"/>
      <c r="O669" s="15"/>
      <c r="P669" s="15"/>
      <c r="AG669" s="15"/>
      <c r="AH669" s="15"/>
      <c r="AI669" s="15"/>
      <c r="AJ669" s="15"/>
      <c r="AK669" s="15"/>
      <c r="AL669" s="3"/>
      <c r="AM669" s="3"/>
      <c r="AN669" s="3"/>
      <c r="AO669" s="3"/>
      <c r="AP669" s="3"/>
      <c r="AQ669" s="3"/>
      <c r="AR669" s="3"/>
      <c r="AS669" s="3"/>
      <c r="AT669" s="15"/>
      <c r="AU669" s="15"/>
      <c r="AV669" s="15"/>
      <c r="AW669" s="15"/>
      <c r="AX669" s="15"/>
      <c r="AY669" s="15"/>
      <c r="AZ669" s="15"/>
      <c r="BF669" s="3"/>
      <c r="BG669" s="3"/>
      <c r="BH669" s="15"/>
    </row>
    <row r="670" spans="2:60" ht="15" customHeight="1" x14ac:dyDescent="0.4">
      <c r="B670" s="196"/>
      <c r="C670" s="196"/>
      <c r="D670" s="197" t="s">
        <v>100</v>
      </c>
      <c r="E670" s="200" t="s">
        <v>323</v>
      </c>
      <c r="F670" s="200"/>
      <c r="G670" s="170">
        <v>15</v>
      </c>
      <c r="I670" s="63"/>
      <c r="J670" s="64"/>
      <c r="K670" s="64"/>
      <c r="L670" s="33"/>
      <c r="M670" s="14"/>
      <c r="N670" s="15"/>
      <c r="O670" s="15"/>
      <c r="P670" s="15"/>
      <c r="AG670" s="15"/>
      <c r="AH670" s="15"/>
      <c r="AI670" s="15"/>
      <c r="AJ670" s="15"/>
      <c r="AK670" s="15"/>
      <c r="AL670" s="15"/>
      <c r="AM670" s="15"/>
      <c r="AN670" s="15"/>
      <c r="AO670" s="15"/>
      <c r="AP670" s="3"/>
      <c r="AQ670" s="3"/>
      <c r="AR670" s="3"/>
      <c r="AS670" s="15"/>
      <c r="AT670" s="3"/>
      <c r="AU670" s="3"/>
      <c r="AV670" s="3"/>
      <c r="AW670" s="3"/>
      <c r="AX670" s="3"/>
      <c r="AY670" s="15"/>
      <c r="AZ670" s="15"/>
      <c r="BF670" s="3"/>
      <c r="BG670" s="3"/>
      <c r="BH670" s="15"/>
    </row>
    <row r="671" spans="2:60" ht="15" customHeight="1" x14ac:dyDescent="0.4">
      <c r="B671" s="196"/>
      <c r="C671" s="196"/>
      <c r="D671" s="198"/>
      <c r="E671" s="200"/>
      <c r="F671" s="200"/>
      <c r="G671" s="171"/>
      <c r="I671" s="63"/>
      <c r="J671" s="63"/>
      <c r="K671" s="63"/>
      <c r="L671" s="33"/>
      <c r="M671" s="14"/>
      <c r="N671" s="15"/>
      <c r="O671" s="15"/>
      <c r="P671" s="15"/>
      <c r="AV671" s="3"/>
      <c r="AW671" s="3"/>
      <c r="AX671" s="3"/>
      <c r="AY671" s="15"/>
      <c r="AZ671" s="15"/>
      <c r="BA671" s="90"/>
      <c r="BB671" s="91"/>
      <c r="BF671" s="3"/>
      <c r="BG671" s="3"/>
      <c r="BH671" s="15"/>
    </row>
    <row r="672" spans="2:60" ht="15" customHeight="1" x14ac:dyDescent="0.4">
      <c r="B672" s="196"/>
      <c r="C672" s="196"/>
      <c r="D672" s="198"/>
      <c r="E672" s="200"/>
      <c r="F672" s="200"/>
      <c r="G672" s="172"/>
      <c r="I672" s="63"/>
      <c r="J672" s="63"/>
      <c r="K672" s="63"/>
      <c r="L672" s="33"/>
      <c r="M672" s="14"/>
      <c r="N672" s="15"/>
      <c r="O672" s="15"/>
      <c r="P672" s="15"/>
      <c r="AG672" s="15"/>
      <c r="AH672" s="15"/>
      <c r="AI672" s="15"/>
      <c r="AJ672" s="15"/>
      <c r="AK672" s="15"/>
      <c r="AL672" s="15"/>
      <c r="AM672" s="15"/>
      <c r="AN672" s="15"/>
      <c r="AO672" s="15"/>
      <c r="AP672" s="3"/>
      <c r="AQ672" s="3"/>
      <c r="AR672" s="3"/>
      <c r="AS672" s="15"/>
      <c r="AT672" s="3"/>
      <c r="AU672" s="3"/>
      <c r="AV672" s="3"/>
      <c r="AW672" s="3"/>
      <c r="AX672" s="3"/>
      <c r="AY672" s="15"/>
      <c r="AZ672" s="15"/>
      <c r="BF672" s="3"/>
      <c r="BG672" s="3"/>
      <c r="BH672" s="15"/>
    </row>
    <row r="673" spans="2:60" ht="15" customHeight="1" x14ac:dyDescent="0.4">
      <c r="B673" s="196"/>
      <c r="C673" s="196"/>
      <c r="D673" s="197" t="s">
        <v>102</v>
      </c>
      <c r="E673" s="200" t="s">
        <v>324</v>
      </c>
      <c r="F673" s="200"/>
      <c r="G673" s="170">
        <v>15</v>
      </c>
      <c r="I673" s="63"/>
      <c r="J673" s="64"/>
      <c r="K673" s="64"/>
      <c r="L673" s="33"/>
      <c r="M673" s="14"/>
      <c r="N673" s="15"/>
      <c r="O673" s="15"/>
      <c r="P673" s="15"/>
      <c r="AG673" s="15"/>
      <c r="AH673" s="15"/>
      <c r="AI673" s="15"/>
      <c r="AJ673" s="15"/>
      <c r="AK673" s="15"/>
      <c r="AL673" s="15"/>
      <c r="AM673" s="15"/>
      <c r="AN673" s="15"/>
      <c r="AO673" s="15"/>
      <c r="AP673" s="3"/>
      <c r="AQ673" s="3"/>
      <c r="AR673" s="3"/>
      <c r="AS673" s="15"/>
      <c r="AT673" s="3"/>
      <c r="AU673" s="3"/>
      <c r="AV673" s="3"/>
      <c r="AW673" s="3"/>
      <c r="AX673" s="3"/>
      <c r="AY673" s="15"/>
      <c r="AZ673" s="15"/>
      <c r="BF673" s="3"/>
      <c r="BG673" s="3"/>
      <c r="BH673" s="15"/>
    </row>
    <row r="674" spans="2:60" ht="15" customHeight="1" x14ac:dyDescent="0.4">
      <c r="B674" s="196"/>
      <c r="C674" s="196"/>
      <c r="D674" s="198"/>
      <c r="E674" s="200"/>
      <c r="F674" s="200"/>
      <c r="G674" s="171"/>
      <c r="I674" s="63"/>
      <c r="J674" s="63"/>
      <c r="K674" s="63"/>
      <c r="L674" s="33"/>
      <c r="M674" s="14"/>
      <c r="N674" s="15"/>
      <c r="O674" s="15"/>
      <c r="P674" s="15"/>
      <c r="AV674" s="3"/>
      <c r="AW674" s="3"/>
      <c r="AX674" s="3"/>
      <c r="AY674" s="15"/>
      <c r="AZ674" s="15"/>
      <c r="BA674" s="90"/>
      <c r="BB674" s="91"/>
      <c r="BF674" s="3"/>
      <c r="BG674" s="3"/>
      <c r="BH674" s="15"/>
    </row>
    <row r="675" spans="2:60" ht="15" customHeight="1" x14ac:dyDescent="0.4">
      <c r="B675" s="196"/>
      <c r="C675" s="196"/>
      <c r="D675" s="198"/>
      <c r="E675" s="200"/>
      <c r="F675" s="200"/>
      <c r="G675" s="172"/>
      <c r="I675" s="63"/>
      <c r="J675" s="63"/>
      <c r="K675" s="63"/>
      <c r="L675" s="33"/>
      <c r="M675" s="14"/>
      <c r="N675" s="15"/>
      <c r="O675" s="15"/>
      <c r="P675" s="15"/>
      <c r="AG675" s="15"/>
      <c r="AH675" s="15"/>
      <c r="AI675" s="15"/>
      <c r="AJ675" s="15"/>
      <c r="AK675" s="15"/>
      <c r="AL675" s="15"/>
      <c r="AM675" s="15"/>
      <c r="AN675" s="15"/>
      <c r="AO675" s="15"/>
      <c r="AP675" s="3"/>
      <c r="AQ675" s="3"/>
      <c r="AR675" s="3"/>
      <c r="AS675" s="15"/>
      <c r="AT675" s="3"/>
      <c r="AU675" s="3"/>
      <c r="AV675" s="3"/>
      <c r="AW675" s="3"/>
      <c r="AX675" s="3"/>
      <c r="AY675" s="15"/>
      <c r="AZ675" s="15"/>
      <c r="BF675" s="3"/>
      <c r="BG675" s="3"/>
      <c r="BH675" s="15"/>
    </row>
    <row r="676" spans="2:60" ht="15" customHeight="1" x14ac:dyDescent="0.4">
      <c r="B676" s="196"/>
      <c r="C676" s="196"/>
      <c r="D676" s="197" t="s">
        <v>104</v>
      </c>
      <c r="E676" s="200" t="s">
        <v>325</v>
      </c>
      <c r="F676" s="200"/>
      <c r="G676" s="170">
        <v>15</v>
      </c>
      <c r="I676" s="63"/>
      <c r="J676" s="64"/>
      <c r="K676" s="64"/>
      <c r="L676" s="33"/>
      <c r="M676" s="14"/>
      <c r="N676" s="15"/>
      <c r="O676" s="15"/>
      <c r="P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3"/>
      <c r="AQ676" s="3"/>
      <c r="AR676" s="3"/>
      <c r="AS676" s="15"/>
      <c r="AT676" s="3"/>
      <c r="AU676" s="3"/>
      <c r="AV676" s="3"/>
      <c r="AW676" s="3"/>
      <c r="AX676" s="3"/>
      <c r="AY676" s="15"/>
      <c r="AZ676" s="15"/>
      <c r="BF676" s="3"/>
      <c r="BG676" s="3"/>
      <c r="BH676" s="15"/>
    </row>
    <row r="677" spans="2:60" ht="15" customHeight="1" x14ac:dyDescent="0.4">
      <c r="B677" s="196"/>
      <c r="C677" s="196"/>
      <c r="D677" s="198"/>
      <c r="E677" s="200"/>
      <c r="F677" s="200"/>
      <c r="G677" s="171"/>
      <c r="I677" s="63"/>
      <c r="J677" s="63"/>
      <c r="K677" s="63"/>
      <c r="L677" s="33"/>
      <c r="M677" s="14"/>
      <c r="N677" s="15"/>
      <c r="O677" s="15"/>
      <c r="P677" s="15"/>
      <c r="AV677" s="3"/>
      <c r="AW677" s="3"/>
      <c r="AX677" s="3"/>
      <c r="AY677" s="15"/>
      <c r="AZ677" s="15"/>
      <c r="BA677" s="15"/>
      <c r="BB677" s="90"/>
      <c r="BC677" s="91"/>
      <c r="BF677" s="3"/>
      <c r="BG677" s="3"/>
      <c r="BH677" s="15"/>
    </row>
    <row r="678" spans="2:60" ht="15" customHeight="1" x14ac:dyDescent="0.4">
      <c r="B678" s="196"/>
      <c r="C678" s="196"/>
      <c r="D678" s="198"/>
      <c r="E678" s="200"/>
      <c r="F678" s="200"/>
      <c r="G678" s="172"/>
      <c r="I678" s="63"/>
      <c r="J678" s="63"/>
      <c r="K678" s="63"/>
      <c r="L678" s="33"/>
      <c r="M678" s="14"/>
      <c r="N678" s="15"/>
      <c r="O678" s="15"/>
      <c r="P678" s="15"/>
      <c r="AG678" s="15"/>
      <c r="AH678" s="15"/>
      <c r="AI678" s="15"/>
      <c r="AJ678" s="15"/>
      <c r="AK678" s="15"/>
      <c r="AL678" s="15"/>
      <c r="AM678" s="15"/>
      <c r="AN678" s="15"/>
      <c r="AO678" s="15"/>
      <c r="AP678" s="3"/>
      <c r="AQ678" s="3"/>
      <c r="AR678" s="3"/>
      <c r="AS678" s="15"/>
      <c r="AT678" s="3"/>
      <c r="AU678" s="3"/>
      <c r="AV678" s="3"/>
      <c r="AW678" s="3"/>
      <c r="AX678" s="3"/>
      <c r="AY678" s="15"/>
      <c r="AZ678" s="15"/>
      <c r="BF678" s="3"/>
      <c r="BG678" s="3"/>
      <c r="BH678" s="15"/>
    </row>
    <row r="679" spans="2:60" ht="15" customHeight="1" x14ac:dyDescent="0.4">
      <c r="B679" s="196"/>
      <c r="C679" s="196"/>
      <c r="D679" s="197" t="s">
        <v>106</v>
      </c>
      <c r="E679" s="200" t="s">
        <v>326</v>
      </c>
      <c r="F679" s="200"/>
      <c r="G679" s="170">
        <v>15</v>
      </c>
      <c r="I679" s="63"/>
      <c r="J679" s="64"/>
      <c r="K679" s="64"/>
      <c r="L679" s="33"/>
      <c r="M679" s="14"/>
      <c r="N679" s="15"/>
      <c r="O679" s="15"/>
      <c r="P679" s="15"/>
      <c r="AG679" s="15"/>
      <c r="AH679" s="15"/>
      <c r="AI679" s="15"/>
      <c r="AJ679" s="15"/>
      <c r="AK679" s="15"/>
      <c r="AL679" s="15"/>
      <c r="AM679" s="15"/>
      <c r="AN679" s="15"/>
      <c r="AO679" s="15"/>
      <c r="AP679" s="3"/>
      <c r="AQ679" s="3"/>
      <c r="AR679" s="3"/>
      <c r="AS679" s="15"/>
      <c r="AT679" s="3"/>
      <c r="AU679" s="3"/>
      <c r="AV679" s="3"/>
      <c r="AW679" s="3"/>
      <c r="AX679" s="3"/>
      <c r="AY679" s="15"/>
      <c r="AZ679" s="15"/>
      <c r="BF679" s="3"/>
      <c r="BG679" s="3"/>
      <c r="BH679" s="15"/>
    </row>
    <row r="680" spans="2:60" ht="15" customHeight="1" x14ac:dyDescent="0.4">
      <c r="B680" s="196"/>
      <c r="C680" s="196"/>
      <c r="D680" s="198"/>
      <c r="E680" s="200"/>
      <c r="F680" s="200"/>
      <c r="G680" s="171"/>
      <c r="I680" s="63"/>
      <c r="J680" s="63"/>
      <c r="K680" s="63"/>
      <c r="L680" s="33"/>
      <c r="M680" s="14"/>
      <c r="N680" s="15"/>
      <c r="O680" s="15"/>
      <c r="P680" s="15"/>
      <c r="AV680" s="3"/>
      <c r="AW680" s="3"/>
      <c r="AX680" s="3"/>
      <c r="AY680" s="3"/>
      <c r="AZ680" s="3"/>
      <c r="BA680" s="3"/>
      <c r="BB680" s="3"/>
      <c r="BC680" s="90"/>
      <c r="BD680" s="91"/>
      <c r="BF680" s="3"/>
      <c r="BG680" s="3"/>
      <c r="BH680" s="15"/>
    </row>
    <row r="681" spans="2:60" ht="15" customHeight="1" x14ac:dyDescent="0.4">
      <c r="B681" s="196"/>
      <c r="C681" s="196"/>
      <c r="D681" s="198"/>
      <c r="E681" s="200"/>
      <c r="F681" s="200"/>
      <c r="G681" s="172"/>
      <c r="I681" s="63"/>
      <c r="J681" s="63"/>
      <c r="K681" s="63"/>
      <c r="L681" s="33"/>
      <c r="M681" s="14"/>
      <c r="N681" s="15"/>
      <c r="O681" s="15"/>
      <c r="P681" s="15"/>
      <c r="AG681" s="15"/>
      <c r="AH681" s="15"/>
      <c r="AI681" s="15"/>
      <c r="AJ681" s="15"/>
      <c r="AK681" s="15"/>
      <c r="AL681" s="15"/>
      <c r="AM681" s="15"/>
      <c r="AN681" s="15"/>
      <c r="AO681" s="15"/>
      <c r="AP681" s="3"/>
      <c r="AQ681" s="3"/>
      <c r="AR681" s="3"/>
      <c r="AS681" s="15"/>
      <c r="AT681" s="3"/>
      <c r="AU681" s="3"/>
      <c r="AV681" s="3"/>
      <c r="AW681" s="3"/>
      <c r="AX681" s="3"/>
      <c r="AY681" s="15"/>
      <c r="AZ681" s="15"/>
      <c r="BF681" s="3"/>
      <c r="BG681" s="3"/>
      <c r="BH681" s="15"/>
    </row>
    <row r="682" spans="2:60" ht="15" customHeight="1" x14ac:dyDescent="0.4">
      <c r="B682" s="106"/>
      <c r="C682" s="184" t="s">
        <v>27</v>
      </c>
      <c r="D682" s="187" t="s">
        <v>327</v>
      </c>
      <c r="E682" s="188"/>
      <c r="F682" s="189"/>
      <c r="G682" s="45"/>
      <c r="H682" s="121">
        <f>SUM(G685:G690)</f>
        <v>84</v>
      </c>
      <c r="I682" s="63"/>
      <c r="J682" s="33"/>
      <c r="K682" s="124">
        <f>H682*$J$8</f>
        <v>23635.5</v>
      </c>
      <c r="L682" s="33"/>
      <c r="M682" s="14"/>
      <c r="N682" s="3"/>
      <c r="O682" s="15"/>
      <c r="P682" s="15"/>
      <c r="AG682" s="15"/>
      <c r="AH682" s="15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15"/>
      <c r="AU682" s="15"/>
      <c r="AV682" s="15"/>
      <c r="AW682" s="3"/>
      <c r="AX682" s="3"/>
      <c r="AY682" s="15"/>
      <c r="AZ682" s="15"/>
      <c r="BF682" s="3"/>
      <c r="BG682" s="3"/>
      <c r="BH682" s="3"/>
    </row>
    <row r="683" spans="2:60" ht="15" customHeight="1" x14ac:dyDescent="0.4">
      <c r="B683" s="156"/>
      <c r="C683" s="201"/>
      <c r="D683" s="190"/>
      <c r="E683" s="191"/>
      <c r="F683" s="192"/>
      <c r="G683" s="51"/>
      <c r="H683" s="122"/>
      <c r="I683" s="63"/>
      <c r="J683" s="33"/>
      <c r="K683" s="124"/>
      <c r="L683" s="33"/>
      <c r="M683" s="14"/>
      <c r="N683" s="15"/>
      <c r="O683" s="15"/>
      <c r="P683" s="15"/>
      <c r="AG683" s="15"/>
      <c r="AH683" s="15"/>
      <c r="AI683" s="15"/>
      <c r="AJ683" s="15"/>
      <c r="AK683" s="15"/>
      <c r="AL683" s="15"/>
      <c r="AM683" s="15"/>
      <c r="AN683" s="15"/>
      <c r="AT683" s="15"/>
      <c r="AU683" s="15"/>
      <c r="AV683" s="15"/>
      <c r="AW683" s="15"/>
      <c r="AX683" s="15"/>
      <c r="AY683" s="15"/>
      <c r="AZ683" s="15"/>
      <c r="BA683" s="97"/>
      <c r="BB683" s="95"/>
      <c r="BC683" s="95"/>
      <c r="BD683" s="96"/>
      <c r="BF683" s="3"/>
      <c r="BG683" s="3"/>
      <c r="BH683" s="3"/>
    </row>
    <row r="684" spans="2:60" ht="15" customHeight="1" x14ac:dyDescent="0.4">
      <c r="B684" s="157"/>
      <c r="C684" s="202"/>
      <c r="D684" s="193"/>
      <c r="E684" s="194"/>
      <c r="F684" s="195"/>
      <c r="G684" s="51"/>
      <c r="H684" s="123"/>
      <c r="I684" s="63"/>
      <c r="J684" s="33"/>
      <c r="K684" s="124"/>
      <c r="L684" s="33"/>
      <c r="M684" s="14"/>
      <c r="N684" s="15"/>
      <c r="O684" s="15"/>
      <c r="P684" s="15"/>
      <c r="AG684" s="15"/>
      <c r="AH684" s="15"/>
      <c r="AI684" s="15"/>
      <c r="AJ684" s="15"/>
      <c r="AK684" s="15"/>
      <c r="AL684" s="3"/>
      <c r="AM684" s="3"/>
      <c r="AN684" s="3"/>
      <c r="AO684" s="3"/>
      <c r="AP684" s="3"/>
      <c r="AQ684" s="3"/>
      <c r="AR684" s="3"/>
      <c r="AS684" s="3"/>
      <c r="AT684" s="15"/>
      <c r="AU684" s="15"/>
      <c r="AV684" s="15"/>
      <c r="AW684" s="15"/>
      <c r="AX684" s="15"/>
      <c r="AY684" s="15"/>
      <c r="AZ684" s="15"/>
      <c r="BF684" s="3"/>
      <c r="BG684" s="3"/>
      <c r="BH684" s="15"/>
    </row>
    <row r="685" spans="2:60" ht="15" customHeight="1" x14ac:dyDescent="0.4">
      <c r="B685" s="196"/>
      <c r="C685" s="196"/>
      <c r="D685" s="197" t="s">
        <v>109</v>
      </c>
      <c r="E685" s="200" t="s">
        <v>327</v>
      </c>
      <c r="F685" s="200"/>
      <c r="G685" s="170">
        <v>42</v>
      </c>
      <c r="H685" s="63"/>
      <c r="I685" s="63"/>
      <c r="J685" s="64"/>
      <c r="K685" s="64"/>
      <c r="L685" s="33"/>
      <c r="M685" s="14"/>
      <c r="N685" s="15"/>
      <c r="O685" s="15"/>
      <c r="P685" s="15"/>
      <c r="AG685" s="15"/>
      <c r="AH685" s="15"/>
      <c r="AI685" s="15"/>
      <c r="AJ685" s="15"/>
      <c r="AK685" s="15"/>
      <c r="AL685" s="15"/>
      <c r="AM685" s="15"/>
      <c r="AN685" s="15"/>
      <c r="AO685" s="15"/>
      <c r="AP685" s="3"/>
      <c r="AQ685" s="3"/>
      <c r="AR685" s="3"/>
      <c r="AS685" s="15"/>
      <c r="AT685" s="15"/>
      <c r="AU685" s="15"/>
      <c r="AV685" s="15"/>
      <c r="AW685" s="15"/>
      <c r="AX685" s="15"/>
      <c r="AY685" s="15"/>
      <c r="AZ685" s="15"/>
      <c r="BF685" s="3"/>
      <c r="BG685" s="3"/>
      <c r="BH685" s="15"/>
    </row>
    <row r="686" spans="2:60" ht="15" customHeight="1" x14ac:dyDescent="0.4">
      <c r="B686" s="196"/>
      <c r="C686" s="196"/>
      <c r="D686" s="198"/>
      <c r="E686" s="200"/>
      <c r="F686" s="200"/>
      <c r="G686" s="171"/>
      <c r="H686" s="63"/>
      <c r="I686" s="63"/>
      <c r="J686" s="63"/>
      <c r="K686" s="63"/>
      <c r="L686" s="33"/>
      <c r="M686" s="14"/>
      <c r="N686" s="15"/>
      <c r="O686" s="15"/>
      <c r="P686" s="15"/>
      <c r="AV686" s="15"/>
      <c r="AW686" s="15"/>
      <c r="AX686" s="15"/>
      <c r="AY686" s="15"/>
      <c r="AZ686" s="15"/>
      <c r="BA686" s="90"/>
      <c r="BB686" s="91"/>
      <c r="BF686" s="3"/>
      <c r="BG686" s="3"/>
      <c r="BH686" s="15"/>
    </row>
    <row r="687" spans="2:60" ht="15" customHeight="1" x14ac:dyDescent="0.4">
      <c r="B687" s="196"/>
      <c r="C687" s="196"/>
      <c r="D687" s="198"/>
      <c r="E687" s="200"/>
      <c r="F687" s="200"/>
      <c r="G687" s="172"/>
      <c r="H687" s="63"/>
      <c r="I687" s="63"/>
      <c r="J687" s="63"/>
      <c r="K687" s="63"/>
      <c r="L687" s="33"/>
      <c r="M687" s="14"/>
      <c r="N687" s="15"/>
      <c r="O687" s="15"/>
      <c r="P687" s="15"/>
      <c r="AG687" s="15"/>
      <c r="AH687" s="15"/>
      <c r="AI687" s="15"/>
      <c r="AJ687" s="15"/>
      <c r="AK687" s="15"/>
      <c r="AL687" s="15"/>
      <c r="AM687" s="15"/>
      <c r="AN687" s="15"/>
      <c r="AO687" s="15"/>
      <c r="AP687" s="3"/>
      <c r="AQ687" s="3"/>
      <c r="AR687" s="3"/>
      <c r="AS687" s="15"/>
      <c r="AT687" s="15"/>
      <c r="AU687" s="15"/>
      <c r="AV687" s="15"/>
      <c r="AW687" s="15"/>
      <c r="AX687" s="15"/>
      <c r="AY687" s="15"/>
      <c r="AZ687" s="15"/>
      <c r="BF687" s="3"/>
      <c r="BG687" s="3"/>
      <c r="BH687" s="15"/>
    </row>
    <row r="688" spans="2:60" ht="15" customHeight="1" x14ac:dyDescent="0.4">
      <c r="B688" s="196"/>
      <c r="C688" s="196"/>
      <c r="D688" s="197" t="s">
        <v>111</v>
      </c>
      <c r="E688" s="200" t="s">
        <v>328</v>
      </c>
      <c r="F688" s="200"/>
      <c r="G688" s="170">
        <v>42</v>
      </c>
      <c r="H688" s="63"/>
      <c r="I688" s="63"/>
      <c r="J688" s="64"/>
      <c r="K688" s="64"/>
      <c r="L688" s="33"/>
      <c r="M688" s="14"/>
      <c r="N688" s="15"/>
      <c r="O688" s="15"/>
      <c r="P688" s="15"/>
      <c r="AG688" s="15"/>
      <c r="AH688" s="15"/>
      <c r="AI688" s="15"/>
      <c r="AJ688" s="15"/>
      <c r="AK688" s="15"/>
      <c r="AL688" s="15"/>
      <c r="AM688" s="15"/>
      <c r="AN688" s="15"/>
      <c r="AO688" s="15"/>
      <c r="AP688" s="3"/>
      <c r="AQ688" s="3"/>
      <c r="AR688" s="3"/>
      <c r="AS688" s="15"/>
      <c r="AT688" s="3"/>
      <c r="AU688" s="3"/>
      <c r="AV688" s="3"/>
      <c r="AW688" s="3"/>
      <c r="AX688" s="3"/>
      <c r="AY688" s="15"/>
      <c r="AZ688" s="15"/>
      <c r="BF688" s="3"/>
      <c r="BG688" s="3"/>
      <c r="BH688" s="15"/>
    </row>
    <row r="689" spans="2:60" ht="15" customHeight="1" x14ac:dyDescent="0.4">
      <c r="B689" s="196"/>
      <c r="C689" s="196"/>
      <c r="D689" s="198"/>
      <c r="E689" s="200"/>
      <c r="F689" s="200"/>
      <c r="G689" s="171"/>
      <c r="H689" s="63"/>
      <c r="I689" s="63"/>
      <c r="J689" s="63"/>
      <c r="K689" s="63"/>
      <c r="L689" s="33"/>
      <c r="M689" s="14"/>
      <c r="N689" s="15"/>
      <c r="O689" s="15"/>
      <c r="P689" s="15"/>
      <c r="AV689" s="3"/>
      <c r="AW689" s="3"/>
      <c r="AX689" s="3"/>
      <c r="AY689" s="15"/>
      <c r="AZ689" s="15"/>
      <c r="BA689" s="15"/>
      <c r="BB689" s="15"/>
      <c r="BC689" s="90"/>
      <c r="BD689" s="91"/>
      <c r="BF689" s="3"/>
      <c r="BG689" s="3"/>
      <c r="BH689" s="15"/>
    </row>
    <row r="690" spans="2:60" ht="15" customHeight="1" x14ac:dyDescent="0.4">
      <c r="B690" s="196"/>
      <c r="C690" s="196"/>
      <c r="D690" s="198"/>
      <c r="E690" s="200"/>
      <c r="F690" s="200"/>
      <c r="G690" s="172"/>
      <c r="H690" s="63"/>
      <c r="I690" s="63"/>
      <c r="J690" s="63"/>
      <c r="K690" s="63"/>
      <c r="L690" s="33"/>
      <c r="M690" s="14"/>
      <c r="N690" s="15"/>
      <c r="O690" s="15"/>
      <c r="P690" s="15"/>
      <c r="AG690" s="15"/>
      <c r="AH690" s="15"/>
      <c r="AI690" s="15"/>
      <c r="AJ690" s="15"/>
      <c r="AK690" s="15"/>
      <c r="AL690" s="15"/>
      <c r="AM690" s="15"/>
      <c r="AN690" s="15"/>
      <c r="AO690" s="15"/>
      <c r="AP690" s="3"/>
      <c r="AQ690" s="3"/>
      <c r="AR690" s="3"/>
      <c r="AS690" s="15"/>
      <c r="AT690" s="3"/>
      <c r="AU690" s="3"/>
      <c r="AV690" s="3"/>
      <c r="AW690" s="3"/>
      <c r="AX690" s="3"/>
      <c r="AY690" s="15"/>
      <c r="AZ690" s="15"/>
      <c r="BF690" s="3"/>
      <c r="BG690" s="3"/>
      <c r="BH690" s="15"/>
    </row>
    <row r="691" spans="2:60" ht="15" customHeight="1" x14ac:dyDescent="0.4">
      <c r="B691" s="106"/>
      <c r="C691" s="184" t="s">
        <v>29</v>
      </c>
      <c r="D691" s="187" t="s">
        <v>329</v>
      </c>
      <c r="E691" s="188"/>
      <c r="F691" s="189"/>
      <c r="G691" s="45"/>
      <c r="H691" s="121">
        <f>SUM(G694:G699)</f>
        <v>84</v>
      </c>
      <c r="I691" s="63"/>
      <c r="J691" s="33"/>
      <c r="K691" s="124">
        <f>H691*$J$8</f>
        <v>23635.5</v>
      </c>
      <c r="L691" s="33"/>
      <c r="M691" s="14"/>
      <c r="N691" s="3"/>
      <c r="O691" s="15"/>
      <c r="P691" s="15"/>
      <c r="AG691" s="15"/>
      <c r="AH691" s="15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15"/>
      <c r="AU691" s="15"/>
      <c r="AV691" s="15"/>
      <c r="AW691" s="3"/>
      <c r="AX691" s="3"/>
      <c r="AY691" s="15"/>
      <c r="AZ691" s="15"/>
      <c r="BF691" s="3"/>
      <c r="BG691" s="3"/>
      <c r="BH691" s="3"/>
    </row>
    <row r="692" spans="2:60" ht="15" customHeight="1" x14ac:dyDescent="0.4">
      <c r="B692" s="156"/>
      <c r="C692" s="201"/>
      <c r="D692" s="190"/>
      <c r="E692" s="191"/>
      <c r="F692" s="192"/>
      <c r="G692" s="51"/>
      <c r="H692" s="122"/>
      <c r="I692" s="63"/>
      <c r="J692" s="33"/>
      <c r="K692" s="124"/>
      <c r="L692" s="33"/>
      <c r="M692" s="14"/>
      <c r="N692" s="15"/>
      <c r="O692" s="15"/>
      <c r="P692" s="15"/>
      <c r="AG692" s="15"/>
      <c r="AH692" s="15"/>
      <c r="AI692" s="15"/>
      <c r="AJ692" s="15"/>
      <c r="AK692" s="15"/>
      <c r="AL692" s="15"/>
      <c r="AM692" s="15"/>
      <c r="AN692" s="15"/>
      <c r="AT692" s="15"/>
      <c r="AU692" s="15"/>
      <c r="AV692" s="15"/>
      <c r="AW692" s="15"/>
      <c r="AX692" s="15"/>
      <c r="AY692" s="15"/>
      <c r="AZ692" s="15"/>
      <c r="BA692" s="98"/>
      <c r="BB692" s="99"/>
      <c r="BC692" s="99"/>
      <c r="BD692" s="100"/>
      <c r="BF692" s="3"/>
      <c r="BG692" s="3"/>
      <c r="BH692" s="3"/>
    </row>
    <row r="693" spans="2:60" ht="15" customHeight="1" x14ac:dyDescent="0.4">
      <c r="B693" s="157"/>
      <c r="C693" s="202"/>
      <c r="D693" s="193"/>
      <c r="E693" s="194"/>
      <c r="F693" s="195"/>
      <c r="G693" s="51"/>
      <c r="H693" s="123"/>
      <c r="I693" s="63"/>
      <c r="J693" s="33"/>
      <c r="K693" s="124"/>
      <c r="L693" s="33"/>
      <c r="M693" s="14"/>
      <c r="N693" s="15"/>
      <c r="O693" s="15"/>
      <c r="P693" s="15"/>
      <c r="AG693" s="15"/>
      <c r="AH693" s="15"/>
      <c r="AI693" s="15"/>
      <c r="AJ693" s="15"/>
      <c r="AK693" s="15"/>
      <c r="AL693" s="3"/>
      <c r="AM693" s="3"/>
      <c r="AN693" s="3"/>
      <c r="AO693" s="3"/>
      <c r="AP693" s="3"/>
      <c r="AQ693" s="3"/>
      <c r="AR693" s="3"/>
      <c r="AS693" s="3"/>
      <c r="AT693" s="15"/>
      <c r="AU693" s="15"/>
      <c r="AV693" s="15"/>
      <c r="AW693" s="3"/>
      <c r="AX693" s="3"/>
      <c r="AY693" s="15"/>
      <c r="AZ693" s="15"/>
      <c r="BF693" s="3"/>
      <c r="BG693" s="3"/>
      <c r="BH693" s="15"/>
    </row>
    <row r="694" spans="2:60" ht="14.15" customHeight="1" x14ac:dyDescent="0.4">
      <c r="B694" s="196"/>
      <c r="C694" s="196"/>
      <c r="D694" s="197" t="s">
        <v>124</v>
      </c>
      <c r="E694" s="199" t="s">
        <v>330</v>
      </c>
      <c r="F694" s="199"/>
      <c r="G694" s="170">
        <v>42</v>
      </c>
      <c r="H694" s="63"/>
      <c r="I694" s="63"/>
      <c r="J694" s="64"/>
      <c r="K694" s="64"/>
      <c r="L694" s="33"/>
      <c r="M694" s="14"/>
      <c r="N694" s="15"/>
      <c r="O694" s="15"/>
      <c r="P694" s="15"/>
      <c r="AG694" s="15"/>
      <c r="AH694" s="15"/>
      <c r="AI694" s="15"/>
      <c r="AJ694" s="15"/>
      <c r="AK694" s="15"/>
      <c r="AL694" s="15"/>
      <c r="AM694" s="15"/>
      <c r="AN694" s="15"/>
      <c r="AO694" s="15"/>
      <c r="AP694" s="3"/>
      <c r="AQ694" s="3"/>
      <c r="AR694" s="3"/>
      <c r="AS694" s="15"/>
      <c r="AT694" s="3"/>
      <c r="AU694" s="3"/>
      <c r="AV694" s="3"/>
      <c r="AW694" s="3"/>
      <c r="AX694" s="3"/>
      <c r="AY694" s="15"/>
      <c r="AZ694" s="15"/>
      <c r="BF694" s="3"/>
      <c r="BG694" s="3"/>
      <c r="BH694" s="15"/>
    </row>
    <row r="695" spans="2:60" ht="14.15" customHeight="1" x14ac:dyDescent="0.4">
      <c r="B695" s="196"/>
      <c r="C695" s="196"/>
      <c r="D695" s="198"/>
      <c r="E695" s="199"/>
      <c r="F695" s="199"/>
      <c r="G695" s="171"/>
      <c r="H695" s="63"/>
      <c r="I695" s="63"/>
      <c r="J695" s="63"/>
      <c r="K695" s="63"/>
      <c r="L695" s="33"/>
      <c r="M695" s="14"/>
      <c r="N695" s="15"/>
      <c r="O695" s="15"/>
      <c r="P695" s="15"/>
      <c r="AV695" s="3"/>
      <c r="AW695" s="3"/>
      <c r="AX695" s="3"/>
      <c r="AY695" s="15"/>
      <c r="AZ695" s="15"/>
      <c r="BA695" s="90"/>
      <c r="BB695" s="91"/>
      <c r="BF695" s="3"/>
      <c r="BG695" s="3"/>
      <c r="BH695" s="15"/>
    </row>
    <row r="696" spans="2:60" ht="14.15" customHeight="1" x14ac:dyDescent="0.4">
      <c r="B696" s="196"/>
      <c r="C696" s="196"/>
      <c r="D696" s="198"/>
      <c r="E696" s="199"/>
      <c r="F696" s="199"/>
      <c r="G696" s="172"/>
      <c r="H696" s="63"/>
      <c r="I696" s="63"/>
      <c r="J696" s="63"/>
      <c r="K696" s="63"/>
      <c r="L696" s="33"/>
      <c r="M696" s="14"/>
      <c r="N696" s="15"/>
      <c r="O696" s="15"/>
      <c r="P696" s="15"/>
      <c r="AG696" s="15"/>
      <c r="AH696" s="15"/>
      <c r="AI696" s="15"/>
      <c r="AJ696" s="15"/>
      <c r="AK696" s="15"/>
      <c r="AL696" s="15"/>
      <c r="AM696" s="15"/>
      <c r="AN696" s="15"/>
      <c r="AO696" s="15"/>
      <c r="AP696" s="3"/>
      <c r="AQ696" s="3"/>
      <c r="AR696" s="3"/>
      <c r="AS696" s="15"/>
      <c r="AT696" s="3"/>
      <c r="AU696" s="3"/>
      <c r="AV696" s="3"/>
      <c r="AW696" s="3"/>
      <c r="AX696" s="3"/>
      <c r="AY696" s="15"/>
      <c r="AZ696" s="15"/>
      <c r="BF696" s="3"/>
      <c r="BG696" s="3"/>
      <c r="BH696" s="15"/>
    </row>
    <row r="697" spans="2:60" ht="14.15" customHeight="1" x14ac:dyDescent="0.4">
      <c r="B697" s="196"/>
      <c r="C697" s="196"/>
      <c r="D697" s="197" t="s">
        <v>126</v>
      </c>
      <c r="E697" s="199" t="s">
        <v>331</v>
      </c>
      <c r="F697" s="199"/>
      <c r="G697" s="170">
        <v>42</v>
      </c>
      <c r="H697" s="63"/>
      <c r="I697" s="63"/>
      <c r="J697" s="64"/>
      <c r="K697" s="64"/>
      <c r="L697" s="33"/>
      <c r="M697" s="14"/>
      <c r="N697" s="15"/>
      <c r="O697" s="15"/>
      <c r="P697" s="15"/>
      <c r="AG697" s="15"/>
      <c r="AH697" s="15"/>
      <c r="AI697" s="15"/>
      <c r="AJ697" s="15"/>
      <c r="AK697" s="15"/>
      <c r="AL697" s="15"/>
      <c r="AM697" s="15"/>
      <c r="AN697" s="15"/>
      <c r="AO697" s="15"/>
      <c r="AP697" s="3"/>
      <c r="AQ697" s="3"/>
      <c r="AR697" s="3"/>
      <c r="AS697" s="15"/>
      <c r="AT697" s="3"/>
      <c r="AU697" s="3"/>
      <c r="AV697" s="3"/>
      <c r="AW697" s="3"/>
      <c r="AX697" s="3"/>
      <c r="AY697" s="15"/>
      <c r="AZ697" s="15"/>
      <c r="BF697" s="3"/>
      <c r="BG697" s="3"/>
      <c r="BH697" s="15"/>
    </row>
    <row r="698" spans="2:60" ht="14.15" customHeight="1" x14ac:dyDescent="0.4">
      <c r="B698" s="196"/>
      <c r="C698" s="196"/>
      <c r="D698" s="198"/>
      <c r="E698" s="199"/>
      <c r="F698" s="199"/>
      <c r="G698" s="171"/>
      <c r="H698" s="63"/>
      <c r="I698" s="63"/>
      <c r="J698" s="63"/>
      <c r="K698" s="63"/>
      <c r="L698" s="33"/>
      <c r="M698" s="14"/>
      <c r="N698" s="15"/>
      <c r="O698" s="15"/>
      <c r="P698" s="15"/>
      <c r="AV698" s="3"/>
      <c r="AW698" s="3"/>
      <c r="AX698" s="3"/>
      <c r="AY698" s="3"/>
      <c r="AZ698" s="3"/>
      <c r="BA698" s="3"/>
      <c r="BB698" s="3"/>
      <c r="BC698" s="65"/>
      <c r="BD698" s="67"/>
      <c r="BF698" s="3"/>
      <c r="BG698" s="3"/>
      <c r="BH698" s="15"/>
    </row>
    <row r="699" spans="2:60" ht="14.15" customHeight="1" x14ac:dyDescent="0.4">
      <c r="B699" s="196"/>
      <c r="C699" s="196"/>
      <c r="D699" s="198"/>
      <c r="E699" s="199"/>
      <c r="F699" s="199"/>
      <c r="G699" s="172"/>
      <c r="H699" s="63"/>
      <c r="I699" s="63"/>
      <c r="J699" s="63"/>
      <c r="K699" s="63"/>
      <c r="L699" s="33"/>
      <c r="M699" s="14"/>
      <c r="N699" s="15"/>
      <c r="O699" s="15"/>
      <c r="P699" s="15"/>
      <c r="AG699" s="15"/>
      <c r="AH699" s="15"/>
      <c r="AI699" s="15"/>
      <c r="AJ699" s="15"/>
      <c r="AK699" s="15"/>
      <c r="AL699" s="15"/>
      <c r="AM699" s="15"/>
      <c r="AN699" s="15"/>
      <c r="AO699" s="15"/>
      <c r="AP699" s="3"/>
      <c r="AQ699" s="3"/>
      <c r="AR699" s="3"/>
      <c r="AS699" s="15"/>
      <c r="AT699" s="3"/>
      <c r="AU699" s="3"/>
      <c r="AV699" s="3"/>
      <c r="AW699" s="3"/>
      <c r="AX699" s="3"/>
      <c r="AY699" s="15"/>
      <c r="AZ699" s="15"/>
      <c r="BF699" s="3"/>
      <c r="BG699" s="3"/>
      <c r="BH699" s="15"/>
    </row>
    <row r="700" spans="2:60" ht="16" customHeight="1" x14ac:dyDescent="0.4">
      <c r="B700" s="106"/>
      <c r="C700" s="184" t="s">
        <v>31</v>
      </c>
      <c r="D700" s="187" t="s">
        <v>332</v>
      </c>
      <c r="E700" s="188"/>
      <c r="F700" s="189"/>
      <c r="G700" s="45"/>
      <c r="H700" s="121">
        <f>SUM(G703:G711)</f>
        <v>84</v>
      </c>
      <c r="I700" s="33"/>
      <c r="J700" s="33"/>
      <c r="K700" s="124">
        <f>H700*$J$8</f>
        <v>23635.5</v>
      </c>
      <c r="L700" s="33"/>
      <c r="M700" s="14"/>
      <c r="N700" s="3"/>
      <c r="O700" s="15"/>
      <c r="P700" s="15"/>
      <c r="AG700" s="15"/>
      <c r="AH700" s="15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15"/>
      <c r="AU700" s="15"/>
      <c r="AV700" s="15"/>
      <c r="AW700" s="3"/>
      <c r="AX700" s="3"/>
      <c r="AY700" s="3"/>
      <c r="AZ700" s="3"/>
      <c r="BF700" s="3"/>
      <c r="BG700" s="3"/>
      <c r="BH700" s="3"/>
    </row>
    <row r="701" spans="2:60" ht="16" customHeight="1" x14ac:dyDescent="0.4">
      <c r="B701" s="107"/>
      <c r="C701" s="185"/>
      <c r="D701" s="190"/>
      <c r="E701" s="191"/>
      <c r="F701" s="192"/>
      <c r="G701" s="51"/>
      <c r="H701" s="122"/>
      <c r="I701" s="33"/>
      <c r="J701" s="33"/>
      <c r="K701" s="124"/>
      <c r="L701" s="33"/>
      <c r="M701" s="14"/>
      <c r="N701" s="15"/>
      <c r="O701" s="15"/>
      <c r="P701" s="15"/>
      <c r="AG701" s="15"/>
      <c r="AH701" s="15"/>
      <c r="AI701" s="15"/>
      <c r="AJ701" s="15"/>
      <c r="AK701" s="15"/>
      <c r="AL701" s="15"/>
      <c r="AM701" s="15"/>
      <c r="AN701" s="15"/>
      <c r="BA701" s="59"/>
      <c r="BB701" s="60"/>
      <c r="BC701" s="60"/>
      <c r="BD701" s="61"/>
      <c r="BF701" s="3"/>
      <c r="BG701" s="3"/>
      <c r="BH701" s="3"/>
    </row>
    <row r="702" spans="2:60" ht="16" customHeight="1" x14ac:dyDescent="0.4">
      <c r="B702" s="108"/>
      <c r="C702" s="186"/>
      <c r="D702" s="193"/>
      <c r="E702" s="194"/>
      <c r="F702" s="195"/>
      <c r="G702" s="51"/>
      <c r="H702" s="123"/>
      <c r="I702" s="33"/>
      <c r="J702" s="33"/>
      <c r="K702" s="124"/>
      <c r="L702" s="33"/>
      <c r="M702" s="14"/>
      <c r="N702" s="15"/>
      <c r="O702" s="15"/>
      <c r="P702" s="15"/>
      <c r="AG702" s="15"/>
      <c r="AH702" s="15"/>
      <c r="AI702" s="15"/>
      <c r="AJ702" s="15"/>
      <c r="AK702" s="15"/>
      <c r="AL702" s="3"/>
      <c r="AM702" s="3"/>
      <c r="AN702" s="3"/>
      <c r="AO702" s="3"/>
      <c r="AP702" s="3"/>
      <c r="AQ702" s="3"/>
      <c r="AR702" s="3"/>
      <c r="AS702" s="3"/>
      <c r="AT702" s="15"/>
      <c r="AU702" s="15"/>
      <c r="BA702" s="15"/>
      <c r="BB702" s="15"/>
      <c r="BC702" s="15"/>
      <c r="BD702" s="15"/>
      <c r="BF702" s="3"/>
      <c r="BG702" s="3"/>
      <c r="BH702" s="15"/>
    </row>
    <row r="703" spans="2:60" ht="16" customHeight="1" x14ac:dyDescent="0.4">
      <c r="B703" s="158"/>
      <c r="C703" s="158"/>
      <c r="D703" s="161" t="s">
        <v>137</v>
      </c>
      <c r="E703" s="164" t="s">
        <v>333</v>
      </c>
      <c r="F703" s="165"/>
      <c r="G703" s="170">
        <v>28</v>
      </c>
      <c r="H703" s="72"/>
      <c r="I703" s="63"/>
      <c r="J703" s="64"/>
      <c r="K703" s="64"/>
      <c r="L703" s="33"/>
      <c r="M703" s="14"/>
      <c r="N703" s="15"/>
      <c r="O703" s="15"/>
      <c r="P703" s="15"/>
      <c r="AG703" s="15"/>
      <c r="AH703" s="15"/>
      <c r="AI703" s="15"/>
      <c r="AJ703" s="15"/>
      <c r="AK703" s="15"/>
      <c r="AL703" s="15"/>
      <c r="AM703" s="15"/>
      <c r="AN703" s="15"/>
      <c r="AO703" s="15"/>
      <c r="AP703" s="3"/>
      <c r="AQ703" s="3"/>
      <c r="AR703" s="3"/>
      <c r="AS703" s="15"/>
      <c r="AT703" s="3"/>
      <c r="AU703" s="3"/>
      <c r="BA703" s="3"/>
      <c r="BB703" s="15"/>
      <c r="BC703" s="15"/>
      <c r="BD703" s="15"/>
      <c r="BF703" s="3"/>
      <c r="BG703" s="3"/>
      <c r="BH703" s="15"/>
    </row>
    <row r="704" spans="2:60" ht="16" customHeight="1" x14ac:dyDescent="0.4">
      <c r="B704" s="159"/>
      <c r="C704" s="159"/>
      <c r="D704" s="162"/>
      <c r="E704" s="166"/>
      <c r="F704" s="167"/>
      <c r="G704" s="171"/>
      <c r="H704" s="73"/>
      <c r="I704" s="63"/>
      <c r="J704" s="63"/>
      <c r="K704" s="63"/>
      <c r="L704" s="33"/>
      <c r="M704" s="14"/>
      <c r="N704" s="15"/>
      <c r="O704" s="15"/>
      <c r="P704" s="15"/>
      <c r="BA704" s="65"/>
      <c r="BB704" s="67"/>
      <c r="BF704" s="3"/>
      <c r="BG704" s="3"/>
      <c r="BH704" s="15"/>
    </row>
    <row r="705" spans="2:60" ht="16" customHeight="1" x14ac:dyDescent="0.4">
      <c r="B705" s="160"/>
      <c r="C705" s="160"/>
      <c r="D705" s="163"/>
      <c r="E705" s="168"/>
      <c r="F705" s="169"/>
      <c r="G705" s="172"/>
      <c r="H705" s="74"/>
      <c r="I705" s="63"/>
      <c r="J705" s="63"/>
      <c r="K705" s="63"/>
      <c r="L705" s="33"/>
      <c r="M705" s="14"/>
      <c r="N705" s="15"/>
      <c r="O705" s="15"/>
      <c r="P705" s="15"/>
      <c r="AG705" s="15"/>
      <c r="AH705" s="15"/>
      <c r="AI705" s="15"/>
      <c r="AJ705" s="15"/>
      <c r="AK705" s="15"/>
      <c r="AL705" s="15"/>
      <c r="AM705" s="15"/>
      <c r="AN705" s="15"/>
      <c r="AO705" s="15"/>
      <c r="AP705" s="3"/>
      <c r="AQ705" s="3"/>
      <c r="AR705" s="3"/>
      <c r="AS705" s="15"/>
      <c r="AT705" s="3"/>
      <c r="AU705" s="3"/>
      <c r="BA705" s="3"/>
      <c r="BB705" s="15"/>
      <c r="BC705" s="15"/>
      <c r="BD705" s="15"/>
      <c r="BF705" s="3"/>
      <c r="BG705" s="3"/>
      <c r="BH705" s="15"/>
    </row>
    <row r="706" spans="2:60" ht="16" customHeight="1" x14ac:dyDescent="0.4">
      <c r="B706" s="158"/>
      <c r="C706" s="158"/>
      <c r="D706" s="161" t="s">
        <v>139</v>
      </c>
      <c r="E706" s="164" t="s">
        <v>334</v>
      </c>
      <c r="F706" s="165"/>
      <c r="G706" s="170">
        <v>28</v>
      </c>
      <c r="H706" s="72"/>
      <c r="I706" s="63"/>
      <c r="J706" s="64"/>
      <c r="K706" s="64"/>
      <c r="L706" s="33"/>
      <c r="M706" s="14"/>
      <c r="N706" s="15"/>
      <c r="O706" s="15"/>
      <c r="P706" s="15"/>
      <c r="AG706" s="15"/>
      <c r="AH706" s="15"/>
      <c r="AI706" s="15"/>
      <c r="AJ706" s="15"/>
      <c r="AK706" s="15"/>
      <c r="AL706" s="15"/>
      <c r="AM706" s="15"/>
      <c r="AN706" s="15"/>
      <c r="AO706" s="15"/>
      <c r="AP706" s="3"/>
      <c r="AQ706" s="3"/>
      <c r="AR706" s="3"/>
      <c r="AS706" s="15"/>
      <c r="AT706" s="3"/>
      <c r="AU706" s="3"/>
      <c r="BA706" s="15"/>
      <c r="BB706" s="3"/>
      <c r="BC706" s="3"/>
      <c r="BD706" s="3"/>
      <c r="BF706" s="3"/>
      <c r="BG706" s="3"/>
      <c r="BH706" s="15"/>
    </row>
    <row r="707" spans="2:60" ht="16" customHeight="1" x14ac:dyDescent="0.4">
      <c r="B707" s="159"/>
      <c r="C707" s="159"/>
      <c r="D707" s="162"/>
      <c r="E707" s="166"/>
      <c r="F707" s="167"/>
      <c r="G707" s="171"/>
      <c r="H707" s="73"/>
      <c r="I707" s="63"/>
      <c r="J707" s="63"/>
      <c r="K707" s="63"/>
      <c r="L707" s="33"/>
      <c r="M707" s="14"/>
      <c r="N707" s="15"/>
      <c r="O707" s="15"/>
      <c r="P707" s="15"/>
      <c r="BB707" s="65"/>
      <c r="BC707" s="67"/>
      <c r="BF707" s="3"/>
      <c r="BG707" s="3"/>
      <c r="BH707" s="15"/>
    </row>
    <row r="708" spans="2:60" ht="16" customHeight="1" x14ac:dyDescent="0.4">
      <c r="B708" s="160"/>
      <c r="C708" s="160"/>
      <c r="D708" s="163"/>
      <c r="E708" s="168"/>
      <c r="F708" s="169"/>
      <c r="G708" s="172"/>
      <c r="H708" s="74"/>
      <c r="I708" s="63"/>
      <c r="J708" s="63"/>
      <c r="K708" s="63"/>
      <c r="L708" s="33"/>
      <c r="M708" s="14"/>
      <c r="N708" s="15"/>
      <c r="O708" s="15"/>
      <c r="P708" s="15"/>
      <c r="AG708" s="15"/>
      <c r="AH708" s="15"/>
      <c r="AI708" s="15"/>
      <c r="AJ708" s="15"/>
      <c r="AK708" s="15"/>
      <c r="AL708" s="15"/>
      <c r="AM708" s="15"/>
      <c r="AN708" s="15"/>
      <c r="AO708" s="15"/>
      <c r="AP708" s="3"/>
      <c r="AQ708" s="3"/>
      <c r="AR708" s="3"/>
      <c r="AS708" s="15"/>
      <c r="AT708" s="3"/>
      <c r="AU708" s="3"/>
      <c r="BA708" s="15"/>
      <c r="BB708" s="3"/>
      <c r="BC708" s="3"/>
      <c r="BD708" s="3"/>
      <c r="BF708" s="3"/>
      <c r="BG708" s="3"/>
      <c r="BH708" s="15"/>
    </row>
    <row r="709" spans="2:60" ht="16" customHeight="1" x14ac:dyDescent="0.4">
      <c r="B709" s="158"/>
      <c r="C709" s="158"/>
      <c r="D709" s="161" t="s">
        <v>141</v>
      </c>
      <c r="E709" s="164" t="s">
        <v>335</v>
      </c>
      <c r="F709" s="165"/>
      <c r="G709" s="170">
        <v>28</v>
      </c>
      <c r="H709" s="72"/>
      <c r="I709" s="63"/>
      <c r="J709" s="64"/>
      <c r="K709" s="64"/>
      <c r="L709" s="33"/>
      <c r="M709" s="14"/>
      <c r="N709" s="15"/>
      <c r="O709" s="15"/>
      <c r="P709" s="15"/>
      <c r="AG709" s="15"/>
      <c r="AH709" s="15"/>
      <c r="AI709" s="15"/>
      <c r="AJ709" s="15"/>
      <c r="AK709" s="15"/>
      <c r="AL709" s="15"/>
      <c r="AM709" s="15"/>
      <c r="AN709" s="15"/>
      <c r="AO709" s="15"/>
      <c r="AP709" s="3"/>
      <c r="AQ709" s="3"/>
      <c r="AR709" s="3"/>
      <c r="AS709" s="15"/>
      <c r="AT709" s="3"/>
      <c r="AU709" s="3"/>
      <c r="BA709" s="15"/>
      <c r="BB709" s="3"/>
      <c r="BC709" s="3"/>
      <c r="BD709" s="3"/>
      <c r="BF709" s="3"/>
      <c r="BG709" s="3"/>
      <c r="BH709" s="15"/>
    </row>
    <row r="710" spans="2:60" ht="16" customHeight="1" x14ac:dyDescent="0.4">
      <c r="B710" s="159"/>
      <c r="C710" s="159"/>
      <c r="D710" s="162"/>
      <c r="E710" s="166"/>
      <c r="F710" s="167"/>
      <c r="G710" s="171"/>
      <c r="H710" s="73"/>
      <c r="I710" s="63"/>
      <c r="J710" s="63"/>
      <c r="K710" s="63"/>
      <c r="L710" s="33"/>
      <c r="M710" s="14"/>
      <c r="N710" s="15"/>
      <c r="O710" s="15"/>
      <c r="P710" s="15"/>
      <c r="BC710" s="65"/>
      <c r="BD710" s="67"/>
      <c r="BF710" s="3"/>
      <c r="BG710" s="3"/>
      <c r="BH710" s="15"/>
    </row>
    <row r="711" spans="2:60" ht="16" customHeight="1" x14ac:dyDescent="0.4">
      <c r="B711" s="160"/>
      <c r="C711" s="160"/>
      <c r="D711" s="163"/>
      <c r="E711" s="168"/>
      <c r="F711" s="169"/>
      <c r="G711" s="172"/>
      <c r="H711" s="74"/>
      <c r="I711" s="63"/>
      <c r="J711" s="63"/>
      <c r="K711" s="63"/>
      <c r="L711" s="33"/>
      <c r="M711" s="14"/>
      <c r="N711" s="15"/>
      <c r="O711" s="15"/>
      <c r="P711" s="15"/>
      <c r="AG711" s="15"/>
      <c r="AH711" s="15"/>
      <c r="AI711" s="15"/>
      <c r="AJ711" s="15"/>
      <c r="AK711" s="15"/>
      <c r="AL711" s="15"/>
      <c r="AM711" s="15"/>
      <c r="AN711" s="15"/>
      <c r="AO711" s="15"/>
      <c r="AP711" s="3"/>
      <c r="AQ711" s="3"/>
      <c r="AR711" s="3"/>
      <c r="AS711" s="15"/>
      <c r="AT711" s="3"/>
      <c r="AU711" s="3"/>
      <c r="BA711" s="15"/>
      <c r="BB711" s="3"/>
      <c r="BC711" s="3"/>
      <c r="BD711" s="3"/>
      <c r="BF711" s="3"/>
      <c r="BG711" s="3"/>
      <c r="BH711" s="15"/>
    </row>
    <row r="712" spans="2:60" ht="14.65" customHeight="1" x14ac:dyDescent="0.4">
      <c r="B712" s="106"/>
      <c r="C712" s="184" t="s">
        <v>33</v>
      </c>
      <c r="D712" s="187" t="s">
        <v>336</v>
      </c>
      <c r="E712" s="188"/>
      <c r="F712" s="189"/>
      <c r="G712" s="45"/>
      <c r="H712" s="121">
        <f>SUM(G715:G720)</f>
        <v>56</v>
      </c>
      <c r="I712" s="33"/>
      <c r="J712" s="33"/>
      <c r="K712" s="124">
        <f>H712*$J$8</f>
        <v>15757</v>
      </c>
      <c r="L712" s="33"/>
      <c r="M712" s="14"/>
      <c r="N712" s="3"/>
      <c r="O712" s="15"/>
      <c r="P712" s="15"/>
      <c r="AG712" s="15"/>
      <c r="AH712" s="15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15"/>
      <c r="AU712" s="15"/>
      <c r="BA712" s="3"/>
      <c r="BB712" s="3"/>
      <c r="BC712" s="3"/>
      <c r="BD712" s="3"/>
      <c r="BF712" s="3"/>
      <c r="BG712" s="3"/>
      <c r="BH712" s="3"/>
    </row>
    <row r="713" spans="2:60" ht="14.65" customHeight="1" x14ac:dyDescent="0.4">
      <c r="B713" s="107"/>
      <c r="C713" s="185"/>
      <c r="D713" s="190"/>
      <c r="E713" s="191"/>
      <c r="F713" s="192"/>
      <c r="G713" s="51"/>
      <c r="H713" s="122"/>
      <c r="I713" s="33"/>
      <c r="J713" s="33"/>
      <c r="K713" s="124"/>
      <c r="L713" s="33"/>
      <c r="M713" s="14"/>
      <c r="N713" s="15"/>
      <c r="O713" s="15"/>
      <c r="P713" s="15"/>
      <c r="AG713" s="15"/>
      <c r="AH713" s="15"/>
      <c r="AI713" s="15"/>
      <c r="AJ713" s="15"/>
      <c r="AK713" s="15"/>
      <c r="AL713" s="15"/>
      <c r="AM713" s="15"/>
      <c r="AN713" s="15"/>
      <c r="AV713" s="15"/>
      <c r="AW713" s="3"/>
      <c r="AX713" s="3"/>
      <c r="AY713" s="3"/>
      <c r="AZ713" s="3"/>
      <c r="BA713" s="59"/>
      <c r="BB713" s="60"/>
      <c r="BC713" s="60"/>
      <c r="BD713" s="61"/>
      <c r="BF713" s="3"/>
      <c r="BG713" s="3"/>
      <c r="BH713" s="3"/>
    </row>
    <row r="714" spans="2:60" ht="14.65" customHeight="1" x14ac:dyDescent="0.4">
      <c r="B714" s="108"/>
      <c r="C714" s="186"/>
      <c r="D714" s="193"/>
      <c r="E714" s="194"/>
      <c r="F714" s="195"/>
      <c r="G714" s="51"/>
      <c r="H714" s="123"/>
      <c r="I714" s="33"/>
      <c r="J714" s="33"/>
      <c r="K714" s="124"/>
      <c r="L714" s="33"/>
      <c r="M714" s="14"/>
      <c r="N714" s="15"/>
      <c r="O714" s="15"/>
      <c r="P714" s="15"/>
      <c r="AG714" s="15"/>
      <c r="AH714" s="15"/>
      <c r="AI714" s="15"/>
      <c r="AJ714" s="15"/>
      <c r="AK714" s="15"/>
      <c r="AL714" s="3"/>
      <c r="AM714" s="3"/>
      <c r="AN714" s="3"/>
      <c r="AO714" s="3"/>
      <c r="AP714" s="3"/>
      <c r="AQ714" s="3"/>
      <c r="AR714" s="3"/>
      <c r="AS714" s="3"/>
      <c r="AT714" s="15"/>
      <c r="AU714" s="15"/>
      <c r="AV714" s="15"/>
      <c r="AW714" s="3"/>
      <c r="AX714" s="3"/>
      <c r="AY714" s="3"/>
      <c r="AZ714" s="3"/>
      <c r="BF714" s="3"/>
      <c r="BG714" s="3"/>
      <c r="BH714" s="15"/>
    </row>
    <row r="715" spans="2:60" ht="14.65" customHeight="1" x14ac:dyDescent="0.4">
      <c r="B715" s="158"/>
      <c r="C715" s="158"/>
      <c r="D715" s="161" t="s">
        <v>202</v>
      </c>
      <c r="E715" s="164" t="s">
        <v>337</v>
      </c>
      <c r="F715" s="165"/>
      <c r="G715" s="170">
        <v>28</v>
      </c>
      <c r="H715" s="72"/>
      <c r="I715" s="63"/>
      <c r="J715" s="64"/>
      <c r="K715" s="64"/>
      <c r="L715" s="33"/>
      <c r="M715" s="14"/>
      <c r="N715" s="15"/>
      <c r="O715" s="15"/>
      <c r="P715" s="15"/>
      <c r="AG715" s="15"/>
      <c r="AH715" s="15"/>
      <c r="AI715" s="15"/>
      <c r="AJ715" s="15"/>
      <c r="AK715" s="15"/>
      <c r="AL715" s="15"/>
      <c r="AM715" s="15"/>
      <c r="AN715" s="15"/>
      <c r="AO715" s="15"/>
      <c r="AP715" s="3"/>
      <c r="AQ715" s="3"/>
      <c r="AR715" s="3"/>
      <c r="AS715" s="15"/>
      <c r="AT715" s="3"/>
      <c r="AU715" s="3"/>
      <c r="AV715" s="3"/>
      <c r="AW715" s="3"/>
      <c r="AX715" s="3"/>
      <c r="AY715" s="3"/>
      <c r="AZ715" s="15"/>
      <c r="BF715" s="3"/>
      <c r="BG715" s="3"/>
      <c r="BH715" s="15"/>
    </row>
    <row r="716" spans="2:60" ht="14.65" customHeight="1" x14ac:dyDescent="0.4">
      <c r="B716" s="159"/>
      <c r="C716" s="159"/>
      <c r="D716" s="162"/>
      <c r="E716" s="166"/>
      <c r="F716" s="167"/>
      <c r="G716" s="171"/>
      <c r="H716" s="73"/>
      <c r="I716" s="63"/>
      <c r="J716" s="63"/>
      <c r="K716" s="63"/>
      <c r="L716" s="33"/>
      <c r="M716" s="14"/>
      <c r="N716" s="15"/>
      <c r="O716" s="15"/>
      <c r="P716" s="15"/>
      <c r="AV716" s="3"/>
      <c r="AW716" s="3"/>
      <c r="AX716" s="3"/>
      <c r="AY716" s="3"/>
      <c r="AZ716" s="15"/>
      <c r="BA716" s="90"/>
      <c r="BB716" s="91"/>
      <c r="BC716" s="3"/>
      <c r="BD716" s="3"/>
      <c r="BF716" s="3"/>
      <c r="BG716" s="3"/>
      <c r="BH716" s="15"/>
    </row>
    <row r="717" spans="2:60" ht="14.65" customHeight="1" x14ac:dyDescent="0.4">
      <c r="B717" s="160"/>
      <c r="C717" s="160"/>
      <c r="D717" s="163"/>
      <c r="E717" s="168"/>
      <c r="F717" s="169"/>
      <c r="G717" s="172"/>
      <c r="H717" s="74"/>
      <c r="I717" s="63"/>
      <c r="J717" s="63"/>
      <c r="K717" s="63"/>
      <c r="L717" s="33"/>
      <c r="M717" s="14"/>
      <c r="N717" s="15"/>
      <c r="O717" s="15"/>
      <c r="P717" s="15"/>
      <c r="AG717" s="15"/>
      <c r="AH717" s="15"/>
      <c r="AI717" s="15"/>
      <c r="AJ717" s="15"/>
      <c r="AK717" s="15"/>
      <c r="AL717" s="15"/>
      <c r="AM717" s="15"/>
      <c r="AN717" s="15"/>
      <c r="AO717" s="15"/>
      <c r="AP717" s="3"/>
      <c r="AQ717" s="3"/>
      <c r="AR717" s="3"/>
      <c r="AS717" s="15"/>
      <c r="AT717" s="3"/>
      <c r="AU717" s="3"/>
      <c r="AV717" s="3"/>
      <c r="AW717" s="3"/>
      <c r="AX717" s="3"/>
      <c r="AY717" s="3"/>
      <c r="AZ717" s="15"/>
      <c r="BF717" s="3"/>
      <c r="BG717" s="3"/>
      <c r="BH717" s="15"/>
    </row>
    <row r="718" spans="2:60" ht="14.65" customHeight="1" x14ac:dyDescent="0.4">
      <c r="B718" s="158"/>
      <c r="C718" s="158"/>
      <c r="D718" s="161" t="s">
        <v>204</v>
      </c>
      <c r="E718" s="164" t="s">
        <v>338</v>
      </c>
      <c r="F718" s="165"/>
      <c r="G718" s="170">
        <v>28</v>
      </c>
      <c r="H718" s="72"/>
      <c r="I718" s="63"/>
      <c r="J718" s="64"/>
      <c r="K718" s="64"/>
      <c r="L718" s="33"/>
      <c r="M718" s="14"/>
      <c r="N718" s="15"/>
      <c r="O718" s="15"/>
      <c r="P718" s="15"/>
      <c r="AG718" s="15"/>
      <c r="AH718" s="15"/>
      <c r="AI718" s="15"/>
      <c r="AJ718" s="15"/>
      <c r="AK718" s="15"/>
      <c r="AL718" s="15"/>
      <c r="AM718" s="15"/>
      <c r="AN718" s="15"/>
      <c r="AO718" s="15"/>
      <c r="AP718" s="3"/>
      <c r="AQ718" s="3"/>
      <c r="AR718" s="3"/>
      <c r="AS718" s="15"/>
      <c r="AT718" s="3"/>
      <c r="AU718" s="3"/>
      <c r="AV718" s="3"/>
      <c r="AW718" s="3"/>
      <c r="AX718" s="3"/>
      <c r="AY718" s="3"/>
      <c r="AZ718" s="15"/>
      <c r="BF718" s="3"/>
      <c r="BG718" s="3"/>
      <c r="BH718" s="15"/>
    </row>
    <row r="719" spans="2:60" ht="14.65" customHeight="1" x14ac:dyDescent="0.4">
      <c r="B719" s="159"/>
      <c r="C719" s="159"/>
      <c r="D719" s="162"/>
      <c r="E719" s="166"/>
      <c r="F719" s="167"/>
      <c r="G719" s="171"/>
      <c r="H719" s="73"/>
      <c r="I719" s="63"/>
      <c r="J719" s="63"/>
      <c r="K719" s="63"/>
      <c r="L719" s="33"/>
      <c r="M719" s="14"/>
      <c r="N719" s="15"/>
      <c r="O719" s="15"/>
      <c r="P719" s="15"/>
      <c r="AV719" s="3"/>
      <c r="AW719" s="3"/>
      <c r="AX719" s="3"/>
      <c r="AY719" s="3"/>
      <c r="AZ719" s="15"/>
      <c r="BA719" s="15"/>
      <c r="BB719" s="15"/>
      <c r="BC719" s="90"/>
      <c r="BD719" s="91"/>
      <c r="BF719" s="3"/>
      <c r="BG719" s="3"/>
      <c r="BH719" s="15"/>
    </row>
    <row r="720" spans="2:60" ht="14.65" customHeight="1" x14ac:dyDescent="0.4">
      <c r="B720" s="160"/>
      <c r="C720" s="160"/>
      <c r="D720" s="163"/>
      <c r="E720" s="168"/>
      <c r="F720" s="169"/>
      <c r="G720" s="172"/>
      <c r="H720" s="74"/>
      <c r="I720" s="63"/>
      <c r="J720" s="63"/>
      <c r="K720" s="63"/>
      <c r="L720" s="33"/>
      <c r="M720" s="14"/>
      <c r="N720" s="15"/>
      <c r="O720" s="15"/>
      <c r="P720" s="15"/>
      <c r="AG720" s="15"/>
      <c r="AH720" s="15"/>
      <c r="AI720" s="15"/>
      <c r="AJ720" s="15"/>
      <c r="AK720" s="15"/>
      <c r="AL720" s="15"/>
      <c r="AM720" s="15"/>
      <c r="AN720" s="15"/>
      <c r="AO720" s="15"/>
      <c r="AP720" s="3"/>
      <c r="AQ720" s="3"/>
      <c r="AR720" s="3"/>
      <c r="AS720" s="15"/>
      <c r="AT720" s="3"/>
      <c r="AU720" s="3"/>
      <c r="AV720" s="3"/>
      <c r="AW720" s="3"/>
      <c r="AX720" s="3"/>
      <c r="AY720" s="3"/>
      <c r="AZ720" s="15"/>
      <c r="BF720" s="3"/>
      <c r="BG720" s="3"/>
      <c r="BH720" s="15"/>
    </row>
    <row r="721" spans="2:60" ht="14.15" customHeight="1" x14ac:dyDescent="0.4">
      <c r="B721" s="125" t="s">
        <v>339</v>
      </c>
      <c r="C721" s="173" t="s">
        <v>340</v>
      </c>
      <c r="D721" s="174"/>
      <c r="E721" s="174"/>
      <c r="F721" s="175"/>
      <c r="G721" s="182">
        <f>I721*250</f>
        <v>241250</v>
      </c>
      <c r="H721" s="140"/>
      <c r="I721" s="143">
        <f>SUM(H724:H747)</f>
        <v>965</v>
      </c>
      <c r="J721" s="33"/>
      <c r="K721" s="33"/>
      <c r="L721" s="155">
        <f>SUM(K724:K747)</f>
        <v>271526.875</v>
      </c>
      <c r="M721" s="14"/>
      <c r="N721" s="15"/>
      <c r="O721" s="15"/>
      <c r="P721" s="15"/>
      <c r="AG721" s="15"/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  <c r="AR721" s="15"/>
      <c r="AS721" s="15"/>
      <c r="AT721" s="15"/>
      <c r="AU721" s="15"/>
      <c r="AV721" s="15"/>
      <c r="AW721" s="15"/>
      <c r="AX721" s="15"/>
      <c r="AY721" s="15"/>
      <c r="AZ721" s="15"/>
      <c r="BF721" s="15"/>
      <c r="BG721" s="15"/>
      <c r="BH721" s="15"/>
    </row>
    <row r="722" spans="2:60" ht="14.15" customHeight="1" x14ac:dyDescent="0.4">
      <c r="B722" s="126"/>
      <c r="C722" s="176"/>
      <c r="D722" s="177"/>
      <c r="E722" s="177"/>
      <c r="F722" s="178"/>
      <c r="G722" s="183"/>
      <c r="H722" s="141"/>
      <c r="I722" s="143"/>
      <c r="J722" s="33"/>
      <c r="K722" s="33"/>
      <c r="L722" s="155"/>
      <c r="M722" s="14"/>
      <c r="N722" s="15"/>
      <c r="O722" s="15"/>
      <c r="P722" s="15"/>
      <c r="AG722" s="15"/>
      <c r="AH722" s="15"/>
      <c r="AI722" s="15"/>
      <c r="AJ722" s="15"/>
      <c r="AK722" s="15"/>
      <c r="AL722" s="15"/>
      <c r="AM722" s="15"/>
      <c r="AN722" s="15"/>
      <c r="AO722" s="15"/>
      <c r="AP722" s="15"/>
      <c r="AQ722" s="15"/>
      <c r="AR722" s="15"/>
      <c r="AS722" s="15"/>
      <c r="AT722" s="15"/>
      <c r="AU722" s="15"/>
      <c r="AV722" s="56"/>
      <c r="AW722" s="57"/>
      <c r="AX722" s="57"/>
      <c r="AY722" s="57"/>
      <c r="AZ722" s="57"/>
      <c r="BA722" s="57"/>
      <c r="BB722" s="57"/>
      <c r="BC722" s="57"/>
      <c r="BD722" s="58"/>
      <c r="BF722"/>
      <c r="BG722"/>
      <c r="BH722"/>
    </row>
    <row r="723" spans="2:60" ht="14.15" customHeight="1" x14ac:dyDescent="0.4">
      <c r="B723" s="127"/>
      <c r="C723" s="179"/>
      <c r="D723" s="180"/>
      <c r="E723" s="180"/>
      <c r="F723" s="181"/>
      <c r="G723" s="183"/>
      <c r="H723" s="141"/>
      <c r="I723" s="143"/>
      <c r="J723" s="33"/>
      <c r="K723" s="33"/>
      <c r="L723" s="155"/>
      <c r="M723" s="14"/>
      <c r="N723" s="15"/>
      <c r="O723" s="15"/>
      <c r="P723" s="15"/>
      <c r="AG723" s="15"/>
      <c r="AH723" s="15"/>
      <c r="AI723" s="15"/>
      <c r="AJ723" s="15"/>
      <c r="AK723" s="15"/>
      <c r="AL723" s="15"/>
      <c r="AM723" s="15"/>
      <c r="AN723" s="15"/>
      <c r="AO723" s="15"/>
      <c r="AP723" s="15"/>
      <c r="AQ723" s="15"/>
      <c r="AR723" s="15"/>
      <c r="AS723" s="15"/>
      <c r="AT723" s="15"/>
      <c r="AU723" s="15"/>
      <c r="AV723" s="15"/>
      <c r="AW723" s="15"/>
      <c r="AX723" s="15"/>
      <c r="AY723" s="15"/>
      <c r="AZ723" s="15"/>
      <c r="BF723" s="15"/>
      <c r="BG723" s="15"/>
      <c r="BH723" s="15"/>
    </row>
    <row r="724" spans="2:60" ht="14.15" customHeight="1" x14ac:dyDescent="0.4">
      <c r="B724" s="106"/>
      <c r="C724" s="109" t="s">
        <v>25</v>
      </c>
      <c r="D724" s="112" t="s">
        <v>341</v>
      </c>
      <c r="E724" s="113"/>
      <c r="F724" s="114"/>
      <c r="G724" s="45"/>
      <c r="H724" s="121">
        <v>35</v>
      </c>
      <c r="J724" s="33"/>
      <c r="K724" s="124">
        <f>H724*$J$8</f>
        <v>9848.125</v>
      </c>
      <c r="M724" s="14"/>
      <c r="N724" s="3"/>
      <c r="O724" s="15"/>
      <c r="P724" s="15"/>
      <c r="AG724" s="15"/>
      <c r="AH724" s="15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15"/>
      <c r="AU724" s="15"/>
      <c r="AV724" s="15"/>
      <c r="AW724" s="3"/>
      <c r="AX724" s="3"/>
      <c r="AY724" s="3"/>
      <c r="AZ724" s="3"/>
      <c r="BF724" s="3"/>
      <c r="BG724" s="3"/>
      <c r="BH724" s="3"/>
    </row>
    <row r="725" spans="2:60" ht="14.15" customHeight="1" x14ac:dyDescent="0.4">
      <c r="B725" s="156"/>
      <c r="C725" s="153"/>
      <c r="D725" s="115"/>
      <c r="E725" s="116"/>
      <c r="F725" s="117"/>
      <c r="G725" s="51"/>
      <c r="H725" s="122"/>
      <c r="J725" s="33"/>
      <c r="K725" s="124"/>
      <c r="M725" s="14"/>
      <c r="N725" s="15"/>
      <c r="O725" s="15"/>
      <c r="P725" s="15"/>
      <c r="AG725" s="15"/>
      <c r="AH725" s="15"/>
      <c r="AI725" s="15"/>
      <c r="AJ725" s="15"/>
      <c r="AK725" s="15"/>
      <c r="AL725" s="15"/>
      <c r="AM725" s="15"/>
      <c r="AN725" s="15"/>
      <c r="AU725" s="15"/>
      <c r="AV725" s="15"/>
      <c r="AW725" s="15"/>
      <c r="AX725" s="59"/>
      <c r="AY725" s="60"/>
      <c r="AZ725" s="60"/>
      <c r="BA725" s="60"/>
      <c r="BB725" s="60"/>
      <c r="BC725" s="60"/>
      <c r="BD725" s="61"/>
      <c r="BF725" s="3"/>
      <c r="BG725" s="3"/>
      <c r="BH725" s="3"/>
    </row>
    <row r="726" spans="2:60" ht="14.15" customHeight="1" x14ac:dyDescent="0.4">
      <c r="B726" s="157"/>
      <c r="C726" s="154"/>
      <c r="D726" s="118"/>
      <c r="E726" s="119"/>
      <c r="F726" s="120"/>
      <c r="G726" s="51"/>
      <c r="H726" s="123"/>
      <c r="J726" s="33"/>
      <c r="K726" s="124"/>
      <c r="M726" s="14"/>
      <c r="N726" s="15"/>
      <c r="O726" s="15"/>
      <c r="P726" s="15"/>
      <c r="AG726" s="15"/>
      <c r="AH726" s="15"/>
      <c r="AI726" s="15"/>
      <c r="AJ726" s="15"/>
      <c r="AK726" s="15"/>
      <c r="AL726" s="3"/>
      <c r="AM726" s="3"/>
      <c r="AN726" s="3"/>
      <c r="AO726" s="3"/>
      <c r="AP726" s="3"/>
      <c r="AQ726" s="3"/>
      <c r="AR726" s="3"/>
      <c r="AS726" s="15"/>
      <c r="AT726" s="15"/>
      <c r="AU726" s="15"/>
      <c r="AV726" s="15"/>
      <c r="AW726" s="15"/>
      <c r="AX726" s="3"/>
      <c r="AY726" s="15"/>
      <c r="BD726" s="3"/>
      <c r="BF726" s="3"/>
      <c r="BG726" s="3"/>
      <c r="BH726" s="15"/>
    </row>
    <row r="727" spans="2:60" ht="14.15" customHeight="1" x14ac:dyDescent="0.4">
      <c r="B727" s="106"/>
      <c r="C727" s="109" t="s">
        <v>27</v>
      </c>
      <c r="D727" s="112" t="s">
        <v>342</v>
      </c>
      <c r="E727" s="113"/>
      <c r="F727" s="114"/>
      <c r="G727" s="45"/>
      <c r="H727" s="121">
        <v>30</v>
      </c>
      <c r="J727" s="33"/>
      <c r="K727" s="124">
        <f>H727*$J$8</f>
        <v>8441.25</v>
      </c>
      <c r="M727" s="14"/>
      <c r="N727" s="3"/>
      <c r="O727" s="15"/>
      <c r="P727" s="15"/>
      <c r="AG727" s="15"/>
      <c r="AH727" s="15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15"/>
      <c r="AT727" s="15"/>
      <c r="AU727" s="15"/>
      <c r="AV727" s="3"/>
      <c r="AW727" s="3"/>
      <c r="AX727" s="3"/>
      <c r="AY727" s="3"/>
      <c r="BD727" s="3"/>
      <c r="BF727" s="3"/>
      <c r="BG727" s="3"/>
      <c r="BH727" s="3"/>
    </row>
    <row r="728" spans="2:60" ht="14.15" customHeight="1" x14ac:dyDescent="0.4">
      <c r="B728" s="107"/>
      <c r="C728" s="110"/>
      <c r="D728" s="115"/>
      <c r="E728" s="116"/>
      <c r="F728" s="117"/>
      <c r="G728" s="51"/>
      <c r="H728" s="122"/>
      <c r="J728" s="33"/>
      <c r="K728" s="124"/>
      <c r="M728" s="14"/>
      <c r="N728" s="15"/>
      <c r="O728" s="15"/>
      <c r="P728" s="15"/>
      <c r="AG728" s="15"/>
      <c r="AH728" s="15"/>
      <c r="AI728" s="15"/>
      <c r="AJ728" s="15"/>
      <c r="AK728" s="15"/>
      <c r="AL728" s="15"/>
      <c r="AM728" s="15"/>
      <c r="AN728" s="15"/>
      <c r="AW728" s="59"/>
      <c r="AX728" s="60"/>
      <c r="AY728" s="60"/>
      <c r="AZ728" s="60"/>
      <c r="BA728" s="60"/>
      <c r="BB728" s="60"/>
      <c r="BC728" s="60"/>
      <c r="BD728" s="61"/>
      <c r="BF728" s="3"/>
      <c r="BG728" s="3"/>
      <c r="BH728" s="3"/>
    </row>
    <row r="729" spans="2:60" ht="14.15" customHeight="1" x14ac:dyDescent="0.4">
      <c r="B729" s="108"/>
      <c r="C729" s="111"/>
      <c r="D729" s="118"/>
      <c r="E729" s="119"/>
      <c r="F729" s="120"/>
      <c r="G729" s="51"/>
      <c r="H729" s="123"/>
      <c r="J729" s="33"/>
      <c r="K729" s="124"/>
      <c r="M729" s="14"/>
      <c r="N729" s="15"/>
      <c r="O729" s="15"/>
      <c r="P729" s="15"/>
      <c r="AG729" s="15"/>
      <c r="AH729" s="15"/>
      <c r="AI729" s="15"/>
      <c r="AJ729" s="15"/>
      <c r="AK729" s="15"/>
      <c r="AL729" s="3"/>
      <c r="AM729" s="3"/>
      <c r="AN729" s="3"/>
      <c r="AO729" s="3"/>
      <c r="AP729" s="3"/>
      <c r="AQ729" s="3"/>
      <c r="AR729" s="3"/>
      <c r="AS729" s="15"/>
      <c r="AT729" s="15"/>
      <c r="AU729" s="15"/>
      <c r="AV729" s="3"/>
      <c r="AW729" s="3"/>
      <c r="AX729" s="3"/>
      <c r="AY729" s="15"/>
      <c r="BD729" s="3"/>
      <c r="BF729" s="3"/>
      <c r="BG729" s="3"/>
      <c r="BH729" s="15"/>
    </row>
    <row r="730" spans="2:60" ht="14.15" customHeight="1" x14ac:dyDescent="0.4">
      <c r="B730" s="106"/>
      <c r="C730" s="109" t="s">
        <v>29</v>
      </c>
      <c r="D730" s="112" t="s">
        <v>343</v>
      </c>
      <c r="E730" s="113"/>
      <c r="F730" s="114"/>
      <c r="G730" s="45"/>
      <c r="H730" s="121">
        <v>115</v>
      </c>
      <c r="J730" s="33"/>
      <c r="K730" s="124">
        <f t="shared" ref="K730" si="6">H730*$J$8</f>
        <v>32358.125</v>
      </c>
      <c r="M730" s="14"/>
      <c r="N730" s="3"/>
      <c r="O730" s="15"/>
      <c r="P730" s="15"/>
      <c r="AG730" s="15"/>
      <c r="AH730" s="15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15"/>
      <c r="AT730" s="15"/>
      <c r="AU730" s="15"/>
      <c r="AV730" s="3"/>
      <c r="AW730" s="3"/>
      <c r="AX730" s="3"/>
      <c r="AY730" s="3"/>
      <c r="BD730" s="3"/>
      <c r="BF730" s="3"/>
      <c r="BG730" s="3"/>
      <c r="BH730" s="3"/>
    </row>
    <row r="731" spans="2:60" ht="14.15" customHeight="1" x14ac:dyDescent="0.4">
      <c r="B731" s="107"/>
      <c r="C731" s="153"/>
      <c r="D731" s="115"/>
      <c r="E731" s="116"/>
      <c r="F731" s="117"/>
      <c r="G731" s="51"/>
      <c r="H731" s="122"/>
      <c r="J731" s="33"/>
      <c r="K731" s="124"/>
      <c r="M731" s="14"/>
      <c r="N731" s="15"/>
      <c r="O731" s="15"/>
      <c r="P731" s="15"/>
      <c r="AG731" s="15"/>
      <c r="AH731" s="15"/>
      <c r="AI731" s="15"/>
      <c r="AJ731" s="15"/>
      <c r="AK731" s="15"/>
      <c r="AL731" s="15"/>
      <c r="AM731" s="15"/>
      <c r="AN731" s="15"/>
      <c r="AV731" s="59"/>
      <c r="AW731" s="60"/>
      <c r="AX731" s="60"/>
      <c r="AY731" s="60"/>
      <c r="AZ731" s="60"/>
      <c r="BA731" s="60"/>
      <c r="BB731" s="60"/>
      <c r="BC731" s="60"/>
      <c r="BD731" s="61"/>
      <c r="BF731" s="3"/>
      <c r="BG731" s="3"/>
      <c r="BH731" s="3"/>
    </row>
    <row r="732" spans="2:60" ht="14.15" customHeight="1" x14ac:dyDescent="0.4">
      <c r="B732" s="108"/>
      <c r="C732" s="154"/>
      <c r="D732" s="118"/>
      <c r="E732" s="119"/>
      <c r="F732" s="120"/>
      <c r="G732" s="51"/>
      <c r="H732" s="123"/>
      <c r="J732" s="33"/>
      <c r="K732" s="124"/>
      <c r="M732" s="14"/>
      <c r="N732" s="15"/>
      <c r="O732" s="15"/>
      <c r="P732" s="15"/>
      <c r="AG732" s="15"/>
      <c r="AH732" s="15"/>
      <c r="AI732" s="15"/>
      <c r="AJ732" s="15"/>
      <c r="AK732" s="15"/>
      <c r="AL732" s="3"/>
      <c r="AM732" s="3"/>
      <c r="AN732" s="3"/>
      <c r="AO732" s="3"/>
      <c r="AP732" s="3"/>
      <c r="AQ732" s="3"/>
      <c r="AR732" s="3"/>
      <c r="AS732" s="15"/>
      <c r="AT732" s="15"/>
      <c r="AU732" s="15"/>
      <c r="AV732" s="3"/>
      <c r="AW732" s="3"/>
      <c r="AX732" s="3"/>
      <c r="AY732" s="15"/>
      <c r="BD732" s="3"/>
      <c r="BF732" s="3"/>
      <c r="BG732" s="3"/>
      <c r="BH732" s="15"/>
    </row>
    <row r="733" spans="2:60" ht="15" customHeight="1" x14ac:dyDescent="0.4">
      <c r="B733" s="106"/>
      <c r="C733" s="109" t="s">
        <v>31</v>
      </c>
      <c r="D733" s="112" t="s">
        <v>344</v>
      </c>
      <c r="E733" s="113"/>
      <c r="F733" s="114"/>
      <c r="G733" s="45"/>
      <c r="H733" s="121">
        <v>60</v>
      </c>
      <c r="J733" s="33"/>
      <c r="K733" s="124">
        <f t="shared" ref="K733" si="7">H733*$J$8</f>
        <v>16882.5</v>
      </c>
      <c r="M733" s="14"/>
      <c r="N733" s="3"/>
      <c r="O733" s="15"/>
      <c r="P733" s="15"/>
      <c r="AG733" s="15"/>
      <c r="AH733" s="15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15"/>
      <c r="AT733" s="15"/>
      <c r="AU733" s="15"/>
      <c r="AV733" s="3"/>
      <c r="AW733" s="3"/>
      <c r="AX733" s="3"/>
      <c r="AY733" s="3"/>
      <c r="BD733" s="3"/>
      <c r="BF733" s="3"/>
      <c r="BG733" s="3"/>
      <c r="BH733" s="3"/>
    </row>
    <row r="734" spans="2:60" ht="15" customHeight="1" x14ac:dyDescent="0.4">
      <c r="B734" s="107"/>
      <c r="C734" s="110"/>
      <c r="D734" s="115"/>
      <c r="E734" s="116"/>
      <c r="F734" s="117"/>
      <c r="G734" s="51"/>
      <c r="H734" s="122"/>
      <c r="J734" s="33"/>
      <c r="K734" s="124"/>
      <c r="M734" s="14"/>
      <c r="N734" s="15"/>
      <c r="O734" s="15"/>
      <c r="P734" s="15"/>
      <c r="AG734" s="15"/>
      <c r="AH734" s="15"/>
      <c r="AI734" s="15"/>
      <c r="AJ734" s="15"/>
      <c r="AK734" s="15"/>
      <c r="AL734" s="15"/>
      <c r="AM734" s="15"/>
      <c r="AN734" s="15"/>
      <c r="BA734" s="3"/>
      <c r="BB734" s="59"/>
      <c r="BC734" s="60"/>
      <c r="BD734" s="61"/>
      <c r="BF734" s="3"/>
      <c r="BG734" s="3"/>
      <c r="BH734" s="3"/>
    </row>
    <row r="735" spans="2:60" ht="15" customHeight="1" x14ac:dyDescent="0.4">
      <c r="B735" s="108"/>
      <c r="C735" s="111"/>
      <c r="D735" s="118"/>
      <c r="E735" s="119"/>
      <c r="F735" s="120"/>
      <c r="G735" s="51"/>
      <c r="H735" s="123"/>
      <c r="J735" s="33"/>
      <c r="K735" s="124"/>
      <c r="M735" s="14"/>
      <c r="N735" s="15"/>
      <c r="O735" s="15"/>
      <c r="P735" s="15"/>
      <c r="AG735" s="15"/>
      <c r="AH735" s="15"/>
      <c r="AI735" s="15"/>
      <c r="AJ735" s="15"/>
      <c r="AK735" s="15"/>
      <c r="AL735" s="3"/>
      <c r="AM735" s="3"/>
      <c r="AN735" s="3"/>
      <c r="AO735" s="3"/>
      <c r="AP735" s="3"/>
      <c r="AQ735" s="3"/>
      <c r="AR735" s="3"/>
      <c r="AS735" s="15"/>
      <c r="BD735" s="3"/>
      <c r="BF735" s="3"/>
      <c r="BG735" s="3"/>
      <c r="BH735" s="15"/>
    </row>
    <row r="736" spans="2:60" ht="15" customHeight="1" x14ac:dyDescent="0.4">
      <c r="B736" s="106"/>
      <c r="C736" s="109" t="s">
        <v>33</v>
      </c>
      <c r="D736" s="112" t="s">
        <v>345</v>
      </c>
      <c r="E736" s="113"/>
      <c r="F736" s="114"/>
      <c r="G736" s="45"/>
      <c r="H736" s="121">
        <v>115</v>
      </c>
      <c r="J736" s="33"/>
      <c r="K736" s="124">
        <f t="shared" ref="K736" si="8">H736*$J$8</f>
        <v>32358.125</v>
      </c>
      <c r="M736" s="14"/>
      <c r="N736" s="3"/>
      <c r="O736" s="15"/>
      <c r="P736" s="15"/>
      <c r="AG736" s="15"/>
      <c r="AH736" s="15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15"/>
      <c r="AT736" s="15"/>
      <c r="AU736" s="15"/>
      <c r="AV736" s="3"/>
      <c r="AW736" s="3"/>
      <c r="AX736" s="3"/>
      <c r="AY736" s="3"/>
      <c r="BD736" s="3"/>
      <c r="BF736" s="3"/>
      <c r="BG736" s="3"/>
      <c r="BH736" s="3"/>
    </row>
    <row r="737" spans="2:60" ht="15" customHeight="1" x14ac:dyDescent="0.4">
      <c r="B737" s="107"/>
      <c r="C737" s="153"/>
      <c r="D737" s="115"/>
      <c r="E737" s="116"/>
      <c r="F737" s="117"/>
      <c r="G737" s="51"/>
      <c r="H737" s="122"/>
      <c r="J737" s="33"/>
      <c r="K737" s="124"/>
      <c r="M737" s="14"/>
      <c r="N737" s="15"/>
      <c r="O737" s="15"/>
      <c r="P737" s="15"/>
      <c r="AG737" s="15"/>
      <c r="AH737" s="15"/>
      <c r="AI737" s="15"/>
      <c r="AJ737" s="15"/>
      <c r="AK737" s="15"/>
      <c r="AL737" s="15"/>
      <c r="AM737" s="15"/>
      <c r="AN737" s="15"/>
      <c r="AV737"/>
      <c r="AW737"/>
      <c r="AX737"/>
      <c r="AY737"/>
      <c r="AZ737"/>
      <c r="BA737" s="59"/>
      <c r="BB737" s="60"/>
      <c r="BC737" s="60"/>
      <c r="BD737" s="61"/>
      <c r="BF737" s="3"/>
      <c r="BG737" s="3"/>
      <c r="BH737" s="3"/>
    </row>
    <row r="738" spans="2:60" ht="15" customHeight="1" x14ac:dyDescent="0.4">
      <c r="B738" s="108"/>
      <c r="C738" s="154"/>
      <c r="D738" s="118"/>
      <c r="E738" s="119"/>
      <c r="F738" s="120"/>
      <c r="G738" s="51"/>
      <c r="H738" s="123"/>
      <c r="J738" s="33"/>
      <c r="K738" s="124"/>
      <c r="M738" s="14"/>
      <c r="N738" s="15"/>
      <c r="O738" s="15"/>
      <c r="P738" s="15"/>
      <c r="AG738" s="15"/>
      <c r="AH738" s="15"/>
      <c r="AI738" s="15"/>
      <c r="AJ738" s="15"/>
      <c r="AK738" s="15"/>
      <c r="AL738" s="3"/>
      <c r="AM738" s="3"/>
      <c r="AN738" s="3"/>
      <c r="AO738" s="3"/>
      <c r="AP738" s="3"/>
      <c r="AQ738" s="3"/>
      <c r="AR738" s="3"/>
      <c r="AS738" s="15"/>
      <c r="AT738" s="15"/>
      <c r="AU738" s="15"/>
      <c r="AV738" s="3"/>
      <c r="AW738" s="3"/>
      <c r="AX738" s="3"/>
      <c r="AY738" s="15"/>
      <c r="BD738" s="3"/>
      <c r="BF738" s="3"/>
      <c r="BG738" s="3"/>
      <c r="BH738" s="15"/>
    </row>
    <row r="739" spans="2:60" ht="15" customHeight="1" x14ac:dyDescent="0.4">
      <c r="B739" s="106"/>
      <c r="C739" s="109" t="s">
        <v>35</v>
      </c>
      <c r="D739" s="144" t="s">
        <v>346</v>
      </c>
      <c r="E739" s="145"/>
      <c r="F739" s="146"/>
      <c r="G739" s="45"/>
      <c r="H739" s="121">
        <v>100</v>
      </c>
      <c r="J739" s="33"/>
      <c r="K739" s="124">
        <f t="shared" ref="K739" si="9">H739*$J$8</f>
        <v>28137.5</v>
      </c>
      <c r="M739" s="14"/>
      <c r="N739" s="3"/>
      <c r="O739" s="15"/>
      <c r="P739" s="15"/>
      <c r="AG739" s="15"/>
      <c r="AH739" s="15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15"/>
      <c r="AT739" s="15"/>
      <c r="AU739" s="3"/>
      <c r="AV739" s="3"/>
      <c r="AW739" s="3"/>
      <c r="AX739" s="3"/>
      <c r="AY739" s="3"/>
      <c r="AZ739" s="3"/>
      <c r="BD739" s="3"/>
      <c r="BF739" s="3"/>
      <c r="BG739" s="3"/>
      <c r="BH739" s="3"/>
    </row>
    <row r="740" spans="2:60" ht="15" customHeight="1" x14ac:dyDescent="0.4">
      <c r="B740" s="107"/>
      <c r="C740" s="110"/>
      <c r="D740" s="147"/>
      <c r="E740" s="148"/>
      <c r="F740" s="149"/>
      <c r="G740" s="51"/>
      <c r="H740" s="122"/>
      <c r="J740" s="33"/>
      <c r="K740" s="124"/>
      <c r="M740" s="14"/>
      <c r="N740" s="15"/>
      <c r="O740" s="15"/>
      <c r="P740" s="15"/>
      <c r="AG740" s="15"/>
      <c r="AH740" s="15"/>
      <c r="AI740" s="15"/>
      <c r="AJ740" s="15"/>
      <c r="AK740" s="15"/>
      <c r="AL740" s="15"/>
      <c r="AM740" s="15"/>
      <c r="AN740" s="15"/>
      <c r="AO740" s="15"/>
      <c r="AP740" s="15"/>
      <c r="AQ740" s="15"/>
      <c r="AR740" s="15"/>
      <c r="AU740" s="15"/>
      <c r="AV740" s="15"/>
      <c r="AW740" s="59"/>
      <c r="AX740" s="60"/>
      <c r="AY740" s="60"/>
      <c r="AZ740" s="60"/>
      <c r="BA740" s="60"/>
      <c r="BB740" s="60"/>
      <c r="BC740" s="60"/>
      <c r="BD740" s="61"/>
      <c r="BF740" s="3"/>
      <c r="BG740" s="3"/>
      <c r="BH740" s="3"/>
    </row>
    <row r="741" spans="2:60" ht="15" customHeight="1" x14ac:dyDescent="0.4">
      <c r="B741" s="108"/>
      <c r="C741" s="111"/>
      <c r="D741" s="150"/>
      <c r="E741" s="151"/>
      <c r="F741" s="152"/>
      <c r="G741" s="51"/>
      <c r="H741" s="123"/>
      <c r="J741" s="33"/>
      <c r="K741" s="124"/>
      <c r="M741" s="14"/>
      <c r="N741" s="15"/>
      <c r="O741" s="15"/>
      <c r="P741" s="15"/>
      <c r="AG741" s="15"/>
      <c r="AH741" s="15"/>
      <c r="AI741" s="15"/>
      <c r="AJ741" s="15"/>
      <c r="AK741" s="15"/>
      <c r="AL741" s="3"/>
      <c r="AM741" s="15"/>
      <c r="AN741" s="15"/>
      <c r="AO741" s="15"/>
      <c r="AP741" s="15"/>
      <c r="AQ741" s="15"/>
      <c r="AR741" s="15"/>
      <c r="AS741" s="15"/>
      <c r="AT741" s="15"/>
      <c r="AU741" s="3"/>
      <c r="AV741" s="3"/>
      <c r="AZ741" s="3"/>
      <c r="BA741" s="15"/>
      <c r="BB741" s="15"/>
      <c r="BC741" s="15"/>
      <c r="BD741" s="3"/>
      <c r="BF741" s="3"/>
      <c r="BG741" s="3"/>
      <c r="BH741" s="15"/>
    </row>
    <row r="742" spans="2:60" ht="15" customHeight="1" x14ac:dyDescent="0.4">
      <c r="B742" s="62"/>
      <c r="C742" s="109" t="s">
        <v>37</v>
      </c>
      <c r="D742" s="144" t="s">
        <v>347</v>
      </c>
      <c r="E742" s="145"/>
      <c r="F742" s="146"/>
      <c r="G742" s="51"/>
      <c r="H742" s="121">
        <v>450</v>
      </c>
      <c r="J742" s="33"/>
      <c r="K742" s="124">
        <f t="shared" ref="K742" si="10">H742*$J$8</f>
        <v>126618.75</v>
      </c>
      <c r="M742" s="14"/>
      <c r="N742" s="15"/>
      <c r="O742" s="15"/>
      <c r="P742" s="15"/>
      <c r="AG742" s="15"/>
      <c r="AH742" s="15"/>
      <c r="AI742" s="15"/>
      <c r="AJ742" s="15"/>
      <c r="AK742" s="15"/>
      <c r="AL742" s="3"/>
      <c r="AM742" s="15"/>
      <c r="AN742" s="15"/>
      <c r="AO742" s="15"/>
      <c r="AP742" s="15"/>
      <c r="AQ742" s="15"/>
      <c r="AR742" s="15"/>
      <c r="AS742" s="15"/>
      <c r="AT742" s="15"/>
      <c r="AU742" s="15"/>
      <c r="AV742" s="3"/>
      <c r="BF742" s="3"/>
      <c r="BG742" s="3"/>
      <c r="BH742" s="15"/>
    </row>
    <row r="743" spans="2:60" ht="15" customHeight="1" x14ac:dyDescent="0.4">
      <c r="B743" s="62"/>
      <c r="C743" s="153"/>
      <c r="D743" s="147"/>
      <c r="E743" s="148"/>
      <c r="F743" s="149"/>
      <c r="G743" s="51"/>
      <c r="H743" s="122"/>
      <c r="J743" s="33"/>
      <c r="K743" s="124"/>
      <c r="M743" s="14"/>
      <c r="N743" s="15"/>
      <c r="O743" s="15"/>
      <c r="P743" s="15"/>
      <c r="AG743" s="15"/>
      <c r="AH743" s="15"/>
      <c r="AI743" s="15"/>
      <c r="AJ743" s="15"/>
      <c r="AK743" s="15"/>
      <c r="AL743" s="3"/>
      <c r="AM743" s="15"/>
      <c r="AN743" s="15"/>
      <c r="AO743" s="15"/>
      <c r="AP743" s="15"/>
      <c r="AQ743" s="15"/>
      <c r="AR743" s="15"/>
      <c r="AS743" s="15"/>
      <c r="AT743" s="15"/>
      <c r="AU743" s="15"/>
      <c r="AV743" s="3"/>
      <c r="BA743" s="97"/>
      <c r="BB743" s="95"/>
      <c r="BC743" s="95"/>
      <c r="BD743" s="96"/>
      <c r="BF743" s="3"/>
      <c r="BG743" s="3"/>
      <c r="BH743" s="15"/>
    </row>
    <row r="744" spans="2:60" ht="18" customHeight="1" x14ac:dyDescent="0.4">
      <c r="B744" s="62"/>
      <c r="C744" s="154"/>
      <c r="D744" s="150"/>
      <c r="E744" s="151"/>
      <c r="F744" s="152"/>
      <c r="G744" s="51"/>
      <c r="H744" s="123"/>
      <c r="J744" s="33"/>
      <c r="K744" s="124"/>
      <c r="M744" s="14"/>
      <c r="N744" s="15"/>
      <c r="O744" s="15"/>
      <c r="P744" s="15"/>
      <c r="AG744" s="15"/>
      <c r="AH744" s="15"/>
      <c r="AI744" s="15"/>
      <c r="AJ744" s="15"/>
      <c r="AK744" s="15"/>
      <c r="AL744" s="3"/>
      <c r="AM744" s="3"/>
      <c r="AN744" s="3"/>
      <c r="AO744" s="3"/>
      <c r="AP744" s="3"/>
      <c r="AQ744" s="3"/>
      <c r="AR744" s="3"/>
      <c r="AS744" s="15"/>
      <c r="AT744" s="15"/>
      <c r="AU744" s="15"/>
      <c r="AV744" s="3"/>
      <c r="AW744" s="3"/>
      <c r="AX744" s="3"/>
      <c r="AY744" s="15"/>
      <c r="BF744" s="3"/>
      <c r="BG744" s="3"/>
      <c r="BH744" s="15"/>
    </row>
    <row r="745" spans="2:60" ht="15" customHeight="1" x14ac:dyDescent="0.4">
      <c r="B745" s="106"/>
      <c r="C745" s="109" t="s">
        <v>39</v>
      </c>
      <c r="D745" s="112" t="s">
        <v>348</v>
      </c>
      <c r="E745" s="113"/>
      <c r="F745" s="114"/>
      <c r="G745" s="45"/>
      <c r="H745" s="121">
        <v>60</v>
      </c>
      <c r="J745" s="33"/>
      <c r="K745" s="124">
        <f t="shared" ref="K745" si="11">H745*$J$8</f>
        <v>16882.5</v>
      </c>
      <c r="M745" s="14"/>
      <c r="N745" s="3"/>
      <c r="O745" s="15"/>
      <c r="P745" s="15"/>
      <c r="AG745" s="15"/>
      <c r="AH745" s="15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15"/>
      <c r="AT745" s="15"/>
      <c r="AU745" s="15"/>
      <c r="AV745" s="3"/>
      <c r="AW745" s="3"/>
      <c r="AX745" s="3"/>
      <c r="AY745" s="3"/>
      <c r="BD745" s="3"/>
      <c r="BF745" s="3"/>
      <c r="BG745" s="3"/>
      <c r="BH745" s="3"/>
    </row>
    <row r="746" spans="2:60" ht="15" customHeight="1" x14ac:dyDescent="0.4">
      <c r="B746" s="107"/>
      <c r="C746" s="110"/>
      <c r="D746" s="115"/>
      <c r="E746" s="116"/>
      <c r="F746" s="117"/>
      <c r="G746" s="51"/>
      <c r="H746" s="122"/>
      <c r="J746" s="33"/>
      <c r="K746" s="124"/>
      <c r="M746" s="14"/>
      <c r="N746" s="15"/>
      <c r="O746" s="15"/>
      <c r="P746" s="15"/>
      <c r="AG746" s="15"/>
      <c r="AH746" s="15"/>
      <c r="AI746" s="15"/>
      <c r="AJ746" s="15"/>
      <c r="AK746" s="15"/>
      <c r="AL746" s="15"/>
      <c r="AM746" s="15"/>
      <c r="AP746"/>
      <c r="AQ746"/>
      <c r="AR746"/>
      <c r="AS746"/>
      <c r="AT746"/>
      <c r="AU746"/>
      <c r="AV746"/>
      <c r="AW746"/>
      <c r="AX746"/>
      <c r="AY746"/>
      <c r="AZ746"/>
      <c r="BA746"/>
      <c r="BB746"/>
      <c r="BC746" s="85"/>
      <c r="BD746" s="87"/>
    </row>
    <row r="747" spans="2:60" ht="15" customHeight="1" x14ac:dyDescent="0.4">
      <c r="B747" s="108"/>
      <c r="C747" s="111"/>
      <c r="D747" s="118"/>
      <c r="E747" s="119"/>
      <c r="F747" s="120"/>
      <c r="G747" s="51"/>
      <c r="H747" s="123"/>
      <c r="J747" s="33"/>
      <c r="K747" s="124"/>
      <c r="M747" s="14"/>
      <c r="N747" s="15"/>
      <c r="O747" s="15"/>
      <c r="P747" s="15"/>
      <c r="AG747" s="15"/>
      <c r="AH747" s="15"/>
      <c r="AI747" s="15"/>
      <c r="AJ747" s="15"/>
      <c r="AK747" s="15"/>
      <c r="AL747" s="3"/>
      <c r="AM747" s="3"/>
      <c r="AN747" s="3"/>
      <c r="AO747" s="3"/>
      <c r="AP747" s="3"/>
      <c r="AQ747" s="3"/>
      <c r="AR747" s="3"/>
      <c r="AS747" s="3"/>
      <c r="AT747" s="15"/>
      <c r="AU747" s="15"/>
      <c r="AV747" s="15"/>
      <c r="AW747" s="3"/>
      <c r="AX747" s="3"/>
      <c r="AY747" s="3"/>
      <c r="AZ747" s="15"/>
      <c r="BF747" s="3"/>
      <c r="BG747" s="3"/>
      <c r="BH747" s="15"/>
    </row>
    <row r="748" spans="2:60" ht="15" customHeight="1" x14ac:dyDescent="0.4">
      <c r="B748" s="125"/>
      <c r="C748" s="128" t="s">
        <v>349</v>
      </c>
      <c r="D748" s="129"/>
      <c r="E748" s="129"/>
      <c r="F748" s="130"/>
      <c r="G748" s="137"/>
      <c r="H748" s="140"/>
      <c r="I748" s="143">
        <f>SUM(H16:H747)</f>
        <v>6816</v>
      </c>
      <c r="J748" s="33"/>
      <c r="K748" s="33"/>
      <c r="L748" s="105">
        <f>SUM(K16:K747)</f>
        <v>1992852</v>
      </c>
      <c r="M748" s="14"/>
      <c r="N748" s="15"/>
      <c r="O748" s="15"/>
      <c r="P748" s="15"/>
      <c r="AG748" s="15"/>
      <c r="AH748" s="15"/>
      <c r="AI748" s="15"/>
      <c r="AJ748" s="15"/>
      <c r="AK748" s="15"/>
      <c r="AL748" s="15"/>
      <c r="AM748" s="15"/>
      <c r="AN748" s="15"/>
      <c r="AO748" s="15"/>
      <c r="AP748" s="15"/>
      <c r="AQ748" s="15"/>
      <c r="AR748" s="15"/>
      <c r="AS748" s="15"/>
      <c r="AT748" s="15"/>
      <c r="AU748" s="15"/>
      <c r="AV748" s="15"/>
      <c r="AW748" s="15"/>
      <c r="AX748" s="15"/>
      <c r="AY748" s="15"/>
      <c r="AZ748" s="15"/>
      <c r="BF748" s="15"/>
      <c r="BG748" s="15"/>
      <c r="BH748" s="15"/>
    </row>
    <row r="749" spans="2:60" ht="15" customHeight="1" x14ac:dyDescent="0.4">
      <c r="B749" s="126"/>
      <c r="C749" s="131"/>
      <c r="D749" s="132"/>
      <c r="E749" s="132"/>
      <c r="F749" s="133"/>
      <c r="G749" s="138"/>
      <c r="H749" s="141"/>
      <c r="I749" s="143"/>
      <c r="J749" s="33"/>
      <c r="K749" s="33"/>
      <c r="L749" s="105"/>
      <c r="M749" s="14"/>
      <c r="N749" s="15"/>
      <c r="O749" s="15"/>
      <c r="P749" s="15"/>
      <c r="AG749" s="56"/>
      <c r="AH749" s="57"/>
      <c r="AI749" s="57"/>
      <c r="AJ749" s="57"/>
      <c r="AK749" s="57"/>
      <c r="AL749" s="57"/>
      <c r="AM749" s="57"/>
      <c r="AN749" s="57"/>
      <c r="AO749" s="57"/>
      <c r="AP749" s="57"/>
      <c r="AQ749" s="57"/>
      <c r="AR749" s="57"/>
      <c r="AS749" s="57"/>
      <c r="AT749" s="57"/>
      <c r="AU749" s="57"/>
      <c r="AV749" s="57"/>
      <c r="AW749" s="57"/>
      <c r="AX749" s="57"/>
      <c r="AY749" s="57"/>
      <c r="AZ749" s="57"/>
      <c r="BA749" s="57"/>
      <c r="BB749" s="57"/>
      <c r="BC749" s="57"/>
      <c r="BD749" s="58"/>
      <c r="BF749" s="3"/>
      <c r="BG749" s="3"/>
      <c r="BH749" s="3"/>
    </row>
    <row r="750" spans="2:60" ht="15" customHeight="1" x14ac:dyDescent="0.4">
      <c r="B750" s="127"/>
      <c r="C750" s="134"/>
      <c r="D750" s="135"/>
      <c r="E750" s="135"/>
      <c r="F750" s="136"/>
      <c r="G750" s="139"/>
      <c r="H750" s="142"/>
      <c r="I750" s="143"/>
      <c r="J750" s="101"/>
      <c r="K750" s="101"/>
      <c r="L750" s="105"/>
      <c r="M750" s="19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0"/>
      <c r="AJ750" s="20"/>
      <c r="AK750" s="21"/>
      <c r="AL750" s="21"/>
      <c r="AM750" s="21"/>
      <c r="AN750" s="21"/>
      <c r="AO750" s="21"/>
      <c r="AP750" s="21"/>
      <c r="AQ750" s="21"/>
      <c r="AR750" s="21"/>
      <c r="AS750" s="21"/>
      <c r="AT750" s="21"/>
      <c r="AU750" s="21"/>
      <c r="AV750" s="21"/>
      <c r="AW750" s="21"/>
      <c r="AX750" s="21"/>
      <c r="AY750" s="21"/>
      <c r="AZ750" s="21"/>
      <c r="BA750" s="20"/>
      <c r="BB750" s="20"/>
      <c r="BC750" s="20"/>
      <c r="BD750" s="20"/>
      <c r="BE750" s="20"/>
      <c r="BF750" s="20"/>
      <c r="BG750" s="20"/>
      <c r="BH750" s="20"/>
    </row>
    <row r="752" spans="2:60" ht="18" customHeight="1" x14ac:dyDescent="0.35">
      <c r="B752" s="1" t="s">
        <v>350</v>
      </c>
    </row>
    <row r="753" spans="2:6" ht="24" customHeight="1" x14ac:dyDescent="0.35">
      <c r="B753" s="102" t="s">
        <v>351</v>
      </c>
    </row>
    <row r="754" spans="2:6" ht="21" x14ac:dyDescent="0.35">
      <c r="B754" s="103" t="s">
        <v>352</v>
      </c>
    </row>
    <row r="757" spans="2:6" x14ac:dyDescent="0.35">
      <c r="F757" s="1">
        <f>(10/100)*L748</f>
        <v>199285.2</v>
      </c>
    </row>
    <row r="758" spans="2:6" x14ac:dyDescent="0.35">
      <c r="F758" s="104">
        <f>L748+F757</f>
        <v>2192137.2000000002</v>
      </c>
    </row>
  </sheetData>
  <mergeCells count="1109">
    <mergeCell ref="B2:BH2"/>
    <mergeCell ref="M3:BH3"/>
    <mergeCell ref="M4:BH4"/>
    <mergeCell ref="M5:P5"/>
    <mergeCell ref="Q5:T5"/>
    <mergeCell ref="U5:X5"/>
    <mergeCell ref="Y5:AB5"/>
    <mergeCell ref="AC5:AF5"/>
    <mergeCell ref="AG5:AJ5"/>
    <mergeCell ref="AK5:AN5"/>
    <mergeCell ref="BE6:BH6"/>
    <mergeCell ref="G7:I7"/>
    <mergeCell ref="M7:BH7"/>
    <mergeCell ref="F8:F10"/>
    <mergeCell ref="J8:J9"/>
    <mergeCell ref="K8:K9"/>
    <mergeCell ref="L8:L9"/>
    <mergeCell ref="AG6:AJ6"/>
    <mergeCell ref="AK6:AN6"/>
    <mergeCell ref="AO6:AR6"/>
    <mergeCell ref="AS6:AV6"/>
    <mergeCell ref="AW6:AZ6"/>
    <mergeCell ref="BA6:BD6"/>
    <mergeCell ref="AO5:AR5"/>
    <mergeCell ref="AS5:AV5"/>
    <mergeCell ref="AW5:AZ5"/>
    <mergeCell ref="BA5:BD5"/>
    <mergeCell ref="BE5:BH5"/>
    <mergeCell ref="M6:P6"/>
    <mergeCell ref="Q6:T6"/>
    <mergeCell ref="U6:X6"/>
    <mergeCell ref="Y6:AB6"/>
    <mergeCell ref="AC6:AF6"/>
    <mergeCell ref="B19:B21"/>
    <mergeCell ref="C19:C21"/>
    <mergeCell ref="D19:F21"/>
    <mergeCell ref="H19:H21"/>
    <mergeCell ref="K19:K21"/>
    <mergeCell ref="B22:B24"/>
    <mergeCell ref="C22:C24"/>
    <mergeCell ref="D22:F24"/>
    <mergeCell ref="H22:H24"/>
    <mergeCell ref="K22:K24"/>
    <mergeCell ref="B12:B14"/>
    <mergeCell ref="C12:F14"/>
    <mergeCell ref="G12:I14"/>
    <mergeCell ref="L12:L14"/>
    <mergeCell ref="B16:B18"/>
    <mergeCell ref="C16:F18"/>
    <mergeCell ref="G16:G18"/>
    <mergeCell ref="H16:H18"/>
    <mergeCell ref="I16:I18"/>
    <mergeCell ref="L16:L18"/>
    <mergeCell ref="B31:B33"/>
    <mergeCell ref="C31:C33"/>
    <mergeCell ref="D31:F33"/>
    <mergeCell ref="H31:H33"/>
    <mergeCell ref="K31:K33"/>
    <mergeCell ref="B34:B36"/>
    <mergeCell ref="C34:C36"/>
    <mergeCell ref="D34:F36"/>
    <mergeCell ref="H34:H36"/>
    <mergeCell ref="K34:K36"/>
    <mergeCell ref="B25:B27"/>
    <mergeCell ref="C25:C27"/>
    <mergeCell ref="D25:F27"/>
    <mergeCell ref="H25:H27"/>
    <mergeCell ref="K25:K27"/>
    <mergeCell ref="B28:B30"/>
    <mergeCell ref="C28:C30"/>
    <mergeCell ref="D28:F30"/>
    <mergeCell ref="H28:H30"/>
    <mergeCell ref="K28:K30"/>
    <mergeCell ref="B46:B48"/>
    <mergeCell ref="C46:C48"/>
    <mergeCell ref="D46:F48"/>
    <mergeCell ref="H46:H48"/>
    <mergeCell ref="K46:K48"/>
    <mergeCell ref="B49:B51"/>
    <mergeCell ref="C49:C51"/>
    <mergeCell ref="D49:F51"/>
    <mergeCell ref="H49:H51"/>
    <mergeCell ref="K49:K51"/>
    <mergeCell ref="B43:B45"/>
    <mergeCell ref="C43:F45"/>
    <mergeCell ref="G43:G45"/>
    <mergeCell ref="H43:H45"/>
    <mergeCell ref="I43:I45"/>
    <mergeCell ref="L43:L45"/>
    <mergeCell ref="B37:B39"/>
    <mergeCell ref="C37:C39"/>
    <mergeCell ref="D37:F39"/>
    <mergeCell ref="H37:H39"/>
    <mergeCell ref="K37:K39"/>
    <mergeCell ref="B40:B42"/>
    <mergeCell ref="C40:C42"/>
    <mergeCell ref="D40:F42"/>
    <mergeCell ref="H40:H42"/>
    <mergeCell ref="K40:K42"/>
    <mergeCell ref="B58:B60"/>
    <mergeCell ref="C58:C60"/>
    <mergeCell ref="D58:F60"/>
    <mergeCell ref="H58:H60"/>
    <mergeCell ref="K58:K60"/>
    <mergeCell ref="B61:B63"/>
    <mergeCell ref="C61:C63"/>
    <mergeCell ref="D61:F63"/>
    <mergeCell ref="H61:H63"/>
    <mergeCell ref="K61:K63"/>
    <mergeCell ref="B52:B54"/>
    <mergeCell ref="C52:C54"/>
    <mergeCell ref="D52:F54"/>
    <mergeCell ref="H52:H54"/>
    <mergeCell ref="K52:K54"/>
    <mergeCell ref="B55:B57"/>
    <mergeCell ref="C55:C57"/>
    <mergeCell ref="D55:F57"/>
    <mergeCell ref="H55:H57"/>
    <mergeCell ref="K55:K57"/>
    <mergeCell ref="B70:B72"/>
    <mergeCell ref="C70:C72"/>
    <mergeCell ref="D70:F72"/>
    <mergeCell ref="H70:H72"/>
    <mergeCell ref="K70:K72"/>
    <mergeCell ref="B73:B75"/>
    <mergeCell ref="C73:C75"/>
    <mergeCell ref="D73:F75"/>
    <mergeCell ref="H73:H75"/>
    <mergeCell ref="K73:K75"/>
    <mergeCell ref="B64:B66"/>
    <mergeCell ref="C64:C66"/>
    <mergeCell ref="D64:F66"/>
    <mergeCell ref="H64:H66"/>
    <mergeCell ref="K64:K66"/>
    <mergeCell ref="B67:B69"/>
    <mergeCell ref="C67:C69"/>
    <mergeCell ref="D67:F69"/>
    <mergeCell ref="H67:H69"/>
    <mergeCell ref="K67:K69"/>
    <mergeCell ref="B82:B84"/>
    <mergeCell ref="C82:C84"/>
    <mergeCell ref="D82:F84"/>
    <mergeCell ref="H82:H84"/>
    <mergeCell ref="K82:K84"/>
    <mergeCell ref="B85:B87"/>
    <mergeCell ref="C85:C87"/>
    <mergeCell ref="D85:F87"/>
    <mergeCell ref="H85:H87"/>
    <mergeCell ref="K85:K87"/>
    <mergeCell ref="B76:B78"/>
    <mergeCell ref="C76:C78"/>
    <mergeCell ref="D76:F78"/>
    <mergeCell ref="H76:H78"/>
    <mergeCell ref="K76:K78"/>
    <mergeCell ref="B79:B81"/>
    <mergeCell ref="C79:C81"/>
    <mergeCell ref="D79:F81"/>
    <mergeCell ref="H79:H81"/>
    <mergeCell ref="K79:K81"/>
    <mergeCell ref="D100:D102"/>
    <mergeCell ref="E100:F102"/>
    <mergeCell ref="G100:G102"/>
    <mergeCell ref="B103:B105"/>
    <mergeCell ref="C103:C105"/>
    <mergeCell ref="D103:F105"/>
    <mergeCell ref="D94:D96"/>
    <mergeCell ref="E94:F96"/>
    <mergeCell ref="G94:G96"/>
    <mergeCell ref="D97:D99"/>
    <mergeCell ref="E97:F99"/>
    <mergeCell ref="G97:G99"/>
    <mergeCell ref="B88:B90"/>
    <mergeCell ref="C88:C90"/>
    <mergeCell ref="D88:F90"/>
    <mergeCell ref="H88:H90"/>
    <mergeCell ref="K88:K90"/>
    <mergeCell ref="B91:B93"/>
    <mergeCell ref="C91:C93"/>
    <mergeCell ref="D91:D93"/>
    <mergeCell ref="E91:F93"/>
    <mergeCell ref="G91:G93"/>
    <mergeCell ref="B109:B111"/>
    <mergeCell ref="C109:C111"/>
    <mergeCell ref="D109:D111"/>
    <mergeCell ref="E109:F111"/>
    <mergeCell ref="G109:G111"/>
    <mergeCell ref="B112:B114"/>
    <mergeCell ref="C112:C114"/>
    <mergeCell ref="D112:D114"/>
    <mergeCell ref="E112:F114"/>
    <mergeCell ref="G112:G114"/>
    <mergeCell ref="H103:H105"/>
    <mergeCell ref="K103:K105"/>
    <mergeCell ref="B106:B108"/>
    <mergeCell ref="C106:C108"/>
    <mergeCell ref="D106:D108"/>
    <mergeCell ref="E106:F108"/>
    <mergeCell ref="G106:G108"/>
    <mergeCell ref="H124:H126"/>
    <mergeCell ref="K124:K126"/>
    <mergeCell ref="D127:D129"/>
    <mergeCell ref="E127:F129"/>
    <mergeCell ref="G127:G129"/>
    <mergeCell ref="D130:D132"/>
    <mergeCell ref="E130:F132"/>
    <mergeCell ref="G130:G132"/>
    <mergeCell ref="D121:D123"/>
    <mergeCell ref="E121:F123"/>
    <mergeCell ref="G121:G123"/>
    <mergeCell ref="B124:B126"/>
    <mergeCell ref="C124:C126"/>
    <mergeCell ref="D124:F126"/>
    <mergeCell ref="D115:D117"/>
    <mergeCell ref="E115:F117"/>
    <mergeCell ref="G115:G117"/>
    <mergeCell ref="D118:D120"/>
    <mergeCell ref="E118:F120"/>
    <mergeCell ref="G118:G120"/>
    <mergeCell ref="H142:H144"/>
    <mergeCell ref="I142:I144"/>
    <mergeCell ref="L142:L144"/>
    <mergeCell ref="B145:B147"/>
    <mergeCell ref="C145:C147"/>
    <mergeCell ref="D145:F147"/>
    <mergeCell ref="H145:H147"/>
    <mergeCell ref="K145:K147"/>
    <mergeCell ref="D139:D141"/>
    <mergeCell ref="E139:F141"/>
    <mergeCell ref="G139:G141"/>
    <mergeCell ref="B142:B144"/>
    <mergeCell ref="C142:F144"/>
    <mergeCell ref="G142:G144"/>
    <mergeCell ref="D133:D135"/>
    <mergeCell ref="E133:F135"/>
    <mergeCell ref="G133:G135"/>
    <mergeCell ref="D136:D138"/>
    <mergeCell ref="E136:F138"/>
    <mergeCell ref="G136:G138"/>
    <mergeCell ref="B154:B156"/>
    <mergeCell ref="C154:C156"/>
    <mergeCell ref="D154:D156"/>
    <mergeCell ref="E154:F156"/>
    <mergeCell ref="G154:G156"/>
    <mergeCell ref="B157:B159"/>
    <mergeCell ref="C157:C159"/>
    <mergeCell ref="D157:D159"/>
    <mergeCell ref="E157:F159"/>
    <mergeCell ref="G157:G159"/>
    <mergeCell ref="B148:B150"/>
    <mergeCell ref="C148:C150"/>
    <mergeCell ref="D148:D150"/>
    <mergeCell ref="E148:F150"/>
    <mergeCell ref="G148:G150"/>
    <mergeCell ref="B151:B153"/>
    <mergeCell ref="C151:C153"/>
    <mergeCell ref="D151:D153"/>
    <mergeCell ref="E151:F153"/>
    <mergeCell ref="G151:G153"/>
    <mergeCell ref="B166:B168"/>
    <mergeCell ref="C166:C168"/>
    <mergeCell ref="D166:D168"/>
    <mergeCell ref="E166:F168"/>
    <mergeCell ref="G166:G168"/>
    <mergeCell ref="D169:D171"/>
    <mergeCell ref="E169:F171"/>
    <mergeCell ref="G169:G171"/>
    <mergeCell ref="B160:B162"/>
    <mergeCell ref="C160:C162"/>
    <mergeCell ref="D160:F162"/>
    <mergeCell ref="H160:H162"/>
    <mergeCell ref="K160:K162"/>
    <mergeCell ref="B163:B165"/>
    <mergeCell ref="C163:C165"/>
    <mergeCell ref="D163:D165"/>
    <mergeCell ref="E163:F165"/>
    <mergeCell ref="G163:G165"/>
    <mergeCell ref="B184:B186"/>
    <mergeCell ref="C184:C186"/>
    <mergeCell ref="D184:F186"/>
    <mergeCell ref="H184:H186"/>
    <mergeCell ref="K184:K186"/>
    <mergeCell ref="D187:D189"/>
    <mergeCell ref="E187:F189"/>
    <mergeCell ref="G187:G189"/>
    <mergeCell ref="J187:J189"/>
    <mergeCell ref="D178:D180"/>
    <mergeCell ref="E178:F180"/>
    <mergeCell ref="G178:G180"/>
    <mergeCell ref="D181:D183"/>
    <mergeCell ref="E181:F183"/>
    <mergeCell ref="G181:G183"/>
    <mergeCell ref="D172:D174"/>
    <mergeCell ref="E172:F174"/>
    <mergeCell ref="G172:G174"/>
    <mergeCell ref="D175:D177"/>
    <mergeCell ref="E175:F177"/>
    <mergeCell ref="G175:G177"/>
    <mergeCell ref="B205:B207"/>
    <mergeCell ref="C205:C207"/>
    <mergeCell ref="D205:F207"/>
    <mergeCell ref="D196:D198"/>
    <mergeCell ref="E196:F198"/>
    <mergeCell ref="G196:G198"/>
    <mergeCell ref="D199:D201"/>
    <mergeCell ref="E199:F201"/>
    <mergeCell ref="G199:G201"/>
    <mergeCell ref="B190:B192"/>
    <mergeCell ref="C190:C192"/>
    <mergeCell ref="D190:D192"/>
    <mergeCell ref="E190:F192"/>
    <mergeCell ref="G190:G192"/>
    <mergeCell ref="D193:D195"/>
    <mergeCell ref="E193:F195"/>
    <mergeCell ref="G193:G195"/>
    <mergeCell ref="D214:D216"/>
    <mergeCell ref="E214:F216"/>
    <mergeCell ref="G214:G216"/>
    <mergeCell ref="D217:D219"/>
    <mergeCell ref="E217:F219"/>
    <mergeCell ref="G217:G219"/>
    <mergeCell ref="H205:H207"/>
    <mergeCell ref="K205:K207"/>
    <mergeCell ref="D208:D210"/>
    <mergeCell ref="E208:F210"/>
    <mergeCell ref="G208:G210"/>
    <mergeCell ref="D211:D213"/>
    <mergeCell ref="E211:F213"/>
    <mergeCell ref="G211:G213"/>
    <mergeCell ref="D202:D204"/>
    <mergeCell ref="E202:F204"/>
    <mergeCell ref="G202:G204"/>
    <mergeCell ref="B229:B231"/>
    <mergeCell ref="C229:C231"/>
    <mergeCell ref="D229:F231"/>
    <mergeCell ref="H229:H231"/>
    <mergeCell ref="K229:K231"/>
    <mergeCell ref="B232:B234"/>
    <mergeCell ref="C232:C234"/>
    <mergeCell ref="D232:D234"/>
    <mergeCell ref="E232:F234"/>
    <mergeCell ref="G232:G234"/>
    <mergeCell ref="B226:B228"/>
    <mergeCell ref="C226:F228"/>
    <mergeCell ref="G226:G228"/>
    <mergeCell ref="H226:H228"/>
    <mergeCell ref="I226:I228"/>
    <mergeCell ref="L226:L228"/>
    <mergeCell ref="D220:D222"/>
    <mergeCell ref="E220:F222"/>
    <mergeCell ref="G220:G222"/>
    <mergeCell ref="D223:D225"/>
    <mergeCell ref="E223:F225"/>
    <mergeCell ref="G223:G225"/>
    <mergeCell ref="B241:B243"/>
    <mergeCell ref="C241:C243"/>
    <mergeCell ref="D241:F243"/>
    <mergeCell ref="H241:H243"/>
    <mergeCell ref="K241:K243"/>
    <mergeCell ref="B244:B246"/>
    <mergeCell ref="C244:C246"/>
    <mergeCell ref="D244:D246"/>
    <mergeCell ref="E244:F246"/>
    <mergeCell ref="G244:G246"/>
    <mergeCell ref="B235:B237"/>
    <mergeCell ref="C235:C237"/>
    <mergeCell ref="D235:D237"/>
    <mergeCell ref="E235:F237"/>
    <mergeCell ref="G235:G237"/>
    <mergeCell ref="B238:B240"/>
    <mergeCell ref="C238:C240"/>
    <mergeCell ref="D238:D240"/>
    <mergeCell ref="E238:F240"/>
    <mergeCell ref="G238:G240"/>
    <mergeCell ref="B253:B255"/>
    <mergeCell ref="C253:C255"/>
    <mergeCell ref="D253:D255"/>
    <mergeCell ref="E253:F255"/>
    <mergeCell ref="G253:G255"/>
    <mergeCell ref="B256:B258"/>
    <mergeCell ref="C256:C258"/>
    <mergeCell ref="D256:D258"/>
    <mergeCell ref="E256:F258"/>
    <mergeCell ref="G256:G258"/>
    <mergeCell ref="B247:B249"/>
    <mergeCell ref="C247:C249"/>
    <mergeCell ref="D247:D249"/>
    <mergeCell ref="E247:F249"/>
    <mergeCell ref="G247:G249"/>
    <mergeCell ref="B250:B252"/>
    <mergeCell ref="C250:C252"/>
    <mergeCell ref="D250:D252"/>
    <mergeCell ref="E250:F252"/>
    <mergeCell ref="G250:G252"/>
    <mergeCell ref="B268:B270"/>
    <mergeCell ref="C268:C270"/>
    <mergeCell ref="D268:F270"/>
    <mergeCell ref="H268:H270"/>
    <mergeCell ref="K268:K270"/>
    <mergeCell ref="B271:B273"/>
    <mergeCell ref="C271:C273"/>
    <mergeCell ref="D271:D273"/>
    <mergeCell ref="E271:F273"/>
    <mergeCell ref="G271:G273"/>
    <mergeCell ref="B265:B267"/>
    <mergeCell ref="C265:F267"/>
    <mergeCell ref="G265:G267"/>
    <mergeCell ref="H265:H267"/>
    <mergeCell ref="I265:I267"/>
    <mergeCell ref="L265:L267"/>
    <mergeCell ref="B259:B261"/>
    <mergeCell ref="C259:C261"/>
    <mergeCell ref="D259:D261"/>
    <mergeCell ref="E259:F261"/>
    <mergeCell ref="G259:G261"/>
    <mergeCell ref="B262:B264"/>
    <mergeCell ref="C262:C264"/>
    <mergeCell ref="D262:D264"/>
    <mergeCell ref="E262:F264"/>
    <mergeCell ref="G262:G264"/>
    <mergeCell ref="B280:B282"/>
    <mergeCell ref="C280:C282"/>
    <mergeCell ref="D280:D282"/>
    <mergeCell ref="E280:F282"/>
    <mergeCell ref="G280:G282"/>
    <mergeCell ref="B283:B285"/>
    <mergeCell ref="C283:C285"/>
    <mergeCell ref="D283:D285"/>
    <mergeCell ref="E283:F285"/>
    <mergeCell ref="G283:G285"/>
    <mergeCell ref="B274:B276"/>
    <mergeCell ref="C274:C276"/>
    <mergeCell ref="D274:D276"/>
    <mergeCell ref="E274:F276"/>
    <mergeCell ref="G274:G276"/>
    <mergeCell ref="B277:B279"/>
    <mergeCell ref="C277:C279"/>
    <mergeCell ref="D277:D279"/>
    <mergeCell ref="E277:F279"/>
    <mergeCell ref="G277:G279"/>
    <mergeCell ref="D298:D300"/>
    <mergeCell ref="E298:F300"/>
    <mergeCell ref="G298:G300"/>
    <mergeCell ref="D301:D303"/>
    <mergeCell ref="E301:F303"/>
    <mergeCell ref="G301:G303"/>
    <mergeCell ref="D292:D294"/>
    <mergeCell ref="E292:F294"/>
    <mergeCell ref="G292:G294"/>
    <mergeCell ref="D295:D297"/>
    <mergeCell ref="E295:F297"/>
    <mergeCell ref="G295:G297"/>
    <mergeCell ref="B286:B288"/>
    <mergeCell ref="C286:C288"/>
    <mergeCell ref="D286:F288"/>
    <mergeCell ref="H286:H288"/>
    <mergeCell ref="K286:K288"/>
    <mergeCell ref="D289:D291"/>
    <mergeCell ref="E289:F291"/>
    <mergeCell ref="G289:G291"/>
    <mergeCell ref="D313:D315"/>
    <mergeCell ref="E313:F315"/>
    <mergeCell ref="G313:G315"/>
    <mergeCell ref="D316:D318"/>
    <mergeCell ref="E316:F318"/>
    <mergeCell ref="G316:G318"/>
    <mergeCell ref="H307:H309"/>
    <mergeCell ref="K307:K309"/>
    <mergeCell ref="B310:B312"/>
    <mergeCell ref="C310:C312"/>
    <mergeCell ref="D310:D312"/>
    <mergeCell ref="E310:F312"/>
    <mergeCell ref="G310:G312"/>
    <mergeCell ref="D304:D306"/>
    <mergeCell ref="E304:F306"/>
    <mergeCell ref="G304:G306"/>
    <mergeCell ref="B307:B309"/>
    <mergeCell ref="C307:C309"/>
    <mergeCell ref="D307:F309"/>
    <mergeCell ref="D331:D333"/>
    <mergeCell ref="E331:F333"/>
    <mergeCell ref="G331:G333"/>
    <mergeCell ref="D334:D336"/>
    <mergeCell ref="E334:F336"/>
    <mergeCell ref="G334:G336"/>
    <mergeCell ref="D325:D327"/>
    <mergeCell ref="E325:F327"/>
    <mergeCell ref="G325:G327"/>
    <mergeCell ref="D328:D330"/>
    <mergeCell ref="E328:F330"/>
    <mergeCell ref="G328:G330"/>
    <mergeCell ref="D319:D321"/>
    <mergeCell ref="E319:F321"/>
    <mergeCell ref="G319:G321"/>
    <mergeCell ref="D322:D324"/>
    <mergeCell ref="E322:F324"/>
    <mergeCell ref="G322:G324"/>
    <mergeCell ref="H346:H348"/>
    <mergeCell ref="K346:K348"/>
    <mergeCell ref="B349:B351"/>
    <mergeCell ref="C349:C351"/>
    <mergeCell ref="D349:D351"/>
    <mergeCell ref="E349:F351"/>
    <mergeCell ref="G349:G351"/>
    <mergeCell ref="B343:B345"/>
    <mergeCell ref="C343:C345"/>
    <mergeCell ref="D343:D345"/>
    <mergeCell ref="E343:F345"/>
    <mergeCell ref="G343:G345"/>
    <mergeCell ref="B346:B348"/>
    <mergeCell ref="C346:C348"/>
    <mergeCell ref="D346:F348"/>
    <mergeCell ref="D337:D339"/>
    <mergeCell ref="E337:F339"/>
    <mergeCell ref="G337:G339"/>
    <mergeCell ref="B340:B342"/>
    <mergeCell ref="C340:C342"/>
    <mergeCell ref="D340:D342"/>
    <mergeCell ref="E340:F342"/>
    <mergeCell ref="G340:G342"/>
    <mergeCell ref="D364:D366"/>
    <mergeCell ref="E364:F366"/>
    <mergeCell ref="G364:G366"/>
    <mergeCell ref="B367:B369"/>
    <mergeCell ref="C367:C369"/>
    <mergeCell ref="D367:F369"/>
    <mergeCell ref="B358:B360"/>
    <mergeCell ref="C358:C360"/>
    <mergeCell ref="D358:F360"/>
    <mergeCell ref="H358:H360"/>
    <mergeCell ref="K358:K360"/>
    <mergeCell ref="B361:B363"/>
    <mergeCell ref="C361:C363"/>
    <mergeCell ref="D361:D363"/>
    <mergeCell ref="E361:F363"/>
    <mergeCell ref="G361:G363"/>
    <mergeCell ref="D352:D354"/>
    <mergeCell ref="E352:F354"/>
    <mergeCell ref="G352:G354"/>
    <mergeCell ref="D355:D357"/>
    <mergeCell ref="E355:F357"/>
    <mergeCell ref="G355:G357"/>
    <mergeCell ref="D379:D381"/>
    <mergeCell ref="E379:F381"/>
    <mergeCell ref="G379:G381"/>
    <mergeCell ref="B382:B384"/>
    <mergeCell ref="C382:C384"/>
    <mergeCell ref="D382:F384"/>
    <mergeCell ref="D373:D375"/>
    <mergeCell ref="E373:F375"/>
    <mergeCell ref="G373:G375"/>
    <mergeCell ref="D376:D378"/>
    <mergeCell ref="E376:F378"/>
    <mergeCell ref="G376:G378"/>
    <mergeCell ref="H367:H369"/>
    <mergeCell ref="K367:K369"/>
    <mergeCell ref="B370:B372"/>
    <mergeCell ref="C370:C372"/>
    <mergeCell ref="D370:D372"/>
    <mergeCell ref="E370:F372"/>
    <mergeCell ref="G370:G372"/>
    <mergeCell ref="I394:I396"/>
    <mergeCell ref="L394:L396"/>
    <mergeCell ref="B397:B399"/>
    <mergeCell ref="C397:C399"/>
    <mergeCell ref="D397:F399"/>
    <mergeCell ref="H397:H399"/>
    <mergeCell ref="K397:K399"/>
    <mergeCell ref="D388:D390"/>
    <mergeCell ref="E388:F390"/>
    <mergeCell ref="G388:G390"/>
    <mergeCell ref="D391:D393"/>
    <mergeCell ref="E391:F393"/>
    <mergeCell ref="G391:G393"/>
    <mergeCell ref="H382:H384"/>
    <mergeCell ref="K382:K384"/>
    <mergeCell ref="B385:B387"/>
    <mergeCell ref="C385:C387"/>
    <mergeCell ref="D385:D387"/>
    <mergeCell ref="E385:F387"/>
    <mergeCell ref="G385:G387"/>
    <mergeCell ref="D406:D408"/>
    <mergeCell ref="E406:F408"/>
    <mergeCell ref="G406:G408"/>
    <mergeCell ref="D409:D411"/>
    <mergeCell ref="E409:F411"/>
    <mergeCell ref="G409:G411"/>
    <mergeCell ref="B400:B402"/>
    <mergeCell ref="C400:C402"/>
    <mergeCell ref="D400:D402"/>
    <mergeCell ref="E400:F402"/>
    <mergeCell ref="G400:G402"/>
    <mergeCell ref="D403:D405"/>
    <mergeCell ref="E403:F405"/>
    <mergeCell ref="G403:G405"/>
    <mergeCell ref="B394:B396"/>
    <mergeCell ref="C394:F396"/>
    <mergeCell ref="G394:G396"/>
    <mergeCell ref="D424:D426"/>
    <mergeCell ref="E424:F426"/>
    <mergeCell ref="G424:G426"/>
    <mergeCell ref="B427:B429"/>
    <mergeCell ref="C427:C429"/>
    <mergeCell ref="D427:F429"/>
    <mergeCell ref="D418:D420"/>
    <mergeCell ref="E418:F420"/>
    <mergeCell ref="G418:G420"/>
    <mergeCell ref="D421:D423"/>
    <mergeCell ref="E421:F423"/>
    <mergeCell ref="G421:G423"/>
    <mergeCell ref="B412:B414"/>
    <mergeCell ref="C412:C414"/>
    <mergeCell ref="D412:F414"/>
    <mergeCell ref="H412:H414"/>
    <mergeCell ref="K412:K414"/>
    <mergeCell ref="B415:B417"/>
    <mergeCell ref="C415:C417"/>
    <mergeCell ref="D415:D417"/>
    <mergeCell ref="E415:F417"/>
    <mergeCell ref="G415:G417"/>
    <mergeCell ref="B439:B441"/>
    <mergeCell ref="C439:C441"/>
    <mergeCell ref="D439:D441"/>
    <mergeCell ref="E439:F441"/>
    <mergeCell ref="G439:G441"/>
    <mergeCell ref="B442:B444"/>
    <mergeCell ref="C442:C444"/>
    <mergeCell ref="D442:F444"/>
    <mergeCell ref="D433:D435"/>
    <mergeCell ref="E433:F435"/>
    <mergeCell ref="G433:G435"/>
    <mergeCell ref="D436:D438"/>
    <mergeCell ref="E436:F438"/>
    <mergeCell ref="G436:G438"/>
    <mergeCell ref="H427:H429"/>
    <mergeCell ref="K427:K429"/>
    <mergeCell ref="B430:B432"/>
    <mergeCell ref="C430:C432"/>
    <mergeCell ref="D430:D432"/>
    <mergeCell ref="E430:F432"/>
    <mergeCell ref="G430:G432"/>
    <mergeCell ref="B454:B456"/>
    <mergeCell ref="C454:C456"/>
    <mergeCell ref="D454:D456"/>
    <mergeCell ref="E454:F456"/>
    <mergeCell ref="G454:G456"/>
    <mergeCell ref="D457:D459"/>
    <mergeCell ref="E457:F459"/>
    <mergeCell ref="G457:G459"/>
    <mergeCell ref="D448:D450"/>
    <mergeCell ref="E448:F450"/>
    <mergeCell ref="G448:G450"/>
    <mergeCell ref="D451:D453"/>
    <mergeCell ref="E451:F453"/>
    <mergeCell ref="G451:G453"/>
    <mergeCell ref="H442:H444"/>
    <mergeCell ref="K442:K444"/>
    <mergeCell ref="B445:B447"/>
    <mergeCell ref="C445:C447"/>
    <mergeCell ref="D445:D447"/>
    <mergeCell ref="E445:F447"/>
    <mergeCell ref="G445:G447"/>
    <mergeCell ref="H472:H474"/>
    <mergeCell ref="K472:K474"/>
    <mergeCell ref="B475:B477"/>
    <mergeCell ref="C475:C477"/>
    <mergeCell ref="D475:D477"/>
    <mergeCell ref="E475:F477"/>
    <mergeCell ref="G475:G477"/>
    <mergeCell ref="D466:D468"/>
    <mergeCell ref="E466:F468"/>
    <mergeCell ref="G466:G468"/>
    <mergeCell ref="D469:D471"/>
    <mergeCell ref="E469:F471"/>
    <mergeCell ref="G469:G471"/>
    <mergeCell ref="B460:B462"/>
    <mergeCell ref="C460:C462"/>
    <mergeCell ref="D460:F462"/>
    <mergeCell ref="H460:H462"/>
    <mergeCell ref="K460:K462"/>
    <mergeCell ref="B463:B465"/>
    <mergeCell ref="C463:C465"/>
    <mergeCell ref="D463:D465"/>
    <mergeCell ref="E463:F465"/>
    <mergeCell ref="G463:G465"/>
    <mergeCell ref="B484:B486"/>
    <mergeCell ref="C484:C486"/>
    <mergeCell ref="D484:D486"/>
    <mergeCell ref="E484:F486"/>
    <mergeCell ref="G484:G486"/>
    <mergeCell ref="D487:D489"/>
    <mergeCell ref="E487:F489"/>
    <mergeCell ref="G487:G489"/>
    <mergeCell ref="D478:D480"/>
    <mergeCell ref="E478:F480"/>
    <mergeCell ref="G478:G480"/>
    <mergeCell ref="B481:B483"/>
    <mergeCell ref="C481:C483"/>
    <mergeCell ref="D481:D483"/>
    <mergeCell ref="E481:F483"/>
    <mergeCell ref="G481:G483"/>
    <mergeCell ref="B472:B474"/>
    <mergeCell ref="C472:C474"/>
    <mergeCell ref="D472:F474"/>
    <mergeCell ref="D499:D501"/>
    <mergeCell ref="E499:F501"/>
    <mergeCell ref="G499:G501"/>
    <mergeCell ref="D502:D504"/>
    <mergeCell ref="E502:F504"/>
    <mergeCell ref="G502:G504"/>
    <mergeCell ref="H493:H495"/>
    <mergeCell ref="K493:K495"/>
    <mergeCell ref="B496:B498"/>
    <mergeCell ref="C496:C498"/>
    <mergeCell ref="D496:D498"/>
    <mergeCell ref="E496:F498"/>
    <mergeCell ref="G496:G498"/>
    <mergeCell ref="B490:B492"/>
    <mergeCell ref="C490:C492"/>
    <mergeCell ref="D490:D492"/>
    <mergeCell ref="E490:F492"/>
    <mergeCell ref="G490:G492"/>
    <mergeCell ref="B493:B495"/>
    <mergeCell ref="C493:C495"/>
    <mergeCell ref="D493:F495"/>
    <mergeCell ref="H514:H516"/>
    <mergeCell ref="I514:I516"/>
    <mergeCell ref="L514:L516"/>
    <mergeCell ref="B517:B519"/>
    <mergeCell ref="C517:C519"/>
    <mergeCell ref="D517:F519"/>
    <mergeCell ref="H517:H519"/>
    <mergeCell ref="K517:K519"/>
    <mergeCell ref="D511:D513"/>
    <mergeCell ref="E511:F513"/>
    <mergeCell ref="G511:G513"/>
    <mergeCell ref="B514:B516"/>
    <mergeCell ref="C514:F516"/>
    <mergeCell ref="G514:G516"/>
    <mergeCell ref="B505:B507"/>
    <mergeCell ref="C505:C507"/>
    <mergeCell ref="D505:F507"/>
    <mergeCell ref="H505:H507"/>
    <mergeCell ref="K505:K507"/>
    <mergeCell ref="B508:B510"/>
    <mergeCell ref="C508:C510"/>
    <mergeCell ref="D508:D510"/>
    <mergeCell ref="E508:F510"/>
    <mergeCell ref="G508:G510"/>
    <mergeCell ref="H532:H534"/>
    <mergeCell ref="K532:K534"/>
    <mergeCell ref="B535:B537"/>
    <mergeCell ref="C535:C537"/>
    <mergeCell ref="D535:D537"/>
    <mergeCell ref="E535:F537"/>
    <mergeCell ref="G535:G537"/>
    <mergeCell ref="D526:D528"/>
    <mergeCell ref="E526:F528"/>
    <mergeCell ref="G526:G528"/>
    <mergeCell ref="D529:D531"/>
    <mergeCell ref="E529:F531"/>
    <mergeCell ref="G529:G531"/>
    <mergeCell ref="B520:B522"/>
    <mergeCell ref="C520:C522"/>
    <mergeCell ref="D520:D522"/>
    <mergeCell ref="E520:F522"/>
    <mergeCell ref="G520:G522"/>
    <mergeCell ref="D523:D525"/>
    <mergeCell ref="E523:F525"/>
    <mergeCell ref="G523:G525"/>
    <mergeCell ref="B544:B546"/>
    <mergeCell ref="C544:C546"/>
    <mergeCell ref="D544:D546"/>
    <mergeCell ref="E544:F546"/>
    <mergeCell ref="G544:G546"/>
    <mergeCell ref="D547:D549"/>
    <mergeCell ref="E547:F549"/>
    <mergeCell ref="G547:G549"/>
    <mergeCell ref="D538:D540"/>
    <mergeCell ref="E538:F540"/>
    <mergeCell ref="G538:G540"/>
    <mergeCell ref="D541:D543"/>
    <mergeCell ref="E541:F543"/>
    <mergeCell ref="G541:G543"/>
    <mergeCell ref="B532:B534"/>
    <mergeCell ref="C532:C534"/>
    <mergeCell ref="D532:F534"/>
    <mergeCell ref="D562:D564"/>
    <mergeCell ref="E562:F564"/>
    <mergeCell ref="G562:G564"/>
    <mergeCell ref="B565:B567"/>
    <mergeCell ref="C565:C567"/>
    <mergeCell ref="D565:F567"/>
    <mergeCell ref="B556:B558"/>
    <mergeCell ref="C556:C558"/>
    <mergeCell ref="D556:F558"/>
    <mergeCell ref="H556:H558"/>
    <mergeCell ref="K556:K558"/>
    <mergeCell ref="B559:B561"/>
    <mergeCell ref="C559:C561"/>
    <mergeCell ref="D559:D561"/>
    <mergeCell ref="E559:F561"/>
    <mergeCell ref="G559:G561"/>
    <mergeCell ref="D550:D552"/>
    <mergeCell ref="E550:F552"/>
    <mergeCell ref="G550:G552"/>
    <mergeCell ref="D553:D555"/>
    <mergeCell ref="E553:F555"/>
    <mergeCell ref="G553:G555"/>
    <mergeCell ref="B577:B579"/>
    <mergeCell ref="C577:F579"/>
    <mergeCell ref="G577:G579"/>
    <mergeCell ref="H577:H579"/>
    <mergeCell ref="I577:I579"/>
    <mergeCell ref="L577:L579"/>
    <mergeCell ref="D571:D573"/>
    <mergeCell ref="E571:F573"/>
    <mergeCell ref="G571:G573"/>
    <mergeCell ref="D574:D576"/>
    <mergeCell ref="E574:F576"/>
    <mergeCell ref="G574:G576"/>
    <mergeCell ref="H565:H567"/>
    <mergeCell ref="K565:K567"/>
    <mergeCell ref="B568:B570"/>
    <mergeCell ref="C568:C570"/>
    <mergeCell ref="D568:D570"/>
    <mergeCell ref="E568:F570"/>
    <mergeCell ref="G568:G570"/>
    <mergeCell ref="H589:H591"/>
    <mergeCell ref="K589:K591"/>
    <mergeCell ref="B592:B594"/>
    <mergeCell ref="C592:C594"/>
    <mergeCell ref="D592:D594"/>
    <mergeCell ref="E592:F594"/>
    <mergeCell ref="G592:G594"/>
    <mergeCell ref="B586:B588"/>
    <mergeCell ref="C586:C588"/>
    <mergeCell ref="D586:D588"/>
    <mergeCell ref="E586:F588"/>
    <mergeCell ref="G586:G588"/>
    <mergeCell ref="B589:B591"/>
    <mergeCell ref="C589:C591"/>
    <mergeCell ref="D589:F591"/>
    <mergeCell ref="C580:C582"/>
    <mergeCell ref="D580:F582"/>
    <mergeCell ref="H580:H582"/>
    <mergeCell ref="K580:K582"/>
    <mergeCell ref="B583:B585"/>
    <mergeCell ref="C583:C585"/>
    <mergeCell ref="D583:D585"/>
    <mergeCell ref="E583:F585"/>
    <mergeCell ref="G583:G585"/>
    <mergeCell ref="H604:H606"/>
    <mergeCell ref="K604:K606"/>
    <mergeCell ref="B607:B609"/>
    <mergeCell ref="C607:C609"/>
    <mergeCell ref="D607:D609"/>
    <mergeCell ref="E607:F609"/>
    <mergeCell ref="G607:G609"/>
    <mergeCell ref="B601:B603"/>
    <mergeCell ref="C601:C603"/>
    <mergeCell ref="D601:D603"/>
    <mergeCell ref="E601:F603"/>
    <mergeCell ref="G601:G603"/>
    <mergeCell ref="B604:B606"/>
    <mergeCell ref="C604:C606"/>
    <mergeCell ref="D604:F606"/>
    <mergeCell ref="B595:B597"/>
    <mergeCell ref="C595:C597"/>
    <mergeCell ref="D595:D597"/>
    <mergeCell ref="E595:F597"/>
    <mergeCell ref="G595:G597"/>
    <mergeCell ref="B598:B600"/>
    <mergeCell ref="C598:C600"/>
    <mergeCell ref="D598:D600"/>
    <mergeCell ref="E598:F600"/>
    <mergeCell ref="G598:G600"/>
    <mergeCell ref="B616:B618"/>
    <mergeCell ref="C616:C618"/>
    <mergeCell ref="D616:D618"/>
    <mergeCell ref="E616:F618"/>
    <mergeCell ref="G616:G618"/>
    <mergeCell ref="B619:B621"/>
    <mergeCell ref="C619:C621"/>
    <mergeCell ref="D619:F621"/>
    <mergeCell ref="B610:B612"/>
    <mergeCell ref="C610:C612"/>
    <mergeCell ref="D610:D612"/>
    <mergeCell ref="E610:F612"/>
    <mergeCell ref="G610:G612"/>
    <mergeCell ref="B613:B615"/>
    <mergeCell ref="C613:C615"/>
    <mergeCell ref="D613:D615"/>
    <mergeCell ref="E613:F615"/>
    <mergeCell ref="G613:G615"/>
    <mergeCell ref="H628:H630"/>
    <mergeCell ref="K628:K630"/>
    <mergeCell ref="B631:B633"/>
    <mergeCell ref="C631:C633"/>
    <mergeCell ref="D631:D633"/>
    <mergeCell ref="E631:F633"/>
    <mergeCell ref="G631:G633"/>
    <mergeCell ref="B625:B627"/>
    <mergeCell ref="C625:C627"/>
    <mergeCell ref="D625:D627"/>
    <mergeCell ref="E625:F627"/>
    <mergeCell ref="G625:G627"/>
    <mergeCell ref="B628:B630"/>
    <mergeCell ref="C628:C630"/>
    <mergeCell ref="D628:F630"/>
    <mergeCell ref="H619:H621"/>
    <mergeCell ref="K619:K621"/>
    <mergeCell ref="B622:B624"/>
    <mergeCell ref="C622:C624"/>
    <mergeCell ref="D622:D624"/>
    <mergeCell ref="E622:F624"/>
    <mergeCell ref="G622:G624"/>
    <mergeCell ref="H637:H639"/>
    <mergeCell ref="K637:K639"/>
    <mergeCell ref="D640:D642"/>
    <mergeCell ref="E640:F642"/>
    <mergeCell ref="G640:G642"/>
    <mergeCell ref="B643:B645"/>
    <mergeCell ref="C643:C645"/>
    <mergeCell ref="D643:D645"/>
    <mergeCell ref="E643:F645"/>
    <mergeCell ref="G643:G645"/>
    <mergeCell ref="B634:B636"/>
    <mergeCell ref="C634:C636"/>
    <mergeCell ref="D634:D636"/>
    <mergeCell ref="E634:F636"/>
    <mergeCell ref="G634:G636"/>
    <mergeCell ref="B637:B639"/>
    <mergeCell ref="C637:C639"/>
    <mergeCell ref="D637:F639"/>
    <mergeCell ref="B652:B654"/>
    <mergeCell ref="C652:C654"/>
    <mergeCell ref="D652:F654"/>
    <mergeCell ref="H652:H654"/>
    <mergeCell ref="K652:K654"/>
    <mergeCell ref="D655:D657"/>
    <mergeCell ref="E655:F657"/>
    <mergeCell ref="G655:G657"/>
    <mergeCell ref="B646:B648"/>
    <mergeCell ref="C646:C648"/>
    <mergeCell ref="D646:D648"/>
    <mergeCell ref="E646:F648"/>
    <mergeCell ref="G646:G648"/>
    <mergeCell ref="B649:B651"/>
    <mergeCell ref="C649:C651"/>
    <mergeCell ref="D649:D651"/>
    <mergeCell ref="E649:F651"/>
    <mergeCell ref="G649:G651"/>
    <mergeCell ref="B667:B669"/>
    <mergeCell ref="C667:C669"/>
    <mergeCell ref="D667:F669"/>
    <mergeCell ref="H667:H669"/>
    <mergeCell ref="K667:K669"/>
    <mergeCell ref="B670:B672"/>
    <mergeCell ref="C670:C672"/>
    <mergeCell ref="D670:D672"/>
    <mergeCell ref="E670:F672"/>
    <mergeCell ref="G670:G672"/>
    <mergeCell ref="B664:B666"/>
    <mergeCell ref="C664:F666"/>
    <mergeCell ref="G664:G666"/>
    <mergeCell ref="H664:H666"/>
    <mergeCell ref="I664:I666"/>
    <mergeCell ref="L664:L666"/>
    <mergeCell ref="B658:B660"/>
    <mergeCell ref="C658:C660"/>
    <mergeCell ref="D658:D660"/>
    <mergeCell ref="E658:F660"/>
    <mergeCell ref="G658:G660"/>
    <mergeCell ref="B661:B663"/>
    <mergeCell ref="C661:C663"/>
    <mergeCell ref="D661:D663"/>
    <mergeCell ref="E661:F663"/>
    <mergeCell ref="G661:G663"/>
    <mergeCell ref="H682:H684"/>
    <mergeCell ref="K682:K684"/>
    <mergeCell ref="B685:B687"/>
    <mergeCell ref="C685:C687"/>
    <mergeCell ref="D685:D687"/>
    <mergeCell ref="E685:F687"/>
    <mergeCell ref="G685:G687"/>
    <mergeCell ref="B679:B681"/>
    <mergeCell ref="C679:C681"/>
    <mergeCell ref="D679:D681"/>
    <mergeCell ref="E679:F681"/>
    <mergeCell ref="G679:G681"/>
    <mergeCell ref="B682:B684"/>
    <mergeCell ref="C682:C684"/>
    <mergeCell ref="D682:F684"/>
    <mergeCell ref="B673:B675"/>
    <mergeCell ref="C673:C675"/>
    <mergeCell ref="D673:D675"/>
    <mergeCell ref="E673:F675"/>
    <mergeCell ref="G673:G675"/>
    <mergeCell ref="B676:B678"/>
    <mergeCell ref="C676:C678"/>
    <mergeCell ref="D676:D678"/>
    <mergeCell ref="E676:F678"/>
    <mergeCell ref="G676:G678"/>
    <mergeCell ref="B697:B699"/>
    <mergeCell ref="C697:C699"/>
    <mergeCell ref="D697:D699"/>
    <mergeCell ref="E697:F699"/>
    <mergeCell ref="G697:G699"/>
    <mergeCell ref="B700:B702"/>
    <mergeCell ref="C700:C702"/>
    <mergeCell ref="D700:F702"/>
    <mergeCell ref="H691:H693"/>
    <mergeCell ref="K691:K693"/>
    <mergeCell ref="B694:B696"/>
    <mergeCell ref="C694:C696"/>
    <mergeCell ref="D694:D696"/>
    <mergeCell ref="E694:F696"/>
    <mergeCell ref="G694:G696"/>
    <mergeCell ref="B688:B690"/>
    <mergeCell ref="C688:C690"/>
    <mergeCell ref="D688:D690"/>
    <mergeCell ref="E688:F690"/>
    <mergeCell ref="G688:G690"/>
    <mergeCell ref="B691:B693"/>
    <mergeCell ref="C691:C693"/>
    <mergeCell ref="D691:F693"/>
    <mergeCell ref="B706:B708"/>
    <mergeCell ref="C706:C708"/>
    <mergeCell ref="D706:D708"/>
    <mergeCell ref="E706:F708"/>
    <mergeCell ref="G706:G708"/>
    <mergeCell ref="B709:B711"/>
    <mergeCell ref="C709:C711"/>
    <mergeCell ref="D709:D711"/>
    <mergeCell ref="E709:F711"/>
    <mergeCell ref="G709:G711"/>
    <mergeCell ref="H700:H702"/>
    <mergeCell ref="K700:K702"/>
    <mergeCell ref="B703:B705"/>
    <mergeCell ref="C703:C705"/>
    <mergeCell ref="D703:D705"/>
    <mergeCell ref="E703:F705"/>
    <mergeCell ref="G703:G705"/>
    <mergeCell ref="H721:H723"/>
    <mergeCell ref="I721:I723"/>
    <mergeCell ref="L721:L723"/>
    <mergeCell ref="B724:B726"/>
    <mergeCell ref="C724:C726"/>
    <mergeCell ref="D724:F726"/>
    <mergeCell ref="H724:H726"/>
    <mergeCell ref="K724:K726"/>
    <mergeCell ref="B718:B720"/>
    <mergeCell ref="C718:C720"/>
    <mergeCell ref="D718:D720"/>
    <mergeCell ref="E718:F720"/>
    <mergeCell ref="G718:G720"/>
    <mergeCell ref="B721:B723"/>
    <mergeCell ref="C721:F723"/>
    <mergeCell ref="G721:G723"/>
    <mergeCell ref="B712:B714"/>
    <mergeCell ref="C712:C714"/>
    <mergeCell ref="D712:F714"/>
    <mergeCell ref="H712:H714"/>
    <mergeCell ref="K712:K714"/>
    <mergeCell ref="B715:B717"/>
    <mergeCell ref="C715:C717"/>
    <mergeCell ref="D715:D717"/>
    <mergeCell ref="E715:F717"/>
    <mergeCell ref="G715:G717"/>
    <mergeCell ref="B733:B735"/>
    <mergeCell ref="C733:C735"/>
    <mergeCell ref="D733:F735"/>
    <mergeCell ref="H733:H735"/>
    <mergeCell ref="K733:K735"/>
    <mergeCell ref="B736:B738"/>
    <mergeCell ref="C736:C738"/>
    <mergeCell ref="D736:F738"/>
    <mergeCell ref="H736:H738"/>
    <mergeCell ref="K736:K738"/>
    <mergeCell ref="B727:B729"/>
    <mergeCell ref="C727:C729"/>
    <mergeCell ref="D727:F729"/>
    <mergeCell ref="H727:H729"/>
    <mergeCell ref="K727:K729"/>
    <mergeCell ref="B730:B732"/>
    <mergeCell ref="C730:C732"/>
    <mergeCell ref="D730:F732"/>
    <mergeCell ref="H730:H732"/>
    <mergeCell ref="K730:K732"/>
    <mergeCell ref="L748:L750"/>
    <mergeCell ref="B745:B747"/>
    <mergeCell ref="C745:C747"/>
    <mergeCell ref="D745:F747"/>
    <mergeCell ref="H745:H747"/>
    <mergeCell ref="K745:K747"/>
    <mergeCell ref="B748:B750"/>
    <mergeCell ref="C748:F750"/>
    <mergeCell ref="G748:G750"/>
    <mergeCell ref="H748:H750"/>
    <mergeCell ref="I748:I750"/>
    <mergeCell ref="B739:B741"/>
    <mergeCell ref="C739:C741"/>
    <mergeCell ref="D739:F741"/>
    <mergeCell ref="H739:H741"/>
    <mergeCell ref="K739:K741"/>
    <mergeCell ref="C742:C744"/>
    <mergeCell ref="D742:F744"/>
    <mergeCell ref="H742:H744"/>
    <mergeCell ref="K742:K744"/>
  </mergeCells>
  <phoneticPr fontId="45" type="noConversion"/>
  <pageMargins left="0.39370078740157483" right="0.19685039370078741" top="0.78740157480314965" bottom="0.59055118110236227" header="0.19685039370078741" footer="0.19685039370078741"/>
  <pageSetup paperSize="9" scale="58" orientation="landscape" r:id="rId1"/>
  <headerFooter>
    <oddFooter>&amp;L&amp;"Futura Md,Regular"&amp;16&amp;UEpic Atlantic Limited&amp;C&amp;"Futura Md,Regular"&amp;16&amp;UBFPP FEED - Gas Pipeline &amp; Slug Catcher -  Page &amp;P of &amp;N&amp;R&amp;"Futura Md,Regular"&amp;16 22&amp;U Dec 2021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WBS - FEED OKNU-BBOU Gas PL</vt:lpstr>
      <vt:lpstr>'WBS - FEED OKNU-BBOU Gas PL'!Print_Titles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Chijioke Anozie</dc:creator>
  <cp:lastModifiedBy>Aloy Duru</cp:lastModifiedBy>
  <dcterms:created xsi:type="dcterms:W3CDTF">2026-03-25T14:32:55Z</dcterms:created>
  <dcterms:modified xsi:type="dcterms:W3CDTF">2026-06-24T12:01:17Z</dcterms:modified>
</cp:coreProperties>
</file>
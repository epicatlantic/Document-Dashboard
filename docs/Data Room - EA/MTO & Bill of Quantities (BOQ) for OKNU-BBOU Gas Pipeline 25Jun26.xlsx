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OKNU - JUN 2026\"/>
    </mc:Choice>
  </mc:AlternateContent>
  <xr:revisionPtr revIDLastSave="0" documentId="8_{A6E3607C-9786-42BD-AC2D-E55B5B001E8D}" xr6:coauthVersionLast="47" xr6:coauthVersionMax="47" xr10:uidLastSave="{00000000-0000-0000-0000-000000000000}"/>
  <bookViews>
    <workbookView xWindow="-110" yWindow="-110" windowWidth="19420" windowHeight="10300" xr2:uid="{4A96E653-934A-460D-B02F-D624130F2A19}"/>
  </bookViews>
  <sheets>
    <sheet name="BOQ Summary" sheetId="2" r:id="rId1"/>
    <sheet name="Detailed Itemized BOQ" sheetId="1" r:id="rId2"/>
    <sheet name="Cost Reporting Structu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9" i="3" l="1"/>
  <c r="E77" i="3"/>
  <c r="E82" i="1"/>
  <c r="E69" i="1"/>
</calcChain>
</file>

<file path=xl/sharedStrings.xml><?xml version="1.0" encoding="utf-8"?>
<sst xmlns="http://schemas.openxmlformats.org/spreadsheetml/2006/main" count="676" uniqueCount="279">
  <si>
    <t>Detailed Itemized Bill of Quantities (BOQ)</t>
  </si>
  <si>
    <t>BILL NO. 1.0: Preliminaries &amp; General Project Overheads</t>
  </si>
  <si>
    <t>Item</t>
  </si>
  <si>
    <t>Description</t>
  </si>
  <si>
    <t>Unit</t>
  </si>
  <si>
    <t>Qty</t>
  </si>
  <si>
    <t>Rate</t>
  </si>
  <si>
    <t>Amount</t>
  </si>
  <si>
    <t>Contractor mobilization of plant, equipment, and personnel to operational bases.</t>
  </si>
  <si>
    <t>Procurement of Project All Risks Insurance and performance bonds.</t>
  </si>
  <si>
    <t>Construction of temporary project site offices, camps, workshops, and pipe stockyards near OKNU and BBOU.</t>
  </si>
  <si>
    <t>Maintenance of Site Health, Safety, and Environment (HSE) systems, personal protective equipment (PPE), and waste disposal programs.</t>
  </si>
  <si>
    <t>Month</t>
  </si>
  <si>
    <t>Proj. Duration</t>
  </si>
  <si>
    <t>BILL NO. 2.0: Surveys &amp; Engineering</t>
  </si>
  <si>
    <t>km</t>
  </si>
  <si>
    <t xml:space="preserve">Bathymetric survey </t>
  </si>
  <si>
    <t xml:space="preserve">Route center-line staking survey </t>
  </si>
  <si>
    <t xml:space="preserve">Geotechnical soil boring investigations </t>
  </si>
  <si>
    <t>Borehole</t>
  </si>
  <si>
    <t>Cone Penetration Tests (CPT)</t>
  </si>
  <si>
    <t>No.</t>
  </si>
  <si>
    <t>1 CPT approximately every 1 km.
85 km route= 85 CPTs.
CPT to supplement borehole investigations in swamp terrain and soft-soil areas</t>
  </si>
  <si>
    <t>Trial Pits</t>
  </si>
  <si>
    <t>Finalization of detailed pipeline drawings, alignment sheets, P&amp;IDs, and Stress Analysis reports.</t>
  </si>
  <si>
    <t>LS</t>
  </si>
  <si>
    <t xml:space="preserve">Full EIA Survey Package &amp; Permitting Management </t>
  </si>
  <si>
    <t>GIS Database Development</t>
  </si>
  <si>
    <t>Includes geospatial database and digital route records.</t>
  </si>
  <si>
    <t>Corridor Alignment Sheets</t>
  </si>
  <si>
    <t>85 km ÷ approximately 3.5 km/sheet ≈ 25 sheets
Final quantity subject to drawing scale and route alignment.</t>
  </si>
  <si>
    <t>High Resolution Orthophotos</t>
  </si>
  <si>
    <r>
      <t>km</t>
    </r>
    <r>
      <rPr>
        <vertAlign val="superscript"/>
        <sz val="11"/>
        <color theme="1"/>
        <rFont val="Futura Std Book"/>
      </rPr>
      <t>2</t>
    </r>
  </si>
  <si>
    <t>KMZ / Google Earth Deliverables</t>
  </si>
  <si>
    <t>For route visualization and stakeholder review.</t>
  </si>
  <si>
    <t>BILL NO. 3.0: Pipeline Procurement &amp; Materials Supply</t>
  </si>
  <si>
    <t>m</t>
  </si>
  <si>
    <t>Supply and delivery of 20" API 5L X70 bends (induction bends, 3D/5D) for route directional changes.</t>
  </si>
  <si>
    <t>Supply of 3-Layer Polyethylene (3LPE) heat-shrinkable sleeves for field girth weld joint protection.</t>
  </si>
  <si>
    <t>Supply and delivery of Cathodic Protection (CP) system components (sacrificial anodes or impressed current systems for swamp terrain).</t>
  </si>
  <si>
    <t>Cathodic Protection (CP) Test Posts</t>
  </si>
  <si>
    <t>Supply of coating repair kits and field coating consumables</t>
  </si>
  <si>
    <t>Supply of Monolithic Insulating Joints (MIJs)</t>
  </si>
  <si>
    <t>Pig launcher, pig receiver, 2 sectionalising valves, tie-ins</t>
  </si>
  <si>
    <t>Pipeline route markers, warning signs and kilometer posts</t>
  </si>
  <si>
    <t>170 Pipeline Route Markers: Approx. every 500 m along 85 km
85 Warning Sign Posts: Approx. every 1 km
86 Kilometer Marker Posts: 0 km to 85 km</t>
  </si>
  <si>
    <t>BILL NO. 4.0: Right of Way (ROW) &amp; Civil Works</t>
  </si>
  <si>
    <t>Clearing and grading of pipeline Right of Way (ROW) up to standard working width (typically 25m–30m) including removal of vegetation and roots.</t>
  </si>
  <si>
    <t>Excavation of pipeline trench to standard minimum depth (ensuring minimum 1.2m cover from top of pipe to natural ground level). Shallow/swamp excavation rules apply.</t>
  </si>
  <si>
    <r>
      <t>m</t>
    </r>
    <r>
      <rPr>
        <vertAlign val="superscript"/>
        <sz val="11"/>
        <color theme="1"/>
        <rFont val="Futura Std Book"/>
      </rPr>
      <t>3</t>
    </r>
  </si>
  <si>
    <t>Pipeline OD = 0.508 m
Typical trench- Width = 1.2 m, Depth = 2.0 m
Cross-sectional area= 1.2 × 2.0 = 2.4 m²
Length = 85,000 m
Volume- 2.4 × 85,000 = 204,000 m³
Final quantities subject to detailed route survey and geotechnical investigations.</t>
  </si>
  <si>
    <t>Stockpiling of excavated topsoil for post-construction reinstatement.</t>
  </si>
  <si>
    <t>Topsoil Stockpile is about 20% of excavation volume
Final quantities subject to detailed route survey and geotechnical investigations.</t>
  </si>
  <si>
    <t>Construction and maintenance of temporary access roads and swamp access corridors</t>
  </si>
  <si>
    <t>Timber/swamp mats for equipment movement</t>
  </si>
  <si>
    <t>Temporary pipe skids and supports</t>
  </si>
  <si>
    <t>No</t>
  </si>
  <si>
    <t>One per pipe joint (approx.)</t>
  </si>
  <si>
    <t>BILL NO. 5.0: Pipeline Construction &amp; NDT</t>
  </si>
  <si>
    <t>Stringing of 20" line pipes along the prepared ROW.</t>
  </si>
  <si>
    <t>Field welding of 20" line pipes (API 5L X70, 12.70mm WT) in compliance with API 1104 specifications.</t>
  </si>
  <si>
    <t>Joint</t>
  </si>
  <si>
    <t>100% Non-Destructive Testing (NDT) of field girth welds utilizing Automated Ultrasonic Testing (AUT) or Radiographic Testing (RT).</t>
  </si>
  <si>
    <t>Application of anti-corrosion coating to field girth welds using heat-shrinkable sleeves including surface blasting to Sa 2.5.</t>
  </si>
  <si>
    <t>Lowering-in of the welded pipeline string into the trench, including padding with select clean soil where necessary.</t>
  </si>
  <si>
    <t>Backfilling of trench using native soil, and mechanical compaction to pre-construction profiles.</t>
  </si>
  <si>
    <t>Backfill roughly equals excavation volume.
Final quantities subject to detailed route survey and geotechnical investigations.</t>
  </si>
  <si>
    <t xml:space="preserve">Fiber Optic Cable (FOC) Supply &amp; Laying in Trench </t>
  </si>
  <si>
    <t xml:space="preserve">FOC Splicing, Termination, &amp; Control Room Integration </t>
  </si>
  <si>
    <t>Fiber Optic Joint Boxes / Splice Closures</t>
  </si>
  <si>
    <t>Tie-In Works- Hot taps, shutdown tie-ins and cut-overs</t>
  </si>
  <si>
    <t>OKNU and BBOU tie-ins</t>
  </si>
  <si>
    <t>Mechanical completion, punch-list clearing and handover support</t>
  </si>
  <si>
    <t>Final punch-list closure</t>
  </si>
  <si>
    <t>BILL NO. 6.0: Crossings &amp; HDD</t>
  </si>
  <si>
    <t>Open-cut crossing installations for smaller wetlands, streams, or access roads, including cofferdam construction and bank stabilization.</t>
  </si>
  <si>
    <t>Supply and installation of concrete weight coatings (or bolt-on concrete anchors) for buoyancy control in marshy/swamp segments.</t>
  </si>
  <si>
    <t>Quantity subject to buoyancy and geotechnical analysis</t>
  </si>
  <si>
    <t xml:space="preserve">Riverbank Shoreline Stabilization (River Niger + 4 Rivers) </t>
  </si>
  <si>
    <t>Existing pipeline, cable and utility crossings</t>
  </si>
  <si>
    <t>Quantity to be confirmed by detailed route survey</t>
  </si>
  <si>
    <t>Road crossings including casing installation</t>
  </si>
  <si>
    <t>Dredging Works</t>
  </si>
  <si>
    <t>BILL NO. 7.0: Stations, Valves &amp; Pigging Facilities</t>
  </si>
  <si>
    <t>Civil foundation works and security fencing for the OKNU Pig Launcher Station and BBOU Pig Receiver Station.</t>
  </si>
  <si>
    <t>Procurement, fabrication, and installation of the 20" Pig Launcher Assembly at OKNU manifold, including quick-opening closures, kicker lines, bypass piping, and structural supports.</t>
  </si>
  <si>
    <t>Procurement, fabrication, and installation of the 20" Pig Receiver Assembly at BBOU manifold, including slug handling tying structures.</t>
  </si>
  <si>
    <t>Sectionalising Valve Stations</t>
  </si>
  <si>
    <t>In accordance with ASME B31.8 spacing requirements</t>
  </si>
  <si>
    <t xml:space="preserve">Automated Midline Manifold Assembly (KP 38 SEIB Tie-In) </t>
  </si>
  <si>
    <t xml:space="preserve">Midline Manifold Foundation/Valving Allowance (KP 66 Tie-In) </t>
  </si>
  <si>
    <t>Design, Procurement, Construction and Commissioning of Slug Catcher</t>
  </si>
  <si>
    <t>Subject to confirmation by FEED Flow Assurance Studies</t>
  </si>
  <si>
    <t>Emergency Shutdown System (ESD)</t>
  </si>
  <si>
    <t>For pigging/valve facilities</t>
  </si>
  <si>
    <t>BILL NO. 8.0: Instrumentation, SCADA Telecoms &amp; Solar Systems</t>
  </si>
  <si>
    <t>Pressure transmitters, temperature transmitters, flow monitoring instruments</t>
  </si>
  <si>
    <t>SCADA system, RTUs, telemetry and communications integration</t>
  </si>
  <si>
    <t xml:space="preserve">Solar power systems and battery banks </t>
  </si>
  <si>
    <t>For unmanned remote valve stations and pigging facilities</t>
  </si>
  <si>
    <t>BILL NO. 9.0: Testing, Pre-commissioning &amp; Dewatering</t>
  </si>
  <si>
    <t>Hydrostatic testing of the entire 85 km pipeline segment in designated sections per ASME B31.8, including water sourcing, filtration, inhibition, pressurization, and safe disposal.</t>
  </si>
  <si>
    <t>Pipeline dewatering, swabbing, and geometric gauge pigging to check for internal ovality or construction defects.</t>
  </si>
  <si>
    <t>Air drying and vacuum drying of the line to specified dewpoint parameters (-40°C).</t>
  </si>
  <si>
    <t>Nitrogen purging and preservation of the pipeline until ready for active natural gas introduction.</t>
  </si>
  <si>
    <t>Intelligent pigging readiness verification and baseline geometry pigging</t>
  </si>
  <si>
    <t>Leak testing and commissioning support</t>
  </si>
  <si>
    <t>Managing Community Liaison Officer (CLO) operations, Freedom to Operate (FTO) certificates, and local community development mandates.</t>
  </si>
  <si>
    <t>As-Built mapping, generating final documentation handovers, and obtaining regulatory operation permits from NUPRC/FMEnv.</t>
  </si>
  <si>
    <t>Environmental monitoring and restoration</t>
  </si>
  <si>
    <t>Final RoW reinstatement and vegetation restoration</t>
  </si>
  <si>
    <t>Entire route. Includes restoration of disturbed areas to pre-construction condition</t>
  </si>
  <si>
    <t>Bill of Quantities (BOQ) Summary Breakdown</t>
  </si>
  <si>
    <t>Bill No.</t>
  </si>
  <si>
    <t>Main Work Packages</t>
  </si>
  <si>
    <t>Total Price</t>
  </si>
  <si>
    <t>Preliminaries &amp; General Project Overheads</t>
  </si>
  <si>
    <t>Survey &amp; Engineering</t>
  </si>
  <si>
    <t>Pipeline Procurement &amp; Material Supply</t>
  </si>
  <si>
    <t>Right of Way (ROW) &amp; Civil Earthworks</t>
  </si>
  <si>
    <t>Pipeline Construction &amp; Non-Destructive Testing (NDT)</t>
  </si>
  <si>
    <t>Crossings &amp; HDD</t>
  </si>
  <si>
    <t>Instrumentation, SCADA, Telecoms &amp; Solar Systems</t>
  </si>
  <si>
    <t>Testing, Pre-commissioning &amp; Dewatering</t>
  </si>
  <si>
    <t>Environmental, Regulatory &amp; Close-Out</t>
  </si>
  <si>
    <t>Marker every 500 m- 85,000 ÷ 500= 170
Final spacing subject to final CP design</t>
  </si>
  <si>
    <t>Centerline must be established for the full route.</t>
  </si>
  <si>
    <t>Applicable to navigable rivers, creeks and waterway crossings.</t>
  </si>
  <si>
    <t>Assuming
ROW Width = 30 m
Length = 85,000 m
Area: 85,000 × 30 = 2,550,000 m² = 255 ha</t>
  </si>
  <si>
    <t>ha</t>
  </si>
  <si>
    <t>PS</t>
  </si>
  <si>
    <t>Major HDD River Crossing</t>
  </si>
  <si>
    <t>Minor River HDD Crossings</t>
  </si>
  <si>
    <t>Creek Crossings</t>
  </si>
  <si>
    <t>Provisional Sum pending final tie-in confirmation.</t>
  </si>
  <si>
    <t>Cybersecurity &amp; SCADA Hardening</t>
  </si>
  <si>
    <t>Pipeline Cleaning Pig Runs</t>
  </si>
  <si>
    <t>To be performed before hydrotest and commissioning.</t>
  </si>
  <si>
    <t>Regulatory Compliance Closeout</t>
  </si>
  <si>
    <t>Explicitly captures final NUPRC/NOSDRA/NCDMB closeout activities.</t>
  </si>
  <si>
    <t>Pipeline Route= 20, Major HDD River Crossing= 6, 4 River Crossings= 8 &amp; 8 Creek Crossings= 8
Total- 20+6+8+8= 42
Borehole locations and depths subject to detailed geotechnical investigation plan.</t>
  </si>
  <si>
    <t>Typical usage: Valve stations, Tie-in locations, Access roads &amp; Civil structures
Final locations subject to route accessibility and site conditions.</t>
  </si>
  <si>
    <t>Soil Corrosivity Assessment</t>
  </si>
  <si>
    <t>Results shall be used for coating selection and cathodic protection design.</t>
  </si>
  <si>
    <t>Lot</t>
  </si>
  <si>
    <t>Generated from aerial/UAV survey data.</t>
  </si>
  <si>
    <t>Quantity subject to final route alignment</t>
  </si>
  <si>
    <t>Quantity subject to swamp accessibility assessment and equipment load requirements.</t>
  </si>
  <si>
    <t>Quantity to be confirmed by detailed route survey and crossing methodology selection.</t>
  </si>
  <si>
    <t>Applicable only where required by detailed crossing design</t>
  </si>
  <si>
    <t>Test sections and test medium requirements subject to final testing procedure.</t>
  </si>
  <si>
    <t>Applicable where required prior to commissioning and start-up.</t>
  </si>
  <si>
    <t>To confirm future pigging and integrity management requirements.</t>
  </si>
  <si>
    <t>Includes reinstatement of temporary work areas and access routes.</t>
  </si>
  <si>
    <t>Includes final as-built records, dossiers and handover documentation.</t>
  </si>
  <si>
    <t>Extent subject to terrain conditions and construction methodology.</t>
  </si>
  <si>
    <t>Cost Reporting Structure</t>
  </si>
  <si>
    <t>S/N</t>
  </si>
  <si>
    <t>Cost Category</t>
  </si>
  <si>
    <t>A</t>
  </si>
  <si>
    <t>BOQ Bill No.</t>
  </si>
  <si>
    <t>B</t>
  </si>
  <si>
    <t>Materials &amp; Equipment</t>
  </si>
  <si>
    <t>C</t>
  </si>
  <si>
    <t>Construction &amp; Installation</t>
  </si>
  <si>
    <t>20" Pig Launcher Assembly at OKNU manifold, including quick-opening closures, kicker lines, bypass piping, and structural supports.</t>
  </si>
  <si>
    <t>20" Pig Receiver Assembly at BBOU manifold, including slug handling tying structures.</t>
  </si>
  <si>
    <t>20" API 5L X70 bends (induction bends, 3D/5D) for route directional changes.</t>
  </si>
  <si>
    <t>3-Layer Polyethylene (3LPE) heat-shrinkable sleeves for field girth weld joint protection.</t>
  </si>
  <si>
    <t>Cathodic Protection (CP) system components (sacrificial anodes or impressed current systems for swamp terrain).</t>
  </si>
  <si>
    <t>Coating repair kits and field coating consumables</t>
  </si>
  <si>
    <t>Monolithic Insulating Joints (MIJs)</t>
  </si>
  <si>
    <t>Slug Catcher</t>
  </si>
  <si>
    <t>D</t>
  </si>
  <si>
    <t>Logistics &amp; Transportation</t>
  </si>
  <si>
    <t>E</t>
  </si>
  <si>
    <t>Indirect Costs</t>
  </si>
  <si>
    <t>Engineering &amp; Surveys Costs</t>
  </si>
  <si>
    <t>Materials &amp; Equipment Costs</t>
  </si>
  <si>
    <t>Construction &amp; Installation Costs</t>
  </si>
  <si>
    <t>Logistics &amp; Transportation Costs</t>
  </si>
  <si>
    <t>% of Total Cost</t>
  </si>
  <si>
    <t>Budget Weight</t>
  </si>
  <si>
    <t>Engineering &amp; Survey</t>
  </si>
  <si>
    <t>Indirect</t>
  </si>
  <si>
    <t>5 - 8%</t>
  </si>
  <si>
    <t>35 - 45%</t>
  </si>
  <si>
    <t>30 - 40%</t>
  </si>
  <si>
    <t>8 - 12%</t>
  </si>
  <si>
    <t>5 - 10%</t>
  </si>
  <si>
    <t>Cost Distribution</t>
  </si>
  <si>
    <t>20" Nominal OD API 5L X70 PSL2 Line Pipe, Submerged Arc Welded (SAW). Wall Thickness: 12.70 mm. External anti-corrosion coating: 3-Layer Polyethylene (3LPE).</t>
  </si>
  <si>
    <t>Supply and delivery of 20" Nominal OD API 5L X70 PSL2 Line Pipe, Submerged Arc Welded (SAW). Wall Thickness: 12.70 mm. External anti-corrosion coating: 3-Layer Polyethylene (3LPE).</t>
  </si>
  <si>
    <t>Stations, Valves &amp; Pigging Facilities</t>
  </si>
  <si>
    <t>Supply of small bore piping, fittings, gaskets, stud bolts &amp; nuts</t>
  </si>
  <si>
    <t>Supply of Tees, Reducers, Flanges, Spectacle Blinds, Weldolets</t>
  </si>
  <si>
    <t>Weld Repairs, Tie-In Welds and Final Closure Welds</t>
  </si>
  <si>
    <t>Weld Repairs= 120, Tie-In Welds= 8 and Final Closure Welds= 12</t>
  </si>
  <si>
    <t>Quantity</t>
  </si>
  <si>
    <t>Tees, Reducers, Flanges, Spectacle Blinds, Weldolets</t>
  </si>
  <si>
    <t>Small bore piping, fittings, gaskets, stud bolts &amp; nuts</t>
  </si>
  <si>
    <t>Integrity Management Philosophy Development</t>
  </si>
  <si>
    <t>Geotechnical Laboratory Testing</t>
  </si>
  <si>
    <t>Pig Signallers</t>
  </si>
  <si>
    <t>Watercourse Restoration</t>
  </si>
  <si>
    <t>Fiber reel lengths are about 4 km
For 85 km route- 85 ÷ 4 km ≈ 21 joints
Add Launcher, Receiver &amp; 2 Sectionalising Valves = 25
Quantity subject to final telecom routing and splice plan.</t>
  </si>
  <si>
    <t>EPC Project Management, Planning, Cost Control &amp; Reporting</t>
  </si>
  <si>
    <t>1 major river + 4 river crossings + 8 creek crossings + 2 contingency locations.
Includes bank stabilization, erosion control, cleanup, and reinstatement of disturbed watercourse areas.</t>
  </si>
  <si>
    <t>Two signallers at launcher facility and two at receiver facility.
Provides pig passage indication for operations and maintenance.</t>
  </si>
  <si>
    <t>Includes EPC project management, planning, scheduling, cost control, progress reporting, and document control services throughout project execution.</t>
  </si>
  <si>
    <t>Includes laboratory testing of borehole and CPT samples for geotechnical and pipeline foundation design purposes.</t>
  </si>
  <si>
    <t>Includes development of pipeline integrity management philosophy, inspection strategy, corrosion monitoring, and operational integrity framework.</t>
  </si>
  <si>
    <t>Basis &amp; Remarks</t>
  </si>
  <si>
    <t>Equal Tees= 2, Reducing Tees= 2, Reducers= 6, Flanges= 40, Blind Flanges= 12, Spectacle Blinds= 4, Weldolets= 40
Total- 2+2+6+40+12+4+40= 106</t>
  </si>
  <si>
    <t>BILL NO. 11.0: Environmental, Regulatory &amp; Closeout</t>
  </si>
  <si>
    <t>BILL NO. 10.0: Construction Management</t>
  </si>
  <si>
    <t>Construction Management &amp; Site Supervision</t>
  </si>
  <si>
    <t>Project Controls, Planning &amp; Scheduling</t>
  </si>
  <si>
    <t>QA/QC Management &amp; Inspection Coordination</t>
  </si>
  <si>
    <t>Construction Reporting &amp; Document Control</t>
  </si>
  <si>
    <t>Construction HSE Management &amp; Compliance</t>
  </si>
  <si>
    <t>Includes Construction Manager, Site Engineers, discipline supervision, contractor coordination, work-front planning and daily construction oversight.</t>
  </si>
  <si>
    <t>Includes planning, scheduling, progress measurement, earned-value tracking, forecasting, change management and monthly reporting.</t>
  </si>
  <si>
    <t>Includes QA/QC management, inspection coordination, ITP compliance, audit support, NCR management and turnover dossier review.</t>
  </si>
  <si>
    <t>Includes document control, transmittals, construction records, daily/weekly/monthly reports and close-out documentation support.</t>
  </si>
  <si>
    <t>Includes HSE management personnel, safety audits, toolbox talks, incident reporting, regulatory compliance monitoring, emergency preparedness and HSE performance reporting.</t>
  </si>
  <si>
    <t>Stakeholder Engagement &amp; Community Consultation Meetings</t>
  </si>
  <si>
    <t>Supports permitting, social license and FTO activities.</t>
  </si>
  <si>
    <t>Topographical survey and Differential GPS (DGPS) Survey</t>
  </si>
  <si>
    <t>Entire pipeline route requires coverage.</t>
  </si>
  <si>
    <t>Longitudinal Profile and Cross-Section Survey</t>
  </si>
  <si>
    <t>Provides elevation profile for hydraulic and crossing design.</t>
  </si>
  <si>
    <t>Environmental Soil Sampling &amp; Testing</t>
  </si>
  <si>
    <t>Supports environmental baseline and restoration requirements.</t>
  </si>
  <si>
    <t>Water Quality Assessment</t>
  </si>
  <si>
    <t>Sampling at major water crossings and environmentally sensitive areas.
Supports EIA and environmental permitting.</t>
  </si>
  <si>
    <t>Temporary Camp Utilities (Power, Water, Communications)</t>
  </si>
  <si>
    <t>Material Receiving, Inspection, Storage &amp; Preservation</t>
  </si>
  <si>
    <t>Establishment of Survey Control Points &amp; Permanent Reference Monuments</t>
  </si>
  <si>
    <t>Approximately every 1.5–2 km along the route.
Includes establishment, protection, documentation and handover of survey control points and permanent reference monuments along the pipeline alignment.</t>
  </si>
  <si>
    <t>Detailed Engineering &amp; AFC Documentation</t>
  </si>
  <si>
    <t>Covers detailed engineering after FEED completion.
Includes AFC drawings, vendor integration, installation details and construction work packs.</t>
  </si>
  <si>
    <t>Marine Navigation &amp; Waterways Permits</t>
  </si>
  <si>
    <t>Includes NIWA, waterways access permits and navigation approvals where applicable.</t>
  </si>
  <si>
    <t>Procurement of Project All Risks Insurance, Marine Insurance and performance bonds.</t>
  </si>
  <si>
    <t>Includes Contractor's All Risks (CAR), Marine Cargo Insurance, Third-Party Liability Insurance, Workmen's Compensation and Performance Bonds.</t>
  </si>
  <si>
    <t>Operations Readiness Support</t>
  </si>
  <si>
    <t>Preparation for handover to operations.
Includes operating procedures review, maintenance planning support, spare parts review and operational readiness assessments.</t>
  </si>
  <si>
    <t>Operations &amp; Maintenance Training</t>
  </si>
  <si>
    <t>Training for operations personnel.
Includes classroom and field training for pipeline operations, pigging, CP systems, SCADA and emergency response.</t>
  </si>
  <si>
    <t>20" Full Bore Ball Valves, Valve Actuators, Valve Bypass Assemblies &amp; Valve Control Panels</t>
  </si>
  <si>
    <t>20" Full Bore Ball Valves= 10, Valve Actuators= 10, Valve Bypass Assemblies= 4 &amp; Valve Control Panels= 4
Total- 10+10+4+4= 28</t>
  </si>
  <si>
    <t>\</t>
  </si>
  <si>
    <t>Geotechnical Interpretation &amp; Design Recommendations Report</t>
  </si>
  <si>
    <t>Includes geotechnical design recommendations for trenching, HDD, buoyancy control and station foundations.</t>
  </si>
  <si>
    <t>Air Quality Monitoring</t>
  </si>
  <si>
    <t>Baseline and construction-phase air quality monitoring.</t>
  </si>
  <si>
    <t>Noise Monitoring</t>
  </si>
  <si>
    <t>Baseline and construction-phase environmental noise assessment.</t>
  </si>
  <si>
    <t>Flora &amp; Fauna Study</t>
  </si>
  <si>
    <t>Ecological baseline survey including vegetation, wildlife and habitat assessment.</t>
  </si>
  <si>
    <t>Fisheries Study</t>
  </si>
  <si>
    <t>Assessment of fisheries resources and potential project impacts on aquatic livelihoods.</t>
  </si>
  <si>
    <t>Socioeconomic Survey</t>
  </si>
  <si>
    <t>Pipe Transportation (Port Handling, Customs Clearance &amp; Inland Transport)</t>
  </si>
  <si>
    <t>tonnes</t>
  </si>
  <si>
    <t>Estimated pipe tonnage.
Includes port handling, customs clearance, trucking and delivery to stockyards.</t>
  </si>
  <si>
    <t>Marine Logistics</t>
  </si>
  <si>
    <t>Includes barges, tug boats, crew boats and marine support vessels.</t>
  </si>
  <si>
    <t>Personnel Transportation</t>
  </si>
  <si>
    <t>Includes personnel boats, vehicle transportation and helicopter support where required.</t>
  </si>
  <si>
    <t>Fuels &amp; Consumables</t>
  </si>
  <si>
    <t>Includes diesel, marine fuel, lubricants and consumables for project execution.</t>
  </si>
  <si>
    <t>Security Logistics</t>
  </si>
  <si>
    <t>Includes escort boats, security personnel, surveillance and access control.</t>
  </si>
  <si>
    <t>Pipe Mill Inspection, Mill Testing &amp; Pipe Beveling</t>
  </si>
  <si>
    <t>Includes mill inspection, witness testing, quality surveillance and bevel verification.</t>
  </si>
  <si>
    <t>Rate (USD)</t>
  </si>
  <si>
    <t>Amount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</si>
</sst>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Futura Std Book"/>
    </font>
    <font>
      <b/>
      <u/>
      <sz val="13.5"/>
      <color theme="1"/>
      <name val="Futura Std Book"/>
    </font>
    <font>
      <b/>
      <sz val="12"/>
      <color theme="1"/>
      <name val="Futura Std Book"/>
    </font>
    <font>
      <b/>
      <sz val="11"/>
      <color theme="1"/>
      <name val="Futura Std Book"/>
    </font>
    <font>
      <i/>
      <sz val="11"/>
      <color theme="1"/>
      <name val="Futura Std Book"/>
    </font>
    <font>
      <sz val="11"/>
      <color rgb="FF1F1F1F"/>
      <name val="Futura Std Book"/>
    </font>
    <font>
      <vertAlign val="superscript"/>
      <sz val="11"/>
      <color theme="1"/>
      <name val="Futura Std Book"/>
    </font>
    <font>
      <b/>
      <u/>
      <sz val="14"/>
      <color theme="1"/>
      <name val="Futura Std Book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/>
    <xf numFmtId="0" fontId="6" fillId="0" borderId="0" xfId="0" applyFont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 indent="1"/>
    </xf>
    <xf numFmtId="0" fontId="1" fillId="0" borderId="6" xfId="0" applyFont="1" applyBorder="1" applyAlignment="1">
      <alignment horizontal="left" vertical="center" wrapText="1" indent="1"/>
    </xf>
    <xf numFmtId="0" fontId="5" fillId="0" borderId="6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2" fontId="1" fillId="0" borderId="1" xfId="0" applyNumberFormat="1" applyFont="1" applyBorder="1" applyAlignment="1">
      <alignment horizontal="left" vertical="center" wrapText="1" indent="1"/>
    </xf>
    <xf numFmtId="0" fontId="1" fillId="0" borderId="6" xfId="0" applyFont="1" applyBorder="1"/>
    <xf numFmtId="0" fontId="4" fillId="0" borderId="7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2" fontId="1" fillId="0" borderId="0" xfId="0" applyNumberFormat="1" applyFont="1" applyAlignment="1">
      <alignment horizontal="left" vertical="center" wrapText="1" indent="1"/>
    </xf>
    <xf numFmtId="0" fontId="1" fillId="0" borderId="0" xfId="0" applyFont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 readingOrder="1"/>
    </xf>
    <xf numFmtId="2" fontId="6" fillId="0" borderId="1" xfId="0" applyNumberFormat="1" applyFont="1" applyBorder="1" applyAlignment="1">
      <alignment horizontal="left" vertical="center" wrapText="1" indent="1" readingOrder="1"/>
    </xf>
    <xf numFmtId="164" fontId="1" fillId="0" borderId="1" xfId="1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C666B-4BF5-498F-B97A-74AAF5227431}">
  <dimension ref="B2:D15"/>
  <sheetViews>
    <sheetView tabSelected="1" topLeftCell="A19" zoomScaleNormal="100" workbookViewId="0">
      <selection activeCell="B1" sqref="B1"/>
    </sheetView>
  </sheetViews>
  <sheetFormatPr defaultColWidth="9.1796875" defaultRowHeight="15.5" x14ac:dyDescent="0.4"/>
  <cols>
    <col min="1" max="1" width="1.26953125" style="1" customWidth="1"/>
    <col min="2" max="2" width="11.81640625" style="1" customWidth="1"/>
    <col min="3" max="3" width="38.7265625" style="1" customWidth="1"/>
    <col min="4" max="4" width="25.54296875" style="1" customWidth="1"/>
    <col min="5" max="5" width="13.26953125" style="1" customWidth="1"/>
    <col min="6" max="6" width="11.7265625" style="1" customWidth="1"/>
    <col min="7" max="7" width="12.7265625" style="1" customWidth="1"/>
    <col min="8" max="8" width="43.81640625" style="1" customWidth="1"/>
    <col min="9" max="16384" width="9.1796875" style="1"/>
  </cols>
  <sheetData>
    <row r="2" spans="2:4" ht="18" x14ac:dyDescent="0.4">
      <c r="B2" s="2" t="s">
        <v>112</v>
      </c>
    </row>
    <row r="3" spans="2:4" ht="16" thickBot="1" x14ac:dyDescent="0.45"/>
    <row r="4" spans="2:4" s="3" customFormat="1" ht="16" thickBot="1" x14ac:dyDescent="0.4">
      <c r="B4" s="11" t="s">
        <v>113</v>
      </c>
      <c r="C4" s="12" t="s">
        <v>114</v>
      </c>
      <c r="D4" s="13" t="s">
        <v>115</v>
      </c>
    </row>
    <row r="5" spans="2:4" ht="31.5" customHeight="1" x14ac:dyDescent="0.4">
      <c r="B5" s="14">
        <v>1</v>
      </c>
      <c r="C5" s="15" t="s">
        <v>116</v>
      </c>
      <c r="D5" s="16"/>
    </row>
    <row r="6" spans="2:4" ht="18.75" customHeight="1" x14ac:dyDescent="0.4">
      <c r="B6" s="17">
        <v>2</v>
      </c>
      <c r="C6" s="4" t="s">
        <v>117</v>
      </c>
      <c r="D6" s="16"/>
    </row>
    <row r="7" spans="2:4" ht="21" customHeight="1" x14ac:dyDescent="0.4">
      <c r="B7" s="17">
        <v>3</v>
      </c>
      <c r="C7" s="4" t="s">
        <v>118</v>
      </c>
      <c r="D7" s="16"/>
    </row>
    <row r="8" spans="2:4" x14ac:dyDescent="0.4">
      <c r="B8" s="17">
        <v>4</v>
      </c>
      <c r="C8" s="4" t="s">
        <v>119</v>
      </c>
      <c r="D8" s="16"/>
    </row>
    <row r="9" spans="2:4" ht="30" customHeight="1" x14ac:dyDescent="0.4">
      <c r="B9" s="17">
        <v>5</v>
      </c>
      <c r="C9" s="4" t="s">
        <v>120</v>
      </c>
      <c r="D9" s="16"/>
    </row>
    <row r="10" spans="2:4" ht="16.5" customHeight="1" x14ac:dyDescent="0.4">
      <c r="B10" s="17">
        <v>6</v>
      </c>
      <c r="C10" s="4" t="s">
        <v>121</v>
      </c>
      <c r="D10" s="16"/>
    </row>
    <row r="11" spans="2:4" x14ac:dyDescent="0.4">
      <c r="B11" s="17">
        <v>7</v>
      </c>
      <c r="C11" s="4" t="s">
        <v>193</v>
      </c>
      <c r="D11" s="16"/>
    </row>
    <row r="12" spans="2:4" ht="31" x14ac:dyDescent="0.4">
      <c r="B12" s="17">
        <v>8</v>
      </c>
      <c r="C12" s="4" t="s">
        <v>122</v>
      </c>
      <c r="D12" s="16"/>
    </row>
    <row r="13" spans="2:4" ht="32.25" customHeight="1" x14ac:dyDescent="0.4">
      <c r="B13" s="17">
        <v>9</v>
      </c>
      <c r="C13" s="4" t="s">
        <v>123</v>
      </c>
      <c r="D13" s="16"/>
    </row>
    <row r="14" spans="2:4" ht="21.75" customHeight="1" x14ac:dyDescent="0.4">
      <c r="B14" s="17">
        <v>10</v>
      </c>
      <c r="C14" s="4" t="s">
        <v>124</v>
      </c>
      <c r="D14" s="16"/>
    </row>
    <row r="15" spans="2:4" ht="6" customHeight="1" x14ac:dyDescent="0.4">
      <c r="B15" s="18"/>
      <c r="C15" s="5"/>
      <c r="D15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591AF-8654-4B8B-B237-7D1C474B35FB}">
  <dimension ref="B2:H158"/>
  <sheetViews>
    <sheetView zoomScale="80" zoomScaleNormal="80" workbookViewId="0">
      <selection activeCell="F3" sqref="F3"/>
    </sheetView>
  </sheetViews>
  <sheetFormatPr defaultColWidth="9.1796875" defaultRowHeight="15.5" x14ac:dyDescent="0.4"/>
  <cols>
    <col min="1" max="1" width="1.26953125" style="1" customWidth="1"/>
    <col min="2" max="2" width="9.1796875" style="1"/>
    <col min="3" max="3" width="38.7265625" style="1" customWidth="1"/>
    <col min="4" max="4" width="25.54296875" style="1" customWidth="1"/>
    <col min="5" max="5" width="13.26953125" style="1" customWidth="1"/>
    <col min="6" max="6" width="11.7265625" style="1" customWidth="1"/>
    <col min="7" max="7" width="12.7265625" style="1" customWidth="1"/>
    <col min="8" max="8" width="48.81640625" style="1" customWidth="1"/>
    <col min="9" max="16384" width="9.1796875" style="1"/>
  </cols>
  <sheetData>
    <row r="2" spans="2:8" ht="18" x14ac:dyDescent="0.4">
      <c r="B2" s="2" t="s">
        <v>0</v>
      </c>
    </row>
    <row r="3" spans="2:8" ht="14.25" customHeight="1" x14ac:dyDescent="0.4"/>
    <row r="4" spans="2:8" ht="16" x14ac:dyDescent="0.4">
      <c r="B4" s="38" t="s">
        <v>1</v>
      </c>
      <c r="E4" s="1" t="s">
        <v>252</v>
      </c>
    </row>
    <row r="5" spans="2:8" ht="3.75" customHeight="1" x14ac:dyDescent="0.4"/>
    <row r="6" spans="2:8" s="3" customFormat="1" x14ac:dyDescent="0.35">
      <c r="B6" s="39" t="s">
        <v>2</v>
      </c>
      <c r="C6" s="39" t="s">
        <v>3</v>
      </c>
      <c r="D6" s="39" t="s">
        <v>4</v>
      </c>
      <c r="E6" s="39" t="s">
        <v>5</v>
      </c>
      <c r="F6" s="39" t="s">
        <v>6</v>
      </c>
      <c r="G6" s="39" t="s">
        <v>7</v>
      </c>
      <c r="H6" s="39" t="s">
        <v>212</v>
      </c>
    </row>
    <row r="7" spans="2:8" ht="46.5" x14ac:dyDescent="0.4">
      <c r="B7" s="4">
        <v>1.1000000000000001</v>
      </c>
      <c r="C7" s="4" t="s">
        <v>8</v>
      </c>
      <c r="D7" s="25" t="s">
        <v>25</v>
      </c>
      <c r="E7" s="25">
        <v>1</v>
      </c>
      <c r="F7" s="25"/>
      <c r="G7" s="25"/>
      <c r="H7" s="4"/>
    </row>
    <row r="8" spans="2:8" ht="46.5" x14ac:dyDescent="0.4">
      <c r="B8" s="4">
        <v>1.2</v>
      </c>
      <c r="C8" s="4" t="s">
        <v>244</v>
      </c>
      <c r="D8" s="25" t="s">
        <v>25</v>
      </c>
      <c r="E8" s="25">
        <v>1</v>
      </c>
      <c r="F8" s="25"/>
      <c r="G8" s="25"/>
      <c r="H8" s="4" t="s">
        <v>245</v>
      </c>
    </row>
    <row r="9" spans="2:8" ht="46.5" x14ac:dyDescent="0.4">
      <c r="B9" s="4">
        <v>1.3</v>
      </c>
      <c r="C9" s="4" t="s">
        <v>10</v>
      </c>
      <c r="D9" s="25" t="s">
        <v>25</v>
      </c>
      <c r="E9" s="25">
        <v>1</v>
      </c>
      <c r="F9" s="25"/>
      <c r="G9" s="25"/>
      <c r="H9" s="4"/>
    </row>
    <row r="10" spans="2:8" ht="31" x14ac:dyDescent="0.4">
      <c r="B10" s="4">
        <v>1.4</v>
      </c>
      <c r="C10" s="4" t="s">
        <v>236</v>
      </c>
      <c r="D10" s="25" t="s">
        <v>25</v>
      </c>
      <c r="E10" s="25">
        <v>1</v>
      </c>
      <c r="F10" s="25"/>
      <c r="G10" s="25"/>
      <c r="H10" s="4"/>
    </row>
    <row r="11" spans="2:8" ht="62" x14ac:dyDescent="0.4">
      <c r="B11" s="4">
        <v>1.5</v>
      </c>
      <c r="C11" s="4" t="s">
        <v>11</v>
      </c>
      <c r="D11" s="25" t="s">
        <v>12</v>
      </c>
      <c r="E11" s="40" t="s">
        <v>13</v>
      </c>
      <c r="F11" s="25"/>
      <c r="G11" s="25"/>
      <c r="H11" s="4"/>
    </row>
    <row r="12" spans="2:8" ht="46.5" x14ac:dyDescent="0.4">
      <c r="B12" s="4">
        <v>1.6</v>
      </c>
      <c r="C12" s="4" t="s">
        <v>264</v>
      </c>
      <c r="D12" s="25" t="s">
        <v>265</v>
      </c>
      <c r="E12" s="43">
        <v>28000</v>
      </c>
      <c r="F12" s="25"/>
      <c r="G12" s="25"/>
      <c r="H12" s="4" t="s">
        <v>266</v>
      </c>
    </row>
    <row r="13" spans="2:8" ht="31" x14ac:dyDescent="0.4">
      <c r="B13" s="4">
        <v>1.7</v>
      </c>
      <c r="C13" s="4" t="s">
        <v>267</v>
      </c>
      <c r="D13" s="25" t="s">
        <v>12</v>
      </c>
      <c r="E13" s="40" t="s">
        <v>13</v>
      </c>
      <c r="F13" s="25"/>
      <c r="G13" s="25"/>
      <c r="H13" s="4" t="s">
        <v>268</v>
      </c>
    </row>
    <row r="14" spans="2:8" ht="31" x14ac:dyDescent="0.4">
      <c r="B14" s="4">
        <v>1.8</v>
      </c>
      <c r="C14" s="4" t="s">
        <v>269</v>
      </c>
      <c r="D14" s="25" t="s">
        <v>12</v>
      </c>
      <c r="E14" s="40" t="s">
        <v>13</v>
      </c>
      <c r="F14" s="25"/>
      <c r="G14" s="25"/>
      <c r="H14" s="4" t="s">
        <v>270</v>
      </c>
    </row>
    <row r="15" spans="2:8" ht="31" x14ac:dyDescent="0.4">
      <c r="B15" s="4">
        <v>1.9</v>
      </c>
      <c r="C15" s="4" t="s">
        <v>271</v>
      </c>
      <c r="D15" s="25" t="s">
        <v>25</v>
      </c>
      <c r="E15" s="25">
        <v>1</v>
      </c>
      <c r="F15" s="25"/>
      <c r="G15" s="25"/>
      <c r="H15" s="4" t="s">
        <v>272</v>
      </c>
    </row>
    <row r="16" spans="2:8" ht="31" x14ac:dyDescent="0.4">
      <c r="B16" s="19">
        <v>1.1000000000000001</v>
      </c>
      <c r="C16" s="4" t="s">
        <v>273</v>
      </c>
      <c r="D16" s="25" t="s">
        <v>12</v>
      </c>
      <c r="E16" s="40" t="s">
        <v>13</v>
      </c>
      <c r="F16" s="25"/>
      <c r="G16" s="25"/>
      <c r="H16" s="4" t="s">
        <v>274</v>
      </c>
    </row>
    <row r="17" spans="2:8" ht="5.25" customHeight="1" x14ac:dyDescent="0.4">
      <c r="B17" s="5"/>
      <c r="C17" s="5"/>
      <c r="D17" s="5"/>
      <c r="E17" s="6"/>
      <c r="F17" s="5"/>
      <c r="G17" s="5"/>
      <c r="H17" s="5"/>
    </row>
    <row r="18" spans="2:8" ht="16" x14ac:dyDescent="0.4">
      <c r="B18" s="38" t="s">
        <v>14</v>
      </c>
    </row>
    <row r="19" spans="2:8" ht="5.25" customHeight="1" x14ac:dyDescent="0.4"/>
    <row r="20" spans="2:8" s="3" customFormat="1" x14ac:dyDescent="0.35">
      <c r="B20" s="39" t="s">
        <v>2</v>
      </c>
      <c r="C20" s="39" t="s">
        <v>3</v>
      </c>
      <c r="D20" s="39" t="s">
        <v>4</v>
      </c>
      <c r="E20" s="39" t="s">
        <v>5</v>
      </c>
      <c r="F20" s="39" t="s">
        <v>6</v>
      </c>
      <c r="G20" s="39" t="s">
        <v>7</v>
      </c>
      <c r="H20" s="39" t="s">
        <v>212</v>
      </c>
    </row>
    <row r="21" spans="2:8" ht="51" customHeight="1" x14ac:dyDescent="0.4">
      <c r="B21" s="4">
        <v>2.1</v>
      </c>
      <c r="C21" s="4" t="s">
        <v>228</v>
      </c>
      <c r="D21" s="25" t="s">
        <v>15</v>
      </c>
      <c r="E21" s="25">
        <v>85</v>
      </c>
      <c r="F21" s="25"/>
      <c r="G21" s="25"/>
      <c r="H21" s="4" t="s">
        <v>229</v>
      </c>
    </row>
    <row r="22" spans="2:8" ht="51" customHeight="1" x14ac:dyDescent="0.4">
      <c r="B22" s="4">
        <v>2.2000000000000002</v>
      </c>
      <c r="C22" s="4" t="s">
        <v>230</v>
      </c>
      <c r="D22" s="25" t="s">
        <v>15</v>
      </c>
      <c r="E22" s="25">
        <v>85</v>
      </c>
      <c r="F22" s="25"/>
      <c r="G22" s="25"/>
      <c r="H22" s="4" t="s">
        <v>231</v>
      </c>
    </row>
    <row r="23" spans="2:8" ht="31" x14ac:dyDescent="0.4">
      <c r="B23" s="4">
        <v>2.2999999999999998</v>
      </c>
      <c r="C23" s="4" t="s">
        <v>16</v>
      </c>
      <c r="D23" s="25" t="s">
        <v>15</v>
      </c>
      <c r="E23" s="25">
        <v>25</v>
      </c>
      <c r="F23" s="25"/>
      <c r="G23" s="25"/>
      <c r="H23" s="4" t="s">
        <v>127</v>
      </c>
    </row>
    <row r="24" spans="2:8" x14ac:dyDescent="0.4">
      <c r="B24" s="4">
        <v>2.4</v>
      </c>
      <c r="C24" s="4" t="s">
        <v>17</v>
      </c>
      <c r="D24" s="25" t="s">
        <v>15</v>
      </c>
      <c r="E24" s="25">
        <v>85</v>
      </c>
      <c r="F24" s="25"/>
      <c r="G24" s="25"/>
      <c r="H24" s="4" t="s">
        <v>126</v>
      </c>
    </row>
    <row r="25" spans="2:8" ht="77.5" x14ac:dyDescent="0.4">
      <c r="B25" s="4">
        <v>2.5</v>
      </c>
      <c r="C25" s="4" t="s">
        <v>238</v>
      </c>
      <c r="D25" s="25" t="s">
        <v>21</v>
      </c>
      <c r="E25" s="25">
        <v>50</v>
      </c>
      <c r="F25" s="25"/>
      <c r="G25" s="25"/>
      <c r="H25" s="4" t="s">
        <v>239</v>
      </c>
    </row>
    <row r="26" spans="2:8" ht="77.5" x14ac:dyDescent="0.4">
      <c r="B26" s="4">
        <v>2.6</v>
      </c>
      <c r="C26" s="4" t="s">
        <v>18</v>
      </c>
      <c r="D26" s="25" t="s">
        <v>19</v>
      </c>
      <c r="E26" s="25">
        <v>42</v>
      </c>
      <c r="F26" s="25"/>
      <c r="G26" s="25"/>
      <c r="H26" s="4" t="s">
        <v>140</v>
      </c>
    </row>
    <row r="27" spans="2:8" ht="62" x14ac:dyDescent="0.4">
      <c r="B27" s="4">
        <v>2.7</v>
      </c>
      <c r="C27" s="4" t="s">
        <v>20</v>
      </c>
      <c r="D27" s="25" t="s">
        <v>21</v>
      </c>
      <c r="E27" s="25">
        <v>85</v>
      </c>
      <c r="F27" s="25"/>
      <c r="G27" s="25"/>
      <c r="H27" s="4" t="s">
        <v>22</v>
      </c>
    </row>
    <row r="28" spans="2:8" ht="62" x14ac:dyDescent="0.4">
      <c r="B28" s="4">
        <v>2.8</v>
      </c>
      <c r="C28" s="4" t="s">
        <v>23</v>
      </c>
      <c r="D28" s="25" t="s">
        <v>21</v>
      </c>
      <c r="E28" s="25">
        <v>30</v>
      </c>
      <c r="F28" s="25"/>
      <c r="G28" s="25"/>
      <c r="H28" s="4" t="s">
        <v>141</v>
      </c>
    </row>
    <row r="29" spans="2:8" ht="31" x14ac:dyDescent="0.4">
      <c r="B29" s="4">
        <v>2.9</v>
      </c>
      <c r="C29" s="4" t="s">
        <v>142</v>
      </c>
      <c r="D29" s="25" t="s">
        <v>144</v>
      </c>
      <c r="E29" s="25">
        <v>1</v>
      </c>
      <c r="F29" s="25"/>
      <c r="G29" s="25"/>
      <c r="H29" s="4" t="s">
        <v>143</v>
      </c>
    </row>
    <row r="30" spans="2:8" ht="46.5" x14ac:dyDescent="0.4">
      <c r="B30" s="19">
        <v>2.1</v>
      </c>
      <c r="C30" s="4" t="s">
        <v>24</v>
      </c>
      <c r="D30" s="25" t="s">
        <v>25</v>
      </c>
      <c r="E30" s="25">
        <v>1</v>
      </c>
      <c r="F30" s="25"/>
      <c r="G30" s="25"/>
      <c r="H30" s="4"/>
    </row>
    <row r="31" spans="2:8" ht="31" x14ac:dyDescent="0.4">
      <c r="B31" s="4">
        <v>2.11</v>
      </c>
      <c r="C31" s="7" t="s">
        <v>26</v>
      </c>
      <c r="D31" s="25" t="s">
        <v>25</v>
      </c>
      <c r="E31" s="25">
        <v>1</v>
      </c>
      <c r="F31" s="34"/>
      <c r="G31" s="25"/>
      <c r="H31" s="4"/>
    </row>
    <row r="32" spans="2:8" ht="31" x14ac:dyDescent="0.4">
      <c r="B32" s="19">
        <v>2.12</v>
      </c>
      <c r="C32" s="4" t="s">
        <v>27</v>
      </c>
      <c r="D32" s="25" t="s">
        <v>25</v>
      </c>
      <c r="E32" s="25">
        <v>1</v>
      </c>
      <c r="F32" s="25"/>
      <c r="G32" s="25"/>
      <c r="H32" s="4" t="s">
        <v>28</v>
      </c>
    </row>
    <row r="33" spans="2:8" ht="46.5" x14ac:dyDescent="0.4">
      <c r="B33" s="4">
        <v>2.13</v>
      </c>
      <c r="C33" s="4" t="s">
        <v>29</v>
      </c>
      <c r="D33" s="25" t="s">
        <v>21</v>
      </c>
      <c r="E33" s="25">
        <v>25</v>
      </c>
      <c r="F33" s="25"/>
      <c r="G33" s="25"/>
      <c r="H33" s="4" t="s">
        <v>30</v>
      </c>
    </row>
    <row r="34" spans="2:8" ht="17" x14ac:dyDescent="0.4">
      <c r="B34" s="19">
        <v>2.14</v>
      </c>
      <c r="C34" s="4" t="s">
        <v>31</v>
      </c>
      <c r="D34" s="25" t="s">
        <v>32</v>
      </c>
      <c r="E34" s="25">
        <v>10</v>
      </c>
      <c r="F34" s="25"/>
      <c r="G34" s="25"/>
      <c r="H34" s="4" t="s">
        <v>145</v>
      </c>
    </row>
    <row r="35" spans="2:8" x14ac:dyDescent="0.4">
      <c r="B35" s="19">
        <v>2.15</v>
      </c>
      <c r="C35" s="4" t="s">
        <v>33</v>
      </c>
      <c r="D35" s="25" t="s">
        <v>25</v>
      </c>
      <c r="E35" s="25">
        <v>1</v>
      </c>
      <c r="F35" s="25"/>
      <c r="G35" s="25"/>
      <c r="H35" s="4" t="s">
        <v>34</v>
      </c>
    </row>
    <row r="36" spans="2:8" ht="46.5" x14ac:dyDescent="0.4">
      <c r="B36" s="19">
        <v>2.16</v>
      </c>
      <c r="C36" s="4" t="s">
        <v>240</v>
      </c>
      <c r="D36" s="25" t="s">
        <v>25</v>
      </c>
      <c r="E36" s="25">
        <v>1</v>
      </c>
      <c r="F36" s="25"/>
      <c r="G36" s="25"/>
      <c r="H36" s="4" t="s">
        <v>241</v>
      </c>
    </row>
    <row r="37" spans="2:8" ht="62" x14ac:dyDescent="0.4">
      <c r="B37" s="19">
        <v>2.17</v>
      </c>
      <c r="C37" s="4" t="s">
        <v>201</v>
      </c>
      <c r="D37" s="25" t="s">
        <v>25</v>
      </c>
      <c r="E37" s="25">
        <v>1</v>
      </c>
      <c r="F37" s="25"/>
      <c r="G37" s="25"/>
      <c r="H37" s="4" t="s">
        <v>211</v>
      </c>
    </row>
    <row r="38" spans="2:8" ht="46.5" x14ac:dyDescent="0.4">
      <c r="B38" s="19">
        <v>2.1800000000000002</v>
      </c>
      <c r="C38" s="4" t="s">
        <v>202</v>
      </c>
      <c r="D38" s="25" t="s">
        <v>144</v>
      </c>
      <c r="E38" s="25">
        <v>1</v>
      </c>
      <c r="F38" s="25"/>
      <c r="G38" s="25"/>
      <c r="H38" s="4" t="s">
        <v>210</v>
      </c>
    </row>
    <row r="39" spans="2:8" ht="46.5" x14ac:dyDescent="0.4">
      <c r="B39" s="19">
        <v>2.19</v>
      </c>
      <c r="C39" s="4" t="s">
        <v>234</v>
      </c>
      <c r="D39" s="25" t="s">
        <v>21</v>
      </c>
      <c r="E39" s="25">
        <v>40</v>
      </c>
      <c r="F39" s="25"/>
      <c r="G39" s="25"/>
      <c r="H39" s="4" t="s">
        <v>235</v>
      </c>
    </row>
    <row r="40" spans="2:8" ht="31" x14ac:dyDescent="0.4">
      <c r="B40" s="19">
        <v>2.2000000000000002</v>
      </c>
      <c r="C40" s="4" t="s">
        <v>232</v>
      </c>
      <c r="D40" s="25" t="s">
        <v>21</v>
      </c>
      <c r="E40" s="25">
        <v>40</v>
      </c>
      <c r="F40" s="25"/>
      <c r="G40" s="25"/>
      <c r="H40" s="4" t="s">
        <v>233</v>
      </c>
    </row>
    <row r="41" spans="2:8" ht="46.5" x14ac:dyDescent="0.4">
      <c r="B41" s="19">
        <v>2.21</v>
      </c>
      <c r="C41" s="4" t="s">
        <v>253</v>
      </c>
      <c r="D41" s="25" t="s">
        <v>25</v>
      </c>
      <c r="E41" s="25">
        <v>1</v>
      </c>
      <c r="F41" s="25"/>
      <c r="G41" s="25"/>
      <c r="H41" s="4" t="s">
        <v>254</v>
      </c>
    </row>
    <row r="42" spans="2:8" ht="31" x14ac:dyDescent="0.4">
      <c r="B42" s="19">
        <v>2.2200000000000002</v>
      </c>
      <c r="C42" s="4" t="s">
        <v>255</v>
      </c>
      <c r="D42" s="25" t="s">
        <v>21</v>
      </c>
      <c r="E42" s="25">
        <v>20</v>
      </c>
      <c r="F42" s="25"/>
      <c r="G42" s="25"/>
      <c r="H42" s="4" t="s">
        <v>256</v>
      </c>
    </row>
    <row r="43" spans="2:8" ht="31" x14ac:dyDescent="0.4">
      <c r="B43" s="19">
        <v>2.23</v>
      </c>
      <c r="C43" s="4" t="s">
        <v>257</v>
      </c>
      <c r="D43" s="25" t="s">
        <v>21</v>
      </c>
      <c r="E43" s="25">
        <v>20</v>
      </c>
      <c r="F43" s="25"/>
      <c r="G43" s="25"/>
      <c r="H43" s="4" t="s">
        <v>258</v>
      </c>
    </row>
    <row r="44" spans="2:8" ht="31" x14ac:dyDescent="0.4">
      <c r="B44" s="19">
        <v>2.2400000000000002</v>
      </c>
      <c r="C44" s="4" t="s">
        <v>259</v>
      </c>
      <c r="D44" s="25" t="s">
        <v>25</v>
      </c>
      <c r="E44" s="25">
        <v>1</v>
      </c>
      <c r="F44" s="25"/>
      <c r="G44" s="25"/>
      <c r="H44" s="4" t="s">
        <v>260</v>
      </c>
    </row>
    <row r="45" spans="2:8" ht="31" x14ac:dyDescent="0.4">
      <c r="B45" s="19">
        <v>2.25</v>
      </c>
      <c r="C45" s="4" t="s">
        <v>261</v>
      </c>
      <c r="D45" s="25" t="s">
        <v>25</v>
      </c>
      <c r="E45" s="25">
        <v>1</v>
      </c>
      <c r="F45" s="25"/>
      <c r="G45" s="25"/>
      <c r="H45" s="4" t="s">
        <v>262</v>
      </c>
    </row>
    <row r="46" spans="2:8" x14ac:dyDescent="0.4">
      <c r="B46" s="19">
        <v>2.2599999999999998</v>
      </c>
      <c r="C46" s="4" t="s">
        <v>263</v>
      </c>
      <c r="D46" s="25" t="s">
        <v>25</v>
      </c>
      <c r="E46" s="25">
        <v>1</v>
      </c>
      <c r="F46" s="25"/>
      <c r="G46" s="25"/>
      <c r="H46" s="4"/>
    </row>
    <row r="47" spans="2:8" ht="5.25" customHeight="1" x14ac:dyDescent="0.4">
      <c r="B47" s="9"/>
      <c r="C47" s="9"/>
      <c r="D47" s="9"/>
      <c r="E47" s="9"/>
      <c r="G47" s="5"/>
      <c r="H47" s="5"/>
    </row>
    <row r="48" spans="2:8" ht="16" x14ac:dyDescent="0.4">
      <c r="B48" s="38" t="s">
        <v>35</v>
      </c>
    </row>
    <row r="49" spans="2:8" ht="3.75" customHeight="1" x14ac:dyDescent="0.4"/>
    <row r="50" spans="2:8" s="3" customFormat="1" x14ac:dyDescent="0.35">
      <c r="B50" s="39" t="s">
        <v>2</v>
      </c>
      <c r="C50" s="39" t="s">
        <v>3</v>
      </c>
      <c r="D50" s="39" t="s">
        <v>4</v>
      </c>
      <c r="E50" s="39" t="s">
        <v>5</v>
      </c>
      <c r="F50" s="39" t="s">
        <v>6</v>
      </c>
      <c r="G50" s="39" t="s">
        <v>7</v>
      </c>
      <c r="H50" s="39" t="s">
        <v>212</v>
      </c>
    </row>
    <row r="51" spans="2:8" ht="77.5" x14ac:dyDescent="0.4">
      <c r="B51" s="4">
        <v>3.1</v>
      </c>
      <c r="C51" s="4" t="s">
        <v>192</v>
      </c>
      <c r="D51" s="25" t="s">
        <v>36</v>
      </c>
      <c r="E51" s="37">
        <v>85000</v>
      </c>
      <c r="F51" s="25"/>
      <c r="G51" s="25"/>
      <c r="H51" s="4"/>
    </row>
    <row r="52" spans="2:8" ht="46.5" x14ac:dyDescent="0.4">
      <c r="B52" s="4">
        <v>3.2</v>
      </c>
      <c r="C52" s="4" t="s">
        <v>37</v>
      </c>
      <c r="D52" s="25" t="s">
        <v>21</v>
      </c>
      <c r="E52" s="25">
        <v>80</v>
      </c>
      <c r="F52" s="25"/>
      <c r="G52" s="25"/>
      <c r="H52" s="4" t="s">
        <v>146</v>
      </c>
    </row>
    <row r="53" spans="2:8" ht="62" x14ac:dyDescent="0.4">
      <c r="B53" s="4">
        <v>3.3</v>
      </c>
      <c r="C53" s="4" t="s">
        <v>195</v>
      </c>
      <c r="D53" s="25" t="s">
        <v>21</v>
      </c>
      <c r="E53" s="25">
        <v>106</v>
      </c>
      <c r="F53" s="25"/>
      <c r="G53" s="25"/>
      <c r="H53" s="4" t="s">
        <v>213</v>
      </c>
    </row>
    <row r="54" spans="2:8" ht="31" x14ac:dyDescent="0.4">
      <c r="B54" s="4">
        <v>3.4</v>
      </c>
      <c r="C54" s="4" t="s">
        <v>194</v>
      </c>
      <c r="D54" s="25" t="s">
        <v>25</v>
      </c>
      <c r="E54" s="25">
        <v>1</v>
      </c>
      <c r="F54" s="25"/>
      <c r="G54" s="25"/>
      <c r="H54" s="4"/>
    </row>
    <row r="55" spans="2:8" ht="46.5" x14ac:dyDescent="0.4">
      <c r="B55" s="4">
        <v>3.5</v>
      </c>
      <c r="C55" s="4" t="s">
        <v>38</v>
      </c>
      <c r="D55" s="25" t="s">
        <v>21</v>
      </c>
      <c r="E55" s="25">
        <v>7500</v>
      </c>
      <c r="F55" s="25"/>
      <c r="G55" s="25"/>
      <c r="H55" s="4"/>
    </row>
    <row r="56" spans="2:8" ht="62" x14ac:dyDescent="0.4">
      <c r="B56" s="4">
        <v>3.6</v>
      </c>
      <c r="C56" s="4" t="s">
        <v>39</v>
      </c>
      <c r="D56" s="25" t="s">
        <v>25</v>
      </c>
      <c r="E56" s="25">
        <v>1</v>
      </c>
      <c r="F56" s="25"/>
      <c r="G56" s="25"/>
      <c r="H56" s="4"/>
    </row>
    <row r="57" spans="2:8" ht="31" x14ac:dyDescent="0.4">
      <c r="B57" s="4">
        <v>3.7</v>
      </c>
      <c r="C57" s="4" t="s">
        <v>40</v>
      </c>
      <c r="D57" s="25" t="s">
        <v>21</v>
      </c>
      <c r="E57" s="25">
        <v>170</v>
      </c>
      <c r="F57" s="25"/>
      <c r="G57" s="25"/>
      <c r="H57" s="4" t="s">
        <v>125</v>
      </c>
    </row>
    <row r="58" spans="2:8" ht="31" x14ac:dyDescent="0.4">
      <c r="B58" s="4">
        <v>3.8</v>
      </c>
      <c r="C58" s="4" t="s">
        <v>41</v>
      </c>
      <c r="D58" s="25" t="s">
        <v>25</v>
      </c>
      <c r="E58" s="25">
        <v>1</v>
      </c>
      <c r="F58" s="25"/>
      <c r="G58" s="25"/>
      <c r="H58" s="4"/>
    </row>
    <row r="59" spans="2:8" ht="30.75" customHeight="1" x14ac:dyDescent="0.4">
      <c r="B59" s="4">
        <v>3.9</v>
      </c>
      <c r="C59" s="4" t="s">
        <v>42</v>
      </c>
      <c r="D59" s="25" t="s">
        <v>21</v>
      </c>
      <c r="E59" s="25">
        <v>8</v>
      </c>
      <c r="F59" s="25"/>
      <c r="G59" s="25"/>
      <c r="H59" s="4" t="s">
        <v>43</v>
      </c>
    </row>
    <row r="60" spans="2:8" ht="62" x14ac:dyDescent="0.4">
      <c r="B60" s="19">
        <v>3.1</v>
      </c>
      <c r="C60" s="4" t="s">
        <v>44</v>
      </c>
      <c r="D60" s="25" t="s">
        <v>21</v>
      </c>
      <c r="E60" s="25">
        <v>341</v>
      </c>
      <c r="F60" s="25"/>
      <c r="G60" s="25"/>
      <c r="H60" s="4" t="s">
        <v>45</v>
      </c>
    </row>
    <row r="61" spans="2:8" ht="31" x14ac:dyDescent="0.4">
      <c r="B61" s="19">
        <v>3.11</v>
      </c>
      <c r="C61" s="19" t="s">
        <v>237</v>
      </c>
      <c r="D61" s="25" t="s">
        <v>25</v>
      </c>
      <c r="E61" s="25">
        <v>1</v>
      </c>
      <c r="F61" s="19"/>
      <c r="G61" s="19"/>
      <c r="H61" s="19"/>
    </row>
    <row r="62" spans="2:8" ht="31" x14ac:dyDescent="0.4">
      <c r="B62" s="19">
        <v>3.12</v>
      </c>
      <c r="C62" s="19" t="s">
        <v>275</v>
      </c>
      <c r="D62" s="25" t="s">
        <v>25</v>
      </c>
      <c r="E62" s="25">
        <v>1</v>
      </c>
      <c r="F62" s="19"/>
      <c r="G62" s="19"/>
      <c r="H62" s="19" t="s">
        <v>276</v>
      </c>
    </row>
    <row r="63" spans="2:8" ht="4.5" customHeight="1" x14ac:dyDescent="0.4">
      <c r="B63" s="5"/>
      <c r="C63" s="5"/>
      <c r="D63" s="5"/>
      <c r="E63" s="5"/>
      <c r="F63" s="5"/>
      <c r="G63" s="5"/>
      <c r="H63" s="5"/>
    </row>
    <row r="64" spans="2:8" ht="16" x14ac:dyDescent="0.4">
      <c r="B64" s="38" t="s">
        <v>46</v>
      </c>
    </row>
    <row r="65" spans="2:8" ht="5.25" customHeight="1" x14ac:dyDescent="0.4"/>
    <row r="66" spans="2:8" s="3" customFormat="1" x14ac:dyDescent="0.35">
      <c r="B66" s="39" t="s">
        <v>2</v>
      </c>
      <c r="C66" s="39" t="s">
        <v>3</v>
      </c>
      <c r="D66" s="39" t="s">
        <v>4</v>
      </c>
      <c r="E66" s="39" t="s">
        <v>5</v>
      </c>
      <c r="F66" s="39" t="s">
        <v>6</v>
      </c>
      <c r="G66" s="39" t="s">
        <v>7</v>
      </c>
      <c r="H66" s="39" t="s">
        <v>212</v>
      </c>
    </row>
    <row r="67" spans="2:8" ht="62" x14ac:dyDescent="0.4">
      <c r="B67" s="4">
        <v>4.0999999999999996</v>
      </c>
      <c r="C67" s="4" t="s">
        <v>47</v>
      </c>
      <c r="D67" s="25" t="s">
        <v>129</v>
      </c>
      <c r="E67" s="37">
        <v>255</v>
      </c>
      <c r="F67" s="25"/>
      <c r="G67" s="25"/>
      <c r="H67" s="4" t="s">
        <v>128</v>
      </c>
    </row>
    <row r="68" spans="2:8" ht="108.5" x14ac:dyDescent="0.4">
      <c r="B68" s="4">
        <v>4.2</v>
      </c>
      <c r="C68" s="4" t="s">
        <v>48</v>
      </c>
      <c r="D68" s="25" t="s">
        <v>49</v>
      </c>
      <c r="E68" s="37">
        <v>204000</v>
      </c>
      <c r="F68" s="25"/>
      <c r="G68" s="25"/>
      <c r="H68" s="4" t="s">
        <v>50</v>
      </c>
    </row>
    <row r="69" spans="2:8" ht="46.5" x14ac:dyDescent="0.4">
      <c r="B69" s="4">
        <v>4.3</v>
      </c>
      <c r="C69" s="4" t="s">
        <v>51</v>
      </c>
      <c r="D69" s="25" t="s">
        <v>49</v>
      </c>
      <c r="E69" s="37">
        <f>(20/100)*E68</f>
        <v>40800</v>
      </c>
      <c r="F69" s="25"/>
      <c r="G69" s="25"/>
      <c r="H69" s="4" t="s">
        <v>52</v>
      </c>
    </row>
    <row r="70" spans="2:8" ht="46.5" x14ac:dyDescent="0.4">
      <c r="B70" s="4">
        <v>4.4000000000000004</v>
      </c>
      <c r="C70" s="4" t="s">
        <v>53</v>
      </c>
      <c r="D70" s="25" t="s">
        <v>15</v>
      </c>
      <c r="E70" s="37">
        <v>85</v>
      </c>
      <c r="F70" s="25"/>
      <c r="G70" s="25"/>
      <c r="H70" s="4" t="s">
        <v>155</v>
      </c>
    </row>
    <row r="71" spans="2:8" ht="31" x14ac:dyDescent="0.4">
      <c r="B71" s="4">
        <v>4.5</v>
      </c>
      <c r="C71" s="4" t="s">
        <v>54</v>
      </c>
      <c r="D71" s="25" t="s">
        <v>130</v>
      </c>
      <c r="E71" s="25">
        <v>1</v>
      </c>
      <c r="F71" s="25"/>
      <c r="G71" s="25"/>
      <c r="H71" s="4" t="s">
        <v>147</v>
      </c>
    </row>
    <row r="72" spans="2:8" x14ac:dyDescent="0.4">
      <c r="B72" s="4">
        <v>4.5999999999999996</v>
      </c>
      <c r="C72" s="4" t="s">
        <v>55</v>
      </c>
      <c r="D72" s="25" t="s">
        <v>56</v>
      </c>
      <c r="E72" s="25">
        <v>7100</v>
      </c>
      <c r="F72" s="25"/>
      <c r="G72" s="25"/>
      <c r="H72" s="4" t="s">
        <v>57</v>
      </c>
    </row>
    <row r="73" spans="2:8" ht="5.25" customHeight="1" x14ac:dyDescent="0.4">
      <c r="B73" s="5"/>
      <c r="C73" s="5"/>
      <c r="D73" s="5"/>
      <c r="E73" s="6"/>
      <c r="F73" s="5"/>
      <c r="G73" s="5"/>
      <c r="H73" s="5"/>
    </row>
    <row r="74" spans="2:8" ht="16" x14ac:dyDescent="0.4">
      <c r="B74" s="38" t="s">
        <v>58</v>
      </c>
    </row>
    <row r="75" spans="2:8" ht="4.5" customHeight="1" x14ac:dyDescent="0.4"/>
    <row r="76" spans="2:8" s="3" customFormat="1" x14ac:dyDescent="0.35">
      <c r="B76" s="39" t="s">
        <v>2</v>
      </c>
      <c r="C76" s="39" t="s">
        <v>3</v>
      </c>
      <c r="D76" s="39" t="s">
        <v>4</v>
      </c>
      <c r="E76" s="39" t="s">
        <v>5</v>
      </c>
      <c r="F76" s="39" t="s">
        <v>6</v>
      </c>
      <c r="G76" s="39" t="s">
        <v>7</v>
      </c>
      <c r="H76" s="39" t="s">
        <v>212</v>
      </c>
    </row>
    <row r="77" spans="2:8" ht="31" x14ac:dyDescent="0.4">
      <c r="B77" s="4">
        <v>5.0999999999999996</v>
      </c>
      <c r="C77" s="4" t="s">
        <v>59</v>
      </c>
      <c r="D77" s="25" t="s">
        <v>61</v>
      </c>
      <c r="E77" s="25">
        <v>7100</v>
      </c>
      <c r="F77" s="25"/>
      <c r="G77" s="25"/>
      <c r="H77" s="4"/>
    </row>
    <row r="78" spans="2:8" ht="46.5" x14ac:dyDescent="0.4">
      <c r="B78" s="4">
        <v>5.2</v>
      </c>
      <c r="C78" s="4" t="s">
        <v>60</v>
      </c>
      <c r="D78" s="25" t="s">
        <v>61</v>
      </c>
      <c r="E78" s="25">
        <v>7100</v>
      </c>
      <c r="F78" s="25"/>
      <c r="G78" s="25"/>
      <c r="H78" s="4"/>
    </row>
    <row r="79" spans="2:8" ht="62" x14ac:dyDescent="0.4">
      <c r="B79" s="4">
        <v>5.3</v>
      </c>
      <c r="C79" s="4" t="s">
        <v>62</v>
      </c>
      <c r="D79" s="25" t="s">
        <v>61</v>
      </c>
      <c r="E79" s="25">
        <v>7100</v>
      </c>
      <c r="F79" s="25"/>
      <c r="G79" s="25"/>
      <c r="H79" s="4"/>
    </row>
    <row r="80" spans="2:8" ht="62" x14ac:dyDescent="0.4">
      <c r="B80" s="4">
        <v>5.4</v>
      </c>
      <c r="C80" s="4" t="s">
        <v>63</v>
      </c>
      <c r="D80" s="25" t="s">
        <v>61</v>
      </c>
      <c r="E80" s="25">
        <v>7100</v>
      </c>
      <c r="F80" s="25"/>
      <c r="G80" s="25"/>
      <c r="H80" s="4"/>
    </row>
    <row r="81" spans="2:8" ht="48" customHeight="1" x14ac:dyDescent="0.4">
      <c r="B81" s="4">
        <v>5.5</v>
      </c>
      <c r="C81" s="4" t="s">
        <v>64</v>
      </c>
      <c r="D81" s="25" t="s">
        <v>36</v>
      </c>
      <c r="E81" s="37">
        <v>85000</v>
      </c>
      <c r="F81" s="25"/>
      <c r="G81" s="25"/>
      <c r="H81" s="4"/>
    </row>
    <row r="82" spans="2:8" ht="46.5" x14ac:dyDescent="0.4">
      <c r="B82" s="10">
        <v>5.6</v>
      </c>
      <c r="C82" s="10" t="s">
        <v>65</v>
      </c>
      <c r="D82" s="28" t="s">
        <v>49</v>
      </c>
      <c r="E82" s="37">
        <f>E68</f>
        <v>204000</v>
      </c>
      <c r="F82" s="28"/>
      <c r="G82" s="28"/>
      <c r="H82" s="10" t="s">
        <v>66</v>
      </c>
    </row>
    <row r="83" spans="2:8" ht="31" x14ac:dyDescent="0.4">
      <c r="B83" s="7">
        <v>5.7</v>
      </c>
      <c r="C83" s="7" t="s">
        <v>67</v>
      </c>
      <c r="D83" s="27" t="s">
        <v>36</v>
      </c>
      <c r="E83" s="41">
        <v>85000</v>
      </c>
      <c r="F83" s="25"/>
      <c r="G83" s="25"/>
      <c r="H83" s="4"/>
    </row>
    <row r="84" spans="2:8" ht="31" x14ac:dyDescent="0.4">
      <c r="B84" s="7">
        <v>5.8</v>
      </c>
      <c r="C84" s="7" t="s">
        <v>68</v>
      </c>
      <c r="D84" s="25" t="s">
        <v>25</v>
      </c>
      <c r="E84" s="25">
        <v>1</v>
      </c>
      <c r="F84" s="25"/>
      <c r="G84" s="25"/>
      <c r="H84" s="4"/>
    </row>
    <row r="85" spans="2:8" ht="93" x14ac:dyDescent="0.4">
      <c r="B85" s="7">
        <v>5.9</v>
      </c>
      <c r="C85" s="7" t="s">
        <v>69</v>
      </c>
      <c r="D85" s="25" t="s">
        <v>21</v>
      </c>
      <c r="E85" s="27">
        <v>25</v>
      </c>
      <c r="F85" s="25"/>
      <c r="G85" s="25"/>
      <c r="H85" s="4" t="s">
        <v>205</v>
      </c>
    </row>
    <row r="86" spans="2:8" ht="31" x14ac:dyDescent="0.4">
      <c r="B86" s="42">
        <v>5.0999999999999996</v>
      </c>
      <c r="C86" s="7" t="s">
        <v>70</v>
      </c>
      <c r="D86" s="25" t="s">
        <v>25</v>
      </c>
      <c r="E86" s="25">
        <v>1</v>
      </c>
      <c r="F86" s="25"/>
      <c r="G86" s="25"/>
      <c r="H86" s="4" t="s">
        <v>71</v>
      </c>
    </row>
    <row r="87" spans="2:8" ht="31" x14ac:dyDescent="0.4">
      <c r="B87" s="42">
        <v>5.1100000000000003</v>
      </c>
      <c r="C87" s="7" t="s">
        <v>72</v>
      </c>
      <c r="D87" s="25" t="s">
        <v>25</v>
      </c>
      <c r="E87" s="25">
        <v>1</v>
      </c>
      <c r="F87" s="25"/>
      <c r="G87" s="25"/>
      <c r="H87" s="4" t="s">
        <v>73</v>
      </c>
    </row>
    <row r="88" spans="2:8" ht="31" x14ac:dyDescent="0.4">
      <c r="B88" s="42">
        <v>5.12</v>
      </c>
      <c r="C88" s="7" t="s">
        <v>196</v>
      </c>
      <c r="D88" s="25" t="s">
        <v>21</v>
      </c>
      <c r="E88" s="25">
        <v>140</v>
      </c>
      <c r="F88" s="25"/>
      <c r="G88" s="25"/>
      <c r="H88" s="4" t="s">
        <v>197</v>
      </c>
    </row>
    <row r="89" spans="2:8" ht="6.75" customHeight="1" x14ac:dyDescent="0.4">
      <c r="B89" s="5"/>
      <c r="C89" s="5"/>
      <c r="D89" s="5"/>
      <c r="E89" s="6"/>
      <c r="F89" s="5"/>
      <c r="G89" s="5"/>
      <c r="H89" s="5"/>
    </row>
    <row r="90" spans="2:8" ht="16" x14ac:dyDescent="0.4">
      <c r="B90" s="38" t="s">
        <v>74</v>
      </c>
    </row>
    <row r="91" spans="2:8" ht="6" customHeight="1" x14ac:dyDescent="0.4"/>
    <row r="92" spans="2:8" s="3" customFormat="1" x14ac:dyDescent="0.35">
      <c r="B92" s="39" t="s">
        <v>2</v>
      </c>
      <c r="C92" s="39" t="s">
        <v>3</v>
      </c>
      <c r="D92" s="39" t="s">
        <v>4</v>
      </c>
      <c r="E92" s="39" t="s">
        <v>5</v>
      </c>
      <c r="F92" s="39" t="s">
        <v>6</v>
      </c>
      <c r="G92" s="39" t="s">
        <v>7</v>
      </c>
      <c r="H92" s="39" t="s">
        <v>212</v>
      </c>
    </row>
    <row r="93" spans="2:8" x14ac:dyDescent="0.4">
      <c r="B93" s="4">
        <v>6.1</v>
      </c>
      <c r="C93" s="4" t="s">
        <v>131</v>
      </c>
      <c r="D93" s="25" t="s">
        <v>21</v>
      </c>
      <c r="E93" s="25">
        <v>1</v>
      </c>
      <c r="F93" s="25"/>
      <c r="G93" s="25"/>
      <c r="H93" s="4"/>
    </row>
    <row r="94" spans="2:8" x14ac:dyDescent="0.4">
      <c r="B94" s="4">
        <v>6.2</v>
      </c>
      <c r="C94" s="4" t="s">
        <v>132</v>
      </c>
      <c r="D94" s="25" t="s">
        <v>130</v>
      </c>
      <c r="E94" s="25">
        <v>1</v>
      </c>
      <c r="F94" s="25"/>
      <c r="G94" s="25"/>
      <c r="H94" s="4"/>
    </row>
    <row r="95" spans="2:8" x14ac:dyDescent="0.4">
      <c r="B95" s="4">
        <v>6.3</v>
      </c>
      <c r="C95" s="4" t="s">
        <v>133</v>
      </c>
      <c r="D95" s="25" t="s">
        <v>130</v>
      </c>
      <c r="E95" s="25">
        <v>1</v>
      </c>
      <c r="F95" s="25"/>
      <c r="G95" s="25"/>
      <c r="H95" s="4"/>
    </row>
    <row r="96" spans="2:8" ht="62" x14ac:dyDescent="0.4">
      <c r="B96" s="4">
        <v>6.4</v>
      </c>
      <c r="C96" s="4" t="s">
        <v>75</v>
      </c>
      <c r="D96" s="25" t="s">
        <v>130</v>
      </c>
      <c r="E96" s="25">
        <v>1</v>
      </c>
      <c r="F96" s="25"/>
      <c r="G96" s="25"/>
      <c r="H96" s="4" t="s">
        <v>148</v>
      </c>
    </row>
    <row r="97" spans="2:8" ht="62" x14ac:dyDescent="0.4">
      <c r="B97" s="4">
        <v>6.5</v>
      </c>
      <c r="C97" s="4" t="s">
        <v>76</v>
      </c>
      <c r="D97" s="25" t="s">
        <v>130</v>
      </c>
      <c r="E97" s="25">
        <v>1</v>
      </c>
      <c r="F97" s="25"/>
      <c r="G97" s="25"/>
      <c r="H97" s="4" t="s">
        <v>77</v>
      </c>
    </row>
    <row r="98" spans="2:8" ht="31" x14ac:dyDescent="0.4">
      <c r="B98" s="4">
        <v>6.6</v>
      </c>
      <c r="C98" s="7" t="s">
        <v>78</v>
      </c>
      <c r="D98" s="25" t="s">
        <v>21</v>
      </c>
      <c r="E98" s="27">
        <v>5</v>
      </c>
      <c r="F98" s="25"/>
      <c r="G98" s="25"/>
      <c r="H98" s="4"/>
    </row>
    <row r="99" spans="2:8" ht="31" x14ac:dyDescent="0.4">
      <c r="B99" s="4">
        <v>6.7</v>
      </c>
      <c r="C99" s="4" t="s">
        <v>79</v>
      </c>
      <c r="D99" s="25" t="s">
        <v>130</v>
      </c>
      <c r="E99" s="25">
        <v>1</v>
      </c>
      <c r="F99" s="25"/>
      <c r="G99" s="25"/>
      <c r="H99" s="4" t="s">
        <v>80</v>
      </c>
    </row>
    <row r="100" spans="2:8" ht="31" x14ac:dyDescent="0.4">
      <c r="B100" s="4">
        <v>6.8</v>
      </c>
      <c r="C100" s="7" t="s">
        <v>81</v>
      </c>
      <c r="D100" s="25" t="s">
        <v>130</v>
      </c>
      <c r="E100" s="25">
        <v>1</v>
      </c>
      <c r="F100" s="25"/>
      <c r="G100" s="25"/>
      <c r="H100" s="4" t="s">
        <v>80</v>
      </c>
    </row>
    <row r="101" spans="2:8" ht="31" x14ac:dyDescent="0.4">
      <c r="B101" s="4">
        <v>6.9</v>
      </c>
      <c r="C101" s="4" t="s">
        <v>82</v>
      </c>
      <c r="D101" s="25" t="s">
        <v>130</v>
      </c>
      <c r="E101" s="25">
        <v>1</v>
      </c>
      <c r="F101" s="25"/>
      <c r="G101" s="25"/>
      <c r="H101" s="4" t="s">
        <v>149</v>
      </c>
    </row>
    <row r="102" spans="2:8" ht="62" x14ac:dyDescent="0.4">
      <c r="B102" s="19">
        <v>6.1</v>
      </c>
      <c r="C102" s="7" t="s">
        <v>204</v>
      </c>
      <c r="D102" s="25" t="s">
        <v>21</v>
      </c>
      <c r="E102" s="27">
        <v>15</v>
      </c>
      <c r="F102" s="25"/>
      <c r="G102" s="25"/>
      <c r="H102" s="4" t="s">
        <v>207</v>
      </c>
    </row>
    <row r="103" spans="2:8" ht="5.25" customHeight="1" x14ac:dyDescent="0.4">
      <c r="B103" s="5"/>
      <c r="C103" s="5"/>
      <c r="D103" s="5"/>
      <c r="E103" s="6"/>
      <c r="F103" s="5"/>
      <c r="G103" s="5"/>
      <c r="H103" s="5"/>
    </row>
    <row r="104" spans="2:8" ht="16" x14ac:dyDescent="0.4">
      <c r="B104" s="38" t="s">
        <v>83</v>
      </c>
    </row>
    <row r="105" spans="2:8" ht="4.5" customHeight="1" x14ac:dyDescent="0.4"/>
    <row r="106" spans="2:8" s="3" customFormat="1" x14ac:dyDescent="0.35">
      <c r="B106" s="39" t="s">
        <v>2</v>
      </c>
      <c r="C106" s="39" t="s">
        <v>3</v>
      </c>
      <c r="D106" s="39" t="s">
        <v>4</v>
      </c>
      <c r="E106" s="39" t="s">
        <v>5</v>
      </c>
      <c r="F106" s="39" t="s">
        <v>6</v>
      </c>
      <c r="G106" s="39" t="s">
        <v>7</v>
      </c>
      <c r="H106" s="39" t="s">
        <v>212</v>
      </c>
    </row>
    <row r="107" spans="2:8" ht="46.5" x14ac:dyDescent="0.4">
      <c r="B107" s="4">
        <v>7.1</v>
      </c>
      <c r="C107" s="4" t="s">
        <v>84</v>
      </c>
      <c r="D107" s="25" t="s">
        <v>21</v>
      </c>
      <c r="E107" s="25">
        <v>2</v>
      </c>
      <c r="F107" s="25"/>
      <c r="G107" s="25"/>
      <c r="H107" s="4"/>
    </row>
    <row r="108" spans="2:8" ht="79.5" customHeight="1" x14ac:dyDescent="0.4">
      <c r="B108" s="4">
        <v>7.2</v>
      </c>
      <c r="C108" s="4" t="s">
        <v>85</v>
      </c>
      <c r="D108" s="25" t="s">
        <v>21</v>
      </c>
      <c r="E108" s="25">
        <v>1</v>
      </c>
      <c r="F108" s="25"/>
      <c r="G108" s="25"/>
      <c r="H108" s="4"/>
    </row>
    <row r="109" spans="2:8" ht="65.25" customHeight="1" x14ac:dyDescent="0.4">
      <c r="B109" s="4">
        <v>7.3</v>
      </c>
      <c r="C109" s="4" t="s">
        <v>86</v>
      </c>
      <c r="D109" s="25" t="s">
        <v>21</v>
      </c>
      <c r="E109" s="25">
        <v>1</v>
      </c>
      <c r="F109" s="25"/>
      <c r="G109" s="25"/>
      <c r="H109" s="4"/>
    </row>
    <row r="110" spans="2:8" ht="65.25" customHeight="1" x14ac:dyDescent="0.4">
      <c r="B110" s="4">
        <v>7.4</v>
      </c>
      <c r="C110" s="4" t="s">
        <v>250</v>
      </c>
      <c r="D110" s="25" t="s">
        <v>21</v>
      </c>
      <c r="E110" s="25">
        <v>28</v>
      </c>
      <c r="F110" s="25"/>
      <c r="G110" s="25"/>
      <c r="H110" s="4" t="s">
        <v>251</v>
      </c>
    </row>
    <row r="111" spans="2:8" ht="62" x14ac:dyDescent="0.4">
      <c r="B111" s="4">
        <v>7.5</v>
      </c>
      <c r="C111" s="4" t="s">
        <v>203</v>
      </c>
      <c r="D111" s="25" t="s">
        <v>21</v>
      </c>
      <c r="E111" s="25">
        <v>4</v>
      </c>
      <c r="F111" s="25"/>
      <c r="G111" s="25"/>
      <c r="H111" s="4" t="s">
        <v>208</v>
      </c>
    </row>
    <row r="112" spans="2:8" ht="31" x14ac:dyDescent="0.4">
      <c r="B112" s="4">
        <v>7.6</v>
      </c>
      <c r="C112" s="4" t="s">
        <v>87</v>
      </c>
      <c r="D112" s="25" t="s">
        <v>21</v>
      </c>
      <c r="E112" s="25">
        <v>2</v>
      </c>
      <c r="F112" s="25"/>
      <c r="G112" s="25"/>
      <c r="H112" s="4" t="s">
        <v>88</v>
      </c>
    </row>
    <row r="113" spans="2:8" ht="31" x14ac:dyDescent="0.4">
      <c r="B113" s="4">
        <v>7.7</v>
      </c>
      <c r="C113" s="7" t="s">
        <v>89</v>
      </c>
      <c r="D113" s="25" t="s">
        <v>130</v>
      </c>
      <c r="E113" s="25">
        <v>1</v>
      </c>
      <c r="F113" s="25"/>
      <c r="G113" s="25"/>
      <c r="H113" s="4" t="s">
        <v>134</v>
      </c>
    </row>
    <row r="114" spans="2:8" ht="31" x14ac:dyDescent="0.4">
      <c r="B114" s="4">
        <v>7.8</v>
      </c>
      <c r="C114" s="7" t="s">
        <v>90</v>
      </c>
      <c r="D114" s="25" t="s">
        <v>130</v>
      </c>
      <c r="E114" s="25">
        <v>1</v>
      </c>
      <c r="F114" s="25"/>
      <c r="G114" s="25"/>
      <c r="H114" s="4" t="s">
        <v>134</v>
      </c>
    </row>
    <row r="115" spans="2:8" ht="31" x14ac:dyDescent="0.4">
      <c r="B115" s="4">
        <v>7.9</v>
      </c>
      <c r="C115" s="7" t="s">
        <v>91</v>
      </c>
      <c r="D115" s="25" t="s">
        <v>130</v>
      </c>
      <c r="E115" s="25">
        <v>1</v>
      </c>
      <c r="F115" s="25"/>
      <c r="G115" s="25"/>
      <c r="H115" s="4" t="s">
        <v>92</v>
      </c>
    </row>
    <row r="116" spans="2:8" x14ac:dyDescent="0.4">
      <c r="B116" s="19">
        <v>7.1</v>
      </c>
      <c r="C116" s="7" t="s">
        <v>93</v>
      </c>
      <c r="D116" s="25" t="s">
        <v>25</v>
      </c>
      <c r="E116" s="25">
        <v>1</v>
      </c>
      <c r="F116" s="25"/>
      <c r="G116" s="25"/>
      <c r="H116" s="4" t="s">
        <v>94</v>
      </c>
    </row>
    <row r="117" spans="2:8" ht="4.5" customHeight="1" x14ac:dyDescent="0.4">
      <c r="B117" s="5"/>
      <c r="C117" s="5"/>
      <c r="D117" s="5"/>
      <c r="E117" s="6"/>
      <c r="F117" s="5"/>
      <c r="G117" s="5"/>
      <c r="H117" s="5"/>
    </row>
    <row r="118" spans="2:8" ht="16" x14ac:dyDescent="0.4">
      <c r="B118" s="38" t="s">
        <v>95</v>
      </c>
    </row>
    <row r="119" spans="2:8" ht="6" customHeight="1" x14ac:dyDescent="0.4"/>
    <row r="120" spans="2:8" s="3" customFormat="1" x14ac:dyDescent="0.35">
      <c r="B120" s="39" t="s">
        <v>2</v>
      </c>
      <c r="C120" s="39" t="s">
        <v>3</v>
      </c>
      <c r="D120" s="39" t="s">
        <v>4</v>
      </c>
      <c r="E120" s="39" t="s">
        <v>5</v>
      </c>
      <c r="F120" s="39" t="s">
        <v>6</v>
      </c>
      <c r="G120" s="39" t="s">
        <v>7</v>
      </c>
      <c r="H120" s="39" t="s">
        <v>212</v>
      </c>
    </row>
    <row r="121" spans="2:8" ht="31" x14ac:dyDescent="0.4">
      <c r="B121" s="4">
        <v>8.1</v>
      </c>
      <c r="C121" s="7" t="s">
        <v>96</v>
      </c>
      <c r="D121" s="25" t="s">
        <v>25</v>
      </c>
      <c r="E121" s="25">
        <v>1</v>
      </c>
      <c r="F121" s="25"/>
      <c r="G121" s="25"/>
      <c r="H121" s="4"/>
    </row>
    <row r="122" spans="2:8" ht="31" x14ac:dyDescent="0.4">
      <c r="B122" s="4">
        <v>8.1999999999999993</v>
      </c>
      <c r="C122" s="4" t="s">
        <v>97</v>
      </c>
      <c r="D122" s="25" t="s">
        <v>25</v>
      </c>
      <c r="E122" s="25">
        <v>1</v>
      </c>
      <c r="F122" s="25"/>
      <c r="G122" s="25"/>
      <c r="H122" s="4"/>
    </row>
    <row r="123" spans="2:8" x14ac:dyDescent="0.4">
      <c r="B123" s="4">
        <v>8.3000000000000007</v>
      </c>
      <c r="C123" s="4" t="s">
        <v>135</v>
      </c>
      <c r="D123" s="25" t="s">
        <v>25</v>
      </c>
      <c r="E123" s="25">
        <v>1</v>
      </c>
      <c r="F123" s="25"/>
      <c r="G123" s="25"/>
      <c r="H123" s="4"/>
    </row>
    <row r="124" spans="2:8" ht="31" x14ac:dyDescent="0.4">
      <c r="B124" s="4">
        <v>8.4</v>
      </c>
      <c r="C124" s="4" t="s">
        <v>98</v>
      </c>
      <c r="D124" s="25" t="s">
        <v>21</v>
      </c>
      <c r="E124" s="25">
        <v>4</v>
      </c>
      <c r="F124" s="25"/>
      <c r="G124" s="25"/>
      <c r="H124" s="4" t="s">
        <v>99</v>
      </c>
    </row>
    <row r="125" spans="2:8" ht="5.25" customHeight="1" x14ac:dyDescent="0.4">
      <c r="B125" s="5"/>
      <c r="C125" s="5"/>
      <c r="D125" s="5"/>
      <c r="E125" s="6"/>
      <c r="F125" s="5"/>
      <c r="G125" s="5"/>
      <c r="H125" s="5"/>
    </row>
    <row r="126" spans="2:8" ht="16" x14ac:dyDescent="0.4">
      <c r="B126" s="38" t="s">
        <v>100</v>
      </c>
    </row>
    <row r="127" spans="2:8" ht="5.25" customHeight="1" x14ac:dyDescent="0.4"/>
    <row r="128" spans="2:8" s="3" customFormat="1" x14ac:dyDescent="0.35">
      <c r="B128" s="39" t="s">
        <v>2</v>
      </c>
      <c r="C128" s="39" t="s">
        <v>3</v>
      </c>
      <c r="D128" s="39" t="s">
        <v>4</v>
      </c>
      <c r="E128" s="39" t="s">
        <v>5</v>
      </c>
      <c r="F128" s="39" t="s">
        <v>6</v>
      </c>
      <c r="G128" s="39" t="s">
        <v>7</v>
      </c>
      <c r="H128" s="39" t="s">
        <v>212</v>
      </c>
    </row>
    <row r="129" spans="2:8" ht="31" x14ac:dyDescent="0.4">
      <c r="B129" s="4">
        <v>9.1</v>
      </c>
      <c r="C129" s="4" t="s">
        <v>136</v>
      </c>
      <c r="D129" s="25" t="s">
        <v>25</v>
      </c>
      <c r="E129" s="25">
        <v>1</v>
      </c>
      <c r="F129" s="25"/>
      <c r="G129" s="25"/>
      <c r="H129" s="4" t="s">
        <v>137</v>
      </c>
    </row>
    <row r="130" spans="2:8" ht="77.5" x14ac:dyDescent="0.4">
      <c r="B130" s="4">
        <v>9.1999999999999993</v>
      </c>
      <c r="C130" s="4" t="s">
        <v>101</v>
      </c>
      <c r="D130" s="25" t="s">
        <v>15</v>
      </c>
      <c r="E130" s="25">
        <v>85</v>
      </c>
      <c r="F130" s="25"/>
      <c r="G130" s="25"/>
      <c r="H130" s="4" t="s">
        <v>150</v>
      </c>
    </row>
    <row r="131" spans="2:8" ht="46.5" x14ac:dyDescent="0.4">
      <c r="B131" s="4">
        <v>9.3000000000000007</v>
      </c>
      <c r="C131" s="4" t="s">
        <v>102</v>
      </c>
      <c r="D131" s="25" t="s">
        <v>25</v>
      </c>
      <c r="E131" s="25">
        <v>1</v>
      </c>
      <c r="F131" s="25"/>
      <c r="G131" s="25"/>
      <c r="H131" s="4"/>
    </row>
    <row r="132" spans="2:8" ht="46.5" x14ac:dyDescent="0.4">
      <c r="B132" s="4">
        <v>9.4</v>
      </c>
      <c r="C132" s="4" t="s">
        <v>103</v>
      </c>
      <c r="D132" s="25" t="s">
        <v>25</v>
      </c>
      <c r="E132" s="25">
        <v>1</v>
      </c>
      <c r="F132" s="25"/>
      <c r="G132" s="25"/>
      <c r="H132" s="4"/>
    </row>
    <row r="133" spans="2:8" ht="46.5" x14ac:dyDescent="0.4">
      <c r="B133" s="4">
        <v>9.5</v>
      </c>
      <c r="C133" s="4" t="s">
        <v>104</v>
      </c>
      <c r="D133" s="25" t="s">
        <v>25</v>
      </c>
      <c r="E133" s="25">
        <v>1</v>
      </c>
      <c r="F133" s="25"/>
      <c r="G133" s="25"/>
      <c r="H133" s="4" t="s">
        <v>151</v>
      </c>
    </row>
    <row r="134" spans="2:8" ht="31" x14ac:dyDescent="0.4">
      <c r="B134" s="4">
        <v>9.6</v>
      </c>
      <c r="C134" s="4" t="s">
        <v>105</v>
      </c>
      <c r="D134" s="25" t="s">
        <v>25</v>
      </c>
      <c r="E134" s="25">
        <v>1</v>
      </c>
      <c r="F134" s="25"/>
      <c r="G134" s="25"/>
      <c r="H134" s="4" t="s">
        <v>152</v>
      </c>
    </row>
    <row r="135" spans="2:8" x14ac:dyDescent="0.4">
      <c r="B135" s="4">
        <v>9.6999999999999993</v>
      </c>
      <c r="C135" s="4" t="s">
        <v>106</v>
      </c>
      <c r="D135" s="25" t="s">
        <v>25</v>
      </c>
      <c r="E135" s="25">
        <v>1</v>
      </c>
      <c r="F135" s="25"/>
      <c r="G135" s="25"/>
      <c r="H135" s="4"/>
    </row>
    <row r="136" spans="2:8" ht="62" x14ac:dyDescent="0.4">
      <c r="B136" s="4">
        <v>9.8000000000000007</v>
      </c>
      <c r="C136" s="4" t="s">
        <v>248</v>
      </c>
      <c r="D136" s="25" t="s">
        <v>25</v>
      </c>
      <c r="E136" s="25">
        <v>1</v>
      </c>
      <c r="F136" s="25"/>
      <c r="G136" s="25"/>
      <c r="H136" s="4" t="s">
        <v>249</v>
      </c>
    </row>
    <row r="137" spans="2:8" ht="62" x14ac:dyDescent="0.4">
      <c r="B137" s="4">
        <v>9.9</v>
      </c>
      <c r="C137" s="4" t="s">
        <v>246</v>
      </c>
      <c r="D137" s="25" t="s">
        <v>25</v>
      </c>
      <c r="E137" s="25">
        <v>1</v>
      </c>
      <c r="F137" s="4"/>
      <c r="G137" s="4"/>
      <c r="H137" s="4" t="s">
        <v>247</v>
      </c>
    </row>
    <row r="138" spans="2:8" ht="5.25" customHeight="1" x14ac:dyDescent="0.4">
      <c r="B138" s="5"/>
      <c r="C138" s="5"/>
      <c r="D138" s="5"/>
      <c r="E138" s="5"/>
      <c r="F138" s="5"/>
      <c r="G138" s="5"/>
      <c r="H138" s="5"/>
    </row>
    <row r="139" spans="2:8" ht="16" x14ac:dyDescent="0.4">
      <c r="B139" s="38" t="s">
        <v>215</v>
      </c>
    </row>
    <row r="140" spans="2:8" ht="4.5" customHeight="1" x14ac:dyDescent="0.4"/>
    <row r="141" spans="2:8" s="3" customFormat="1" x14ac:dyDescent="0.35">
      <c r="B141" s="39" t="s">
        <v>2</v>
      </c>
      <c r="C141" s="39" t="s">
        <v>3</v>
      </c>
      <c r="D141" s="39" t="s">
        <v>4</v>
      </c>
      <c r="E141" s="39" t="s">
        <v>5</v>
      </c>
      <c r="F141" s="39" t="s">
        <v>6</v>
      </c>
      <c r="G141" s="39" t="s">
        <v>7</v>
      </c>
      <c r="H141" s="39" t="s">
        <v>212</v>
      </c>
    </row>
    <row r="142" spans="2:8" ht="46.5" x14ac:dyDescent="0.4">
      <c r="B142" s="4">
        <v>10.1</v>
      </c>
      <c r="C142" s="4" t="s">
        <v>216</v>
      </c>
      <c r="D142" s="25" t="s">
        <v>12</v>
      </c>
      <c r="E142" s="40" t="s">
        <v>13</v>
      </c>
      <c r="F142" s="25"/>
      <c r="G142" s="25"/>
      <c r="H142" s="4" t="s">
        <v>221</v>
      </c>
    </row>
    <row r="143" spans="2:8" ht="46.5" x14ac:dyDescent="0.4">
      <c r="B143" s="4">
        <v>10.199999999999999</v>
      </c>
      <c r="C143" s="4" t="s">
        <v>217</v>
      </c>
      <c r="D143" s="25" t="s">
        <v>12</v>
      </c>
      <c r="E143" s="40" t="s">
        <v>13</v>
      </c>
      <c r="F143" s="25"/>
      <c r="G143" s="25"/>
      <c r="H143" s="4" t="s">
        <v>222</v>
      </c>
    </row>
    <row r="144" spans="2:8" ht="46.5" x14ac:dyDescent="0.4">
      <c r="B144" s="4">
        <v>10.3</v>
      </c>
      <c r="C144" s="4" t="s">
        <v>218</v>
      </c>
      <c r="D144" s="25" t="s">
        <v>12</v>
      </c>
      <c r="E144" s="40" t="s">
        <v>13</v>
      </c>
      <c r="F144" s="25"/>
      <c r="G144" s="25"/>
      <c r="H144" s="4" t="s">
        <v>223</v>
      </c>
    </row>
    <row r="145" spans="2:8" ht="46.5" x14ac:dyDescent="0.4">
      <c r="B145" s="4">
        <v>10.4</v>
      </c>
      <c r="C145" s="4" t="s">
        <v>219</v>
      </c>
      <c r="D145" s="25" t="s">
        <v>12</v>
      </c>
      <c r="E145" s="40" t="s">
        <v>13</v>
      </c>
      <c r="F145" s="25"/>
      <c r="G145" s="25"/>
      <c r="H145" s="4" t="s">
        <v>224</v>
      </c>
    </row>
    <row r="146" spans="2:8" ht="62" x14ac:dyDescent="0.4">
      <c r="B146" s="4">
        <v>10.5</v>
      </c>
      <c r="C146" s="4" t="s">
        <v>220</v>
      </c>
      <c r="D146" s="25" t="s">
        <v>12</v>
      </c>
      <c r="E146" s="40" t="s">
        <v>13</v>
      </c>
      <c r="F146" s="25"/>
      <c r="G146" s="25"/>
      <c r="H146" s="4" t="s">
        <v>225</v>
      </c>
    </row>
    <row r="147" spans="2:8" ht="5.25" customHeight="1" x14ac:dyDescent="0.4">
      <c r="B147" s="5"/>
      <c r="C147" s="5"/>
      <c r="D147" s="5"/>
      <c r="E147" s="5"/>
      <c r="F147" s="5"/>
      <c r="G147" s="5"/>
      <c r="H147" s="5"/>
    </row>
    <row r="148" spans="2:8" ht="16" x14ac:dyDescent="0.4">
      <c r="B148" s="38" t="s">
        <v>214</v>
      </c>
    </row>
    <row r="149" spans="2:8" ht="4.5" customHeight="1" x14ac:dyDescent="0.4"/>
    <row r="150" spans="2:8" s="3" customFormat="1" x14ac:dyDescent="0.35">
      <c r="B150" s="39" t="s">
        <v>2</v>
      </c>
      <c r="C150" s="39" t="s">
        <v>3</v>
      </c>
      <c r="D150" s="39" t="s">
        <v>4</v>
      </c>
      <c r="E150" s="39" t="s">
        <v>5</v>
      </c>
      <c r="F150" s="39" t="s">
        <v>6</v>
      </c>
      <c r="G150" s="39" t="s">
        <v>7</v>
      </c>
      <c r="H150" s="39" t="s">
        <v>212</v>
      </c>
    </row>
    <row r="151" spans="2:8" ht="31" x14ac:dyDescent="0.4">
      <c r="B151" s="4">
        <v>11.1</v>
      </c>
      <c r="C151" s="4" t="s">
        <v>226</v>
      </c>
      <c r="D151" s="25" t="s">
        <v>25</v>
      </c>
      <c r="E151" s="25">
        <v>1</v>
      </c>
      <c r="F151" s="25"/>
      <c r="G151" s="25"/>
      <c r="H151" s="4" t="s">
        <v>227</v>
      </c>
    </row>
    <row r="152" spans="2:8" ht="62" x14ac:dyDescent="0.4">
      <c r="B152" s="4">
        <v>11.2</v>
      </c>
      <c r="C152" s="4" t="s">
        <v>107</v>
      </c>
      <c r="D152" s="25" t="s">
        <v>25</v>
      </c>
      <c r="E152" s="25">
        <v>1</v>
      </c>
      <c r="F152" s="25"/>
      <c r="G152" s="25"/>
      <c r="H152" s="4"/>
    </row>
    <row r="153" spans="2:8" ht="62" x14ac:dyDescent="0.4">
      <c r="B153" s="4">
        <v>11.3</v>
      </c>
      <c r="C153" s="4" t="s">
        <v>108</v>
      </c>
      <c r="D153" s="25" t="s">
        <v>25</v>
      </c>
      <c r="E153" s="25">
        <v>1</v>
      </c>
      <c r="F153" s="25"/>
      <c r="G153" s="25"/>
      <c r="H153" s="4" t="s">
        <v>154</v>
      </c>
    </row>
    <row r="154" spans="2:8" ht="31" x14ac:dyDescent="0.4">
      <c r="B154" s="4">
        <v>11.4</v>
      </c>
      <c r="C154" s="4" t="s">
        <v>242</v>
      </c>
      <c r="D154" s="25" t="s">
        <v>25</v>
      </c>
      <c r="E154" s="25">
        <v>1</v>
      </c>
      <c r="F154" s="25"/>
      <c r="G154" s="25"/>
      <c r="H154" s="4" t="s">
        <v>243</v>
      </c>
    </row>
    <row r="155" spans="2:8" ht="32.25" customHeight="1" x14ac:dyDescent="0.4">
      <c r="B155" s="4">
        <v>11.5</v>
      </c>
      <c r="C155" s="4" t="s">
        <v>109</v>
      </c>
      <c r="D155" s="25" t="s">
        <v>25</v>
      </c>
      <c r="E155" s="25">
        <v>1</v>
      </c>
      <c r="F155" s="25"/>
      <c r="G155" s="25"/>
      <c r="H155" s="4" t="s">
        <v>153</v>
      </c>
    </row>
    <row r="156" spans="2:8" ht="31" x14ac:dyDescent="0.4">
      <c r="B156" s="4">
        <v>11.6</v>
      </c>
      <c r="C156" s="4" t="s">
        <v>110</v>
      </c>
      <c r="D156" s="25" t="s">
        <v>15</v>
      </c>
      <c r="E156" s="25">
        <v>85</v>
      </c>
      <c r="F156" s="25"/>
      <c r="G156" s="25"/>
      <c r="H156" s="4" t="s">
        <v>111</v>
      </c>
    </row>
    <row r="157" spans="2:8" ht="31" x14ac:dyDescent="0.4">
      <c r="B157" s="4">
        <v>11.7</v>
      </c>
      <c r="C157" s="4" t="s">
        <v>138</v>
      </c>
      <c r="D157" s="25" t="s">
        <v>25</v>
      </c>
      <c r="E157" s="25">
        <v>1</v>
      </c>
      <c r="F157" s="25"/>
      <c r="G157" s="25"/>
      <c r="H157" s="4" t="s">
        <v>139</v>
      </c>
    </row>
    <row r="158" spans="2:8" ht="62" x14ac:dyDescent="0.4">
      <c r="B158" s="4">
        <v>11.8</v>
      </c>
      <c r="C158" s="4" t="s">
        <v>206</v>
      </c>
      <c r="D158" s="25" t="s">
        <v>12</v>
      </c>
      <c r="E158" s="40" t="s">
        <v>13</v>
      </c>
      <c r="F158" s="25"/>
      <c r="G158" s="25"/>
      <c r="H158" s="4" t="s">
        <v>209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D2138-828E-47BC-BB10-1D63D1FBC981}">
  <dimension ref="A2:G142"/>
  <sheetViews>
    <sheetView topLeftCell="A99" workbookViewId="0">
      <selection activeCell="D110" sqref="D110"/>
    </sheetView>
  </sheetViews>
  <sheetFormatPr defaultColWidth="9.1796875" defaultRowHeight="15.5" x14ac:dyDescent="0.4"/>
  <cols>
    <col min="1" max="1" width="4.26953125" style="1" customWidth="1"/>
    <col min="2" max="2" width="14.26953125" style="1" customWidth="1"/>
    <col min="3" max="3" width="42.54296875" style="1" customWidth="1"/>
    <col min="4" max="4" width="11" style="1" customWidth="1"/>
    <col min="5" max="5" width="12" style="1" customWidth="1"/>
    <col min="6" max="6" width="16.54296875" style="1" bestFit="1" customWidth="1"/>
    <col min="7" max="7" width="16.1796875" style="1" bestFit="1" customWidth="1"/>
    <col min="8" max="16384" width="9.1796875" style="1"/>
  </cols>
  <sheetData>
    <row r="2" spans="1:7" ht="18.75" customHeight="1" x14ac:dyDescent="0.4">
      <c r="B2" s="22" t="s">
        <v>156</v>
      </c>
    </row>
    <row r="4" spans="1:7" ht="16" x14ac:dyDescent="0.4">
      <c r="A4" s="24" t="s">
        <v>159</v>
      </c>
      <c r="B4" s="23" t="s">
        <v>177</v>
      </c>
    </row>
    <row r="5" spans="1:7" ht="6.75" customHeight="1" thickBot="1" x14ac:dyDescent="0.45"/>
    <row r="6" spans="1:7" ht="16" thickBot="1" x14ac:dyDescent="0.45">
      <c r="B6" s="21" t="s">
        <v>160</v>
      </c>
      <c r="C6" s="21" t="s">
        <v>3</v>
      </c>
      <c r="D6" s="21" t="s">
        <v>4</v>
      </c>
      <c r="E6" s="21" t="s">
        <v>198</v>
      </c>
      <c r="F6" s="21" t="s">
        <v>277</v>
      </c>
      <c r="G6" s="21" t="s">
        <v>278</v>
      </c>
    </row>
    <row r="7" spans="1:7" ht="31" x14ac:dyDescent="0.4">
      <c r="B7" s="25">
        <v>2.1</v>
      </c>
      <c r="C7" s="4" t="s">
        <v>228</v>
      </c>
      <c r="D7" s="25" t="s">
        <v>15</v>
      </c>
      <c r="E7" s="25">
        <v>85</v>
      </c>
      <c r="F7" s="20"/>
      <c r="G7" s="20"/>
    </row>
    <row r="8" spans="1:7" x14ac:dyDescent="0.4">
      <c r="B8" s="25">
        <v>2.2000000000000002</v>
      </c>
      <c r="C8" s="4" t="s">
        <v>230</v>
      </c>
      <c r="D8" s="25" t="s">
        <v>15</v>
      </c>
      <c r="E8" s="25">
        <v>85</v>
      </c>
      <c r="F8" s="20"/>
      <c r="G8" s="20"/>
    </row>
    <row r="9" spans="1:7" x14ac:dyDescent="0.4">
      <c r="B9" s="25">
        <v>2.2999999999999998</v>
      </c>
      <c r="C9" s="4" t="s">
        <v>16</v>
      </c>
      <c r="D9" s="25" t="s">
        <v>15</v>
      </c>
      <c r="E9" s="25">
        <v>25</v>
      </c>
      <c r="F9" s="8"/>
      <c r="G9" s="8"/>
    </row>
    <row r="10" spans="1:7" x14ac:dyDescent="0.4">
      <c r="B10" s="25">
        <v>2.4</v>
      </c>
      <c r="C10" s="4" t="s">
        <v>17</v>
      </c>
      <c r="D10" s="25" t="s">
        <v>15</v>
      </c>
      <c r="E10" s="25">
        <v>85</v>
      </c>
      <c r="F10" s="8"/>
      <c r="G10" s="8"/>
    </row>
    <row r="11" spans="1:7" ht="31" x14ac:dyDescent="0.4">
      <c r="B11" s="25">
        <v>2.5</v>
      </c>
      <c r="C11" s="4" t="s">
        <v>238</v>
      </c>
      <c r="D11" s="25" t="s">
        <v>21</v>
      </c>
      <c r="E11" s="25">
        <v>50</v>
      </c>
      <c r="F11" s="8"/>
      <c r="G11" s="8"/>
    </row>
    <row r="12" spans="1:7" x14ac:dyDescent="0.4">
      <c r="B12" s="25">
        <v>2.6</v>
      </c>
      <c r="C12" s="4" t="s">
        <v>18</v>
      </c>
      <c r="D12" s="25" t="s">
        <v>19</v>
      </c>
      <c r="E12" s="25">
        <v>42</v>
      </c>
      <c r="F12" s="8"/>
      <c r="G12" s="8"/>
    </row>
    <row r="13" spans="1:7" x14ac:dyDescent="0.4">
      <c r="B13" s="25">
        <v>2.7</v>
      </c>
      <c r="C13" s="4" t="s">
        <v>20</v>
      </c>
      <c r="D13" s="25" t="s">
        <v>21</v>
      </c>
      <c r="E13" s="25">
        <v>85</v>
      </c>
      <c r="F13" s="8"/>
      <c r="G13" s="8"/>
    </row>
    <row r="14" spans="1:7" x14ac:dyDescent="0.4">
      <c r="B14" s="25">
        <v>2.8</v>
      </c>
      <c r="C14" s="4" t="s">
        <v>23</v>
      </c>
      <c r="D14" s="25" t="s">
        <v>21</v>
      </c>
      <c r="E14" s="25">
        <v>30</v>
      </c>
      <c r="F14" s="8"/>
      <c r="G14" s="8"/>
    </row>
    <row r="15" spans="1:7" x14ac:dyDescent="0.4">
      <c r="B15" s="25">
        <v>2.9</v>
      </c>
      <c r="C15" s="4" t="s">
        <v>142</v>
      </c>
      <c r="D15" s="25" t="s">
        <v>144</v>
      </c>
      <c r="E15" s="25">
        <v>1</v>
      </c>
      <c r="F15" s="8"/>
      <c r="G15" s="8"/>
    </row>
    <row r="16" spans="1:7" ht="46.5" customHeight="1" x14ac:dyDescent="0.4">
      <c r="B16" s="26">
        <v>2.1</v>
      </c>
      <c r="C16" s="4" t="s">
        <v>24</v>
      </c>
      <c r="D16" s="25" t="s">
        <v>25</v>
      </c>
      <c r="E16" s="25">
        <v>1</v>
      </c>
      <c r="F16" s="8"/>
      <c r="G16" s="8"/>
    </row>
    <row r="17" spans="2:7" ht="31" x14ac:dyDescent="0.4">
      <c r="B17" s="25">
        <v>2.11</v>
      </c>
      <c r="C17" s="7" t="s">
        <v>26</v>
      </c>
      <c r="D17" s="25" t="s">
        <v>25</v>
      </c>
      <c r="E17" s="25">
        <v>1</v>
      </c>
      <c r="F17" s="8"/>
      <c r="G17" s="8"/>
    </row>
    <row r="18" spans="2:7" ht="18.75" customHeight="1" x14ac:dyDescent="0.4">
      <c r="B18" s="26">
        <v>2.12</v>
      </c>
      <c r="C18" s="4" t="s">
        <v>27</v>
      </c>
      <c r="D18" s="25" t="s">
        <v>25</v>
      </c>
      <c r="E18" s="25">
        <v>1</v>
      </c>
      <c r="F18" s="8"/>
      <c r="G18" s="8"/>
    </row>
    <row r="19" spans="2:7" x14ac:dyDescent="0.4">
      <c r="B19" s="25">
        <v>2.13</v>
      </c>
      <c r="C19" s="4" t="s">
        <v>29</v>
      </c>
      <c r="D19" s="25" t="s">
        <v>21</v>
      </c>
      <c r="E19" s="25">
        <v>25</v>
      </c>
      <c r="F19" s="8"/>
      <c r="G19" s="8"/>
    </row>
    <row r="20" spans="2:7" ht="17" x14ac:dyDescent="0.4">
      <c r="B20" s="26">
        <v>2.14</v>
      </c>
      <c r="C20" s="4" t="s">
        <v>31</v>
      </c>
      <c r="D20" s="25" t="s">
        <v>32</v>
      </c>
      <c r="E20" s="25">
        <v>10</v>
      </c>
      <c r="F20" s="8"/>
      <c r="G20" s="8"/>
    </row>
    <row r="21" spans="2:7" x14ac:dyDescent="0.4">
      <c r="B21" s="25">
        <v>2.15</v>
      </c>
      <c r="C21" s="4" t="s">
        <v>33</v>
      </c>
      <c r="D21" s="25" t="s">
        <v>25</v>
      </c>
      <c r="E21" s="25">
        <v>1</v>
      </c>
      <c r="F21" s="8"/>
      <c r="G21" s="8"/>
    </row>
    <row r="22" spans="2:7" x14ac:dyDescent="0.4">
      <c r="B22" s="26">
        <v>2.16</v>
      </c>
      <c r="C22" s="4" t="s">
        <v>240</v>
      </c>
      <c r="D22" s="25" t="s">
        <v>25</v>
      </c>
      <c r="E22" s="25">
        <v>1</v>
      </c>
      <c r="F22" s="8"/>
      <c r="G22" s="8"/>
    </row>
    <row r="23" spans="2:7" ht="31" x14ac:dyDescent="0.4">
      <c r="B23" s="25">
        <v>2.17</v>
      </c>
      <c r="C23" s="4" t="s">
        <v>201</v>
      </c>
      <c r="D23" s="25" t="s">
        <v>25</v>
      </c>
      <c r="E23" s="25">
        <v>1</v>
      </c>
      <c r="F23" s="8"/>
      <c r="G23" s="8"/>
    </row>
    <row r="24" spans="2:7" x14ac:dyDescent="0.4">
      <c r="B24" s="26">
        <v>2.1800000000000002</v>
      </c>
      <c r="C24" s="4" t="s">
        <v>202</v>
      </c>
      <c r="D24" s="25" t="s">
        <v>144</v>
      </c>
      <c r="E24" s="25">
        <v>1</v>
      </c>
      <c r="F24" s="8"/>
      <c r="G24" s="8"/>
    </row>
    <row r="25" spans="2:7" x14ac:dyDescent="0.4">
      <c r="B25" s="25">
        <v>2.19</v>
      </c>
      <c r="C25" s="4" t="s">
        <v>234</v>
      </c>
      <c r="D25" s="25" t="s">
        <v>21</v>
      </c>
      <c r="E25" s="25">
        <v>40</v>
      </c>
      <c r="F25" s="8"/>
      <c r="G25" s="8"/>
    </row>
    <row r="26" spans="2:7" x14ac:dyDescent="0.4">
      <c r="B26" s="26">
        <v>2.2000000000000002</v>
      </c>
      <c r="C26" s="4" t="s">
        <v>232</v>
      </c>
      <c r="D26" s="25" t="s">
        <v>21</v>
      </c>
      <c r="E26" s="25">
        <v>40</v>
      </c>
      <c r="F26" s="8"/>
      <c r="G26" s="8"/>
    </row>
    <row r="27" spans="2:7" ht="31" x14ac:dyDescent="0.4">
      <c r="B27" s="26">
        <v>2.21</v>
      </c>
      <c r="C27" s="4" t="s">
        <v>253</v>
      </c>
      <c r="D27" s="25" t="s">
        <v>25</v>
      </c>
      <c r="E27" s="25">
        <v>1</v>
      </c>
      <c r="F27" s="8"/>
      <c r="G27" s="8"/>
    </row>
    <row r="28" spans="2:7" ht="18.75" customHeight="1" x14ac:dyDescent="0.4">
      <c r="B28" s="26">
        <v>2.2200000000000002</v>
      </c>
      <c r="C28" s="4" t="s">
        <v>255</v>
      </c>
      <c r="D28" s="25" t="s">
        <v>21</v>
      </c>
      <c r="E28" s="25">
        <v>20</v>
      </c>
      <c r="F28" s="8"/>
      <c r="G28" s="8"/>
    </row>
    <row r="29" spans="2:7" x14ac:dyDescent="0.4">
      <c r="B29" s="26">
        <v>2.23</v>
      </c>
      <c r="C29" s="4" t="s">
        <v>257</v>
      </c>
      <c r="D29" s="25" t="s">
        <v>21</v>
      </c>
      <c r="E29" s="25">
        <v>20</v>
      </c>
      <c r="F29" s="8"/>
      <c r="G29" s="8"/>
    </row>
    <row r="30" spans="2:7" x14ac:dyDescent="0.4">
      <c r="B30" s="26">
        <v>2.2400000000000002</v>
      </c>
      <c r="C30" s="4" t="s">
        <v>259</v>
      </c>
      <c r="D30" s="25" t="s">
        <v>25</v>
      </c>
      <c r="E30" s="25">
        <v>1</v>
      </c>
      <c r="F30" s="8"/>
      <c r="G30" s="8"/>
    </row>
    <row r="31" spans="2:7" x14ac:dyDescent="0.4">
      <c r="B31" s="26">
        <v>2.25</v>
      </c>
      <c r="C31" s="4" t="s">
        <v>261</v>
      </c>
      <c r="D31" s="25" t="s">
        <v>25</v>
      </c>
      <c r="E31" s="25">
        <v>1</v>
      </c>
      <c r="F31" s="8"/>
      <c r="G31" s="8"/>
    </row>
    <row r="32" spans="2:7" x14ac:dyDescent="0.4">
      <c r="B32" s="26">
        <v>2.2599999999999998</v>
      </c>
      <c r="C32" s="4" t="s">
        <v>263</v>
      </c>
      <c r="D32" s="25" t="s">
        <v>25</v>
      </c>
      <c r="E32" s="25">
        <v>1</v>
      </c>
      <c r="F32" s="8"/>
      <c r="G32" s="8"/>
    </row>
    <row r="33" spans="1:7" ht="31" x14ac:dyDescent="0.4">
      <c r="B33" s="25">
        <v>8.1999999999999993</v>
      </c>
      <c r="C33" s="4" t="s">
        <v>97</v>
      </c>
      <c r="D33" s="25" t="s">
        <v>25</v>
      </c>
      <c r="E33" s="25">
        <v>1</v>
      </c>
      <c r="F33" s="8"/>
      <c r="G33" s="8"/>
    </row>
    <row r="34" spans="1:7" ht="18.75" customHeight="1" x14ac:dyDescent="0.4">
      <c r="B34" s="25">
        <v>8.3000000000000007</v>
      </c>
      <c r="C34" s="4" t="s">
        <v>135</v>
      </c>
      <c r="D34" s="25" t="s">
        <v>25</v>
      </c>
      <c r="E34" s="25">
        <v>1</v>
      </c>
      <c r="F34" s="8"/>
      <c r="G34" s="8"/>
    </row>
    <row r="35" spans="1:7" x14ac:dyDescent="0.4">
      <c r="B35" s="35"/>
      <c r="C35" s="5"/>
      <c r="D35" s="5"/>
    </row>
    <row r="36" spans="1:7" ht="16" x14ac:dyDescent="0.4">
      <c r="A36" s="24" t="s">
        <v>161</v>
      </c>
      <c r="B36" s="23" t="s">
        <v>178</v>
      </c>
    </row>
    <row r="37" spans="1:7" ht="7.5" customHeight="1" thickBot="1" x14ac:dyDescent="0.45">
      <c r="A37" s="24"/>
      <c r="B37" s="23"/>
    </row>
    <row r="38" spans="1:7" ht="16" thickBot="1" x14ac:dyDescent="0.45">
      <c r="B38" s="21" t="s">
        <v>160</v>
      </c>
      <c r="C38" s="21" t="s">
        <v>3</v>
      </c>
      <c r="D38" s="21" t="s">
        <v>4</v>
      </c>
      <c r="E38" s="21" t="s">
        <v>198</v>
      </c>
      <c r="F38" s="21" t="s">
        <v>277</v>
      </c>
      <c r="G38" s="21" t="s">
        <v>278</v>
      </c>
    </row>
    <row r="39" spans="1:7" ht="62" x14ac:dyDescent="0.4">
      <c r="B39" s="25">
        <v>3.1</v>
      </c>
      <c r="C39" s="4" t="s">
        <v>191</v>
      </c>
      <c r="D39" s="25" t="s">
        <v>36</v>
      </c>
      <c r="E39" s="37">
        <v>85000</v>
      </c>
      <c r="F39" s="20"/>
      <c r="G39" s="20"/>
    </row>
    <row r="40" spans="1:7" ht="31" x14ac:dyDescent="0.4">
      <c r="B40" s="25">
        <v>3.2</v>
      </c>
      <c r="C40" s="4" t="s">
        <v>167</v>
      </c>
      <c r="D40" s="25" t="s">
        <v>21</v>
      </c>
      <c r="E40" s="25">
        <v>80</v>
      </c>
      <c r="F40" s="8"/>
      <c r="G40" s="8"/>
    </row>
    <row r="41" spans="1:7" ht="31" x14ac:dyDescent="0.4">
      <c r="B41" s="25">
        <v>3.3</v>
      </c>
      <c r="C41" s="4" t="s">
        <v>199</v>
      </c>
      <c r="D41" s="25" t="s">
        <v>21</v>
      </c>
      <c r="E41" s="25">
        <v>106</v>
      </c>
      <c r="F41" s="8"/>
      <c r="G41" s="8"/>
    </row>
    <row r="42" spans="1:7" ht="31" x14ac:dyDescent="0.4">
      <c r="B42" s="25">
        <v>3.4</v>
      </c>
      <c r="C42" s="4" t="s">
        <v>200</v>
      </c>
      <c r="D42" s="25" t="s">
        <v>25</v>
      </c>
      <c r="E42" s="25">
        <v>1</v>
      </c>
      <c r="F42" s="8"/>
      <c r="G42" s="8"/>
    </row>
    <row r="43" spans="1:7" ht="31" x14ac:dyDescent="0.4">
      <c r="B43" s="25">
        <v>3.5</v>
      </c>
      <c r="C43" s="4" t="s">
        <v>168</v>
      </c>
      <c r="D43" s="25" t="s">
        <v>21</v>
      </c>
      <c r="E43" s="25">
        <v>7500</v>
      </c>
      <c r="F43" s="8"/>
      <c r="G43" s="8"/>
    </row>
    <row r="44" spans="1:7" ht="46.5" x14ac:dyDescent="0.4">
      <c r="B44" s="25">
        <v>3.6</v>
      </c>
      <c r="C44" s="4" t="s">
        <v>169</v>
      </c>
      <c r="D44" s="25" t="s">
        <v>25</v>
      </c>
      <c r="E44" s="25">
        <v>1</v>
      </c>
      <c r="F44" s="8"/>
      <c r="G44" s="8"/>
    </row>
    <row r="45" spans="1:7" x14ac:dyDescent="0.4">
      <c r="B45" s="25">
        <v>3.7</v>
      </c>
      <c r="C45" s="4" t="s">
        <v>40</v>
      </c>
      <c r="D45" s="25" t="s">
        <v>21</v>
      </c>
      <c r="E45" s="25">
        <v>170</v>
      </c>
      <c r="F45" s="8"/>
      <c r="G45" s="8"/>
    </row>
    <row r="46" spans="1:7" ht="31" x14ac:dyDescent="0.4">
      <c r="B46" s="25">
        <v>3.8</v>
      </c>
      <c r="C46" s="4" t="s">
        <v>170</v>
      </c>
      <c r="D46" s="25" t="s">
        <v>25</v>
      </c>
      <c r="E46" s="25">
        <v>1</v>
      </c>
      <c r="F46" s="8"/>
      <c r="G46" s="8"/>
    </row>
    <row r="47" spans="1:7" x14ac:dyDescent="0.4">
      <c r="B47" s="25">
        <v>3.9</v>
      </c>
      <c r="C47" s="4" t="s">
        <v>171</v>
      </c>
      <c r="D47" s="25" t="s">
        <v>21</v>
      </c>
      <c r="E47" s="25">
        <v>8</v>
      </c>
      <c r="F47" s="8"/>
      <c r="G47" s="8"/>
    </row>
    <row r="48" spans="1:7" ht="31" x14ac:dyDescent="0.4">
      <c r="B48" s="26">
        <v>3.1</v>
      </c>
      <c r="C48" s="4" t="s">
        <v>44</v>
      </c>
      <c r="D48" s="25" t="s">
        <v>21</v>
      </c>
      <c r="E48" s="25">
        <v>341</v>
      </c>
      <c r="F48" s="8"/>
      <c r="G48" s="8"/>
    </row>
    <row r="49" spans="1:7" ht="31" x14ac:dyDescent="0.4">
      <c r="B49" s="26">
        <v>3.11</v>
      </c>
      <c r="C49" s="19" t="s">
        <v>237</v>
      </c>
      <c r="D49" s="25" t="s">
        <v>25</v>
      </c>
      <c r="E49" s="25">
        <v>1</v>
      </c>
      <c r="F49" s="8"/>
      <c r="G49" s="8"/>
    </row>
    <row r="50" spans="1:7" ht="31" x14ac:dyDescent="0.4">
      <c r="B50" s="26">
        <v>3.12</v>
      </c>
      <c r="C50" s="19" t="s">
        <v>275</v>
      </c>
      <c r="D50" s="25" t="s">
        <v>25</v>
      </c>
      <c r="E50" s="25">
        <v>1</v>
      </c>
      <c r="F50" s="8"/>
      <c r="G50" s="8"/>
    </row>
    <row r="51" spans="1:7" ht="62" x14ac:dyDescent="0.4">
      <c r="B51" s="25">
        <v>7.2</v>
      </c>
      <c r="C51" s="4" t="s">
        <v>165</v>
      </c>
      <c r="D51" s="25" t="s">
        <v>21</v>
      </c>
      <c r="E51" s="25">
        <v>1</v>
      </c>
      <c r="F51" s="8"/>
      <c r="G51" s="8"/>
    </row>
    <row r="52" spans="1:7" ht="46.5" x14ac:dyDescent="0.4">
      <c r="B52" s="25">
        <v>7.3</v>
      </c>
      <c r="C52" s="4" t="s">
        <v>166</v>
      </c>
      <c r="D52" s="25" t="s">
        <v>21</v>
      </c>
      <c r="E52" s="25">
        <v>1</v>
      </c>
      <c r="F52" s="8"/>
      <c r="G52" s="8"/>
    </row>
    <row r="53" spans="1:7" ht="46.5" x14ac:dyDescent="0.4">
      <c r="B53" s="25">
        <v>7.4</v>
      </c>
      <c r="C53" s="4" t="s">
        <v>250</v>
      </c>
      <c r="D53" s="25" t="s">
        <v>21</v>
      </c>
      <c r="E53" s="25">
        <v>28</v>
      </c>
      <c r="F53" s="8"/>
      <c r="G53" s="8"/>
    </row>
    <row r="54" spans="1:7" x14ac:dyDescent="0.4">
      <c r="B54" s="25">
        <v>7.5</v>
      </c>
      <c r="C54" s="4" t="s">
        <v>203</v>
      </c>
      <c r="D54" s="25" t="s">
        <v>21</v>
      </c>
      <c r="E54" s="25">
        <v>4</v>
      </c>
      <c r="F54" s="8"/>
      <c r="G54" s="8"/>
    </row>
    <row r="55" spans="1:7" x14ac:dyDescent="0.4">
      <c r="B55" s="25">
        <v>7.6</v>
      </c>
      <c r="C55" s="4" t="s">
        <v>87</v>
      </c>
      <c r="D55" s="25" t="s">
        <v>21</v>
      </c>
      <c r="E55" s="25">
        <v>2</v>
      </c>
      <c r="F55" s="8"/>
      <c r="G55" s="8"/>
    </row>
    <row r="56" spans="1:7" ht="31" x14ac:dyDescent="0.4">
      <c r="B56" s="25">
        <v>7.7</v>
      </c>
      <c r="C56" s="7" t="s">
        <v>89</v>
      </c>
      <c r="D56" s="25" t="s">
        <v>130</v>
      </c>
      <c r="E56" s="25">
        <v>1</v>
      </c>
      <c r="F56" s="8"/>
      <c r="G56" s="8"/>
    </row>
    <row r="57" spans="1:7" ht="31" x14ac:dyDescent="0.4">
      <c r="B57" s="25">
        <v>7.8</v>
      </c>
      <c r="C57" s="7" t="s">
        <v>90</v>
      </c>
      <c r="D57" s="25" t="s">
        <v>130</v>
      </c>
      <c r="E57" s="25">
        <v>1</v>
      </c>
      <c r="F57" s="8"/>
      <c r="G57" s="8"/>
    </row>
    <row r="58" spans="1:7" x14ac:dyDescent="0.4">
      <c r="B58" s="25">
        <v>7.9</v>
      </c>
      <c r="C58" s="7" t="s">
        <v>172</v>
      </c>
      <c r="D58" s="25" t="s">
        <v>130</v>
      </c>
      <c r="E58" s="25">
        <v>1</v>
      </c>
      <c r="F58" s="8"/>
      <c r="G58" s="8"/>
    </row>
    <row r="59" spans="1:7" x14ac:dyDescent="0.4">
      <c r="B59" s="26">
        <v>7.1</v>
      </c>
      <c r="C59" s="7" t="s">
        <v>93</v>
      </c>
      <c r="D59" s="25" t="s">
        <v>25</v>
      </c>
      <c r="E59" s="25">
        <v>1</v>
      </c>
      <c r="F59" s="8"/>
      <c r="G59" s="8"/>
    </row>
    <row r="60" spans="1:7" ht="31" x14ac:dyDescent="0.4">
      <c r="B60" s="25">
        <v>8.1</v>
      </c>
      <c r="C60" s="7" t="s">
        <v>96</v>
      </c>
      <c r="D60" s="25" t="s">
        <v>25</v>
      </c>
      <c r="E60" s="25">
        <v>1</v>
      </c>
      <c r="F60" s="8"/>
      <c r="G60" s="8"/>
    </row>
    <row r="61" spans="1:7" x14ac:dyDescent="0.4">
      <c r="B61" s="25">
        <v>8.4</v>
      </c>
      <c r="C61" s="4" t="s">
        <v>98</v>
      </c>
      <c r="D61" s="25" t="s">
        <v>21</v>
      </c>
      <c r="E61" s="25">
        <v>4</v>
      </c>
      <c r="F61" s="8"/>
      <c r="G61" s="8"/>
    </row>
    <row r="62" spans="1:7" x14ac:dyDescent="0.4">
      <c r="B62" s="5"/>
      <c r="C62" s="5"/>
      <c r="D62" s="5"/>
    </row>
    <row r="63" spans="1:7" ht="16" x14ac:dyDescent="0.4">
      <c r="A63" s="24" t="s">
        <v>163</v>
      </c>
      <c r="B63" s="23" t="s">
        <v>179</v>
      </c>
    </row>
    <row r="64" spans="1:7" ht="7.5" customHeight="1" thickBot="1" x14ac:dyDescent="0.45"/>
    <row r="65" spans="2:7" ht="16" thickBot="1" x14ac:dyDescent="0.45">
      <c r="B65" s="21" t="s">
        <v>160</v>
      </c>
      <c r="C65" s="21" t="s">
        <v>3</v>
      </c>
      <c r="D65" s="21" t="s">
        <v>4</v>
      </c>
      <c r="E65" s="21" t="s">
        <v>198</v>
      </c>
      <c r="F65" s="21" t="s">
        <v>277</v>
      </c>
      <c r="G65" s="21" t="s">
        <v>278</v>
      </c>
    </row>
    <row r="66" spans="2:7" ht="46.5" x14ac:dyDescent="0.4">
      <c r="B66" s="25">
        <v>1.3</v>
      </c>
      <c r="C66" s="4" t="s">
        <v>10</v>
      </c>
      <c r="D66" s="25" t="s">
        <v>25</v>
      </c>
      <c r="E66" s="25">
        <v>1</v>
      </c>
      <c r="F66" s="8"/>
      <c r="G66" s="8"/>
    </row>
    <row r="67" spans="2:7" ht="62" x14ac:dyDescent="0.4">
      <c r="B67" s="25">
        <v>4.0999999999999996</v>
      </c>
      <c r="C67" s="4" t="s">
        <v>47</v>
      </c>
      <c r="D67" s="25" t="s">
        <v>129</v>
      </c>
      <c r="E67" s="37">
        <v>255</v>
      </c>
      <c r="F67" s="8"/>
      <c r="G67" s="8"/>
    </row>
    <row r="68" spans="2:7" ht="77.5" x14ac:dyDescent="0.4">
      <c r="B68" s="25">
        <v>4.2</v>
      </c>
      <c r="C68" s="4" t="s">
        <v>48</v>
      </c>
      <c r="D68" s="25" t="s">
        <v>49</v>
      </c>
      <c r="E68" s="37">
        <v>204000</v>
      </c>
      <c r="F68" s="8"/>
      <c r="G68" s="8"/>
    </row>
    <row r="69" spans="2:7" ht="31" x14ac:dyDescent="0.4">
      <c r="B69" s="25">
        <v>4.3</v>
      </c>
      <c r="C69" s="4" t="s">
        <v>51</v>
      </c>
      <c r="D69" s="25" t="s">
        <v>49</v>
      </c>
      <c r="E69" s="37">
        <f>(20/100)*E68</f>
        <v>40800</v>
      </c>
      <c r="F69" s="8"/>
      <c r="G69" s="8"/>
    </row>
    <row r="70" spans="2:7" ht="31" x14ac:dyDescent="0.4">
      <c r="B70" s="25">
        <v>4.4000000000000004</v>
      </c>
      <c r="C70" s="4" t="s">
        <v>53</v>
      </c>
      <c r="D70" s="25" t="s">
        <v>15</v>
      </c>
      <c r="E70" s="37">
        <v>85</v>
      </c>
      <c r="F70" s="8"/>
      <c r="G70" s="8"/>
    </row>
    <row r="71" spans="2:7" x14ac:dyDescent="0.4">
      <c r="B71" s="25">
        <v>4.5999999999999996</v>
      </c>
      <c r="C71" s="4" t="s">
        <v>55</v>
      </c>
      <c r="D71" s="25" t="s">
        <v>56</v>
      </c>
      <c r="E71" s="25">
        <v>7100</v>
      </c>
      <c r="F71" s="8"/>
      <c r="G71" s="8"/>
    </row>
    <row r="72" spans="2:7" ht="31" x14ac:dyDescent="0.4">
      <c r="B72" s="25">
        <v>5.0999999999999996</v>
      </c>
      <c r="C72" s="4" t="s">
        <v>59</v>
      </c>
      <c r="D72" s="25" t="s">
        <v>61</v>
      </c>
      <c r="E72" s="25">
        <v>7100</v>
      </c>
      <c r="F72" s="8"/>
      <c r="G72" s="8"/>
    </row>
    <row r="73" spans="2:7" ht="46.5" x14ac:dyDescent="0.4">
      <c r="B73" s="25">
        <v>5.2</v>
      </c>
      <c r="C73" s="4" t="s">
        <v>60</v>
      </c>
      <c r="D73" s="25" t="s">
        <v>61</v>
      </c>
      <c r="E73" s="25">
        <v>7100</v>
      </c>
      <c r="F73" s="8"/>
      <c r="G73" s="8"/>
    </row>
    <row r="74" spans="2:7" ht="46.5" x14ac:dyDescent="0.4">
      <c r="B74" s="25">
        <v>5.3</v>
      </c>
      <c r="C74" s="4" t="s">
        <v>62</v>
      </c>
      <c r="D74" s="25" t="s">
        <v>61</v>
      </c>
      <c r="E74" s="25">
        <v>7100</v>
      </c>
      <c r="F74" s="8"/>
      <c r="G74" s="8"/>
    </row>
    <row r="75" spans="2:7" ht="46.5" customHeight="1" x14ac:dyDescent="0.4">
      <c r="B75" s="25">
        <v>5.4</v>
      </c>
      <c r="C75" s="4" t="s">
        <v>63</v>
      </c>
      <c r="D75" s="25" t="s">
        <v>61</v>
      </c>
      <c r="E75" s="25">
        <v>7100</v>
      </c>
      <c r="F75" s="8"/>
      <c r="G75" s="8"/>
    </row>
    <row r="76" spans="2:7" ht="46.5" x14ac:dyDescent="0.4">
      <c r="B76" s="25">
        <v>5.5</v>
      </c>
      <c r="C76" s="4" t="s">
        <v>64</v>
      </c>
      <c r="D76" s="25" t="s">
        <v>36</v>
      </c>
      <c r="E76" s="37">
        <v>85000</v>
      </c>
      <c r="F76" s="8"/>
      <c r="G76" s="8"/>
    </row>
    <row r="77" spans="2:7" ht="46.5" x14ac:dyDescent="0.4">
      <c r="B77" s="28">
        <v>5.6</v>
      </c>
      <c r="C77" s="10" t="s">
        <v>65</v>
      </c>
      <c r="D77" s="28" t="s">
        <v>49</v>
      </c>
      <c r="E77" s="37">
        <f>E68</f>
        <v>204000</v>
      </c>
      <c r="F77" s="8"/>
      <c r="G77" s="8"/>
    </row>
    <row r="78" spans="2:7" ht="31" x14ac:dyDescent="0.4">
      <c r="B78" s="27">
        <v>5.7</v>
      </c>
      <c r="C78" s="7" t="s">
        <v>67</v>
      </c>
      <c r="D78" s="27" t="s">
        <v>36</v>
      </c>
      <c r="E78" s="41">
        <v>85000</v>
      </c>
      <c r="F78" s="8"/>
      <c r="G78" s="8"/>
    </row>
    <row r="79" spans="2:7" ht="31" x14ac:dyDescent="0.4">
      <c r="B79" s="27">
        <v>5.8</v>
      </c>
      <c r="C79" s="7" t="s">
        <v>68</v>
      </c>
      <c r="D79" s="25" t="s">
        <v>25</v>
      </c>
      <c r="E79" s="25">
        <v>1</v>
      </c>
      <c r="F79" s="8"/>
      <c r="G79" s="8"/>
    </row>
    <row r="80" spans="2:7" x14ac:dyDescent="0.4">
      <c r="B80" s="27">
        <v>5.9</v>
      </c>
      <c r="C80" s="7" t="s">
        <v>69</v>
      </c>
      <c r="D80" s="25" t="s">
        <v>21</v>
      </c>
      <c r="E80" s="27">
        <v>25</v>
      </c>
      <c r="F80" s="8"/>
      <c r="G80" s="8"/>
    </row>
    <row r="81" spans="2:7" ht="31" x14ac:dyDescent="0.4">
      <c r="B81" s="29">
        <v>5.0999999999999996</v>
      </c>
      <c r="C81" s="7" t="s">
        <v>70</v>
      </c>
      <c r="D81" s="25" t="s">
        <v>25</v>
      </c>
      <c r="E81" s="25">
        <v>1</v>
      </c>
      <c r="F81" s="8"/>
      <c r="G81" s="8"/>
    </row>
    <row r="82" spans="2:7" ht="31" x14ac:dyDescent="0.4">
      <c r="B82" s="29">
        <v>5.1100000000000003</v>
      </c>
      <c r="C82" s="7" t="s">
        <v>72</v>
      </c>
      <c r="D82" s="25" t="s">
        <v>25</v>
      </c>
      <c r="E82" s="25">
        <v>1</v>
      </c>
      <c r="F82" s="8"/>
      <c r="G82" s="8"/>
    </row>
    <row r="83" spans="2:7" ht="31" x14ac:dyDescent="0.4">
      <c r="B83" s="29">
        <v>5.12</v>
      </c>
      <c r="C83" s="7" t="s">
        <v>196</v>
      </c>
      <c r="D83" s="25" t="s">
        <v>21</v>
      </c>
      <c r="E83" s="25">
        <v>140</v>
      </c>
      <c r="F83" s="8"/>
      <c r="G83" s="8"/>
    </row>
    <row r="84" spans="2:7" x14ac:dyDescent="0.4">
      <c r="B84" s="25">
        <v>6.1</v>
      </c>
      <c r="C84" s="4" t="s">
        <v>131</v>
      </c>
      <c r="D84" s="25" t="s">
        <v>21</v>
      </c>
      <c r="E84" s="25">
        <v>1</v>
      </c>
      <c r="F84" s="8"/>
      <c r="G84" s="8"/>
    </row>
    <row r="85" spans="2:7" x14ac:dyDescent="0.4">
      <c r="B85" s="25">
        <v>6.2</v>
      </c>
      <c r="C85" s="4" t="s">
        <v>132</v>
      </c>
      <c r="D85" s="25" t="s">
        <v>130</v>
      </c>
      <c r="E85" s="25">
        <v>1</v>
      </c>
      <c r="F85" s="8"/>
      <c r="G85" s="8"/>
    </row>
    <row r="86" spans="2:7" x14ac:dyDescent="0.4">
      <c r="B86" s="25">
        <v>6.3</v>
      </c>
      <c r="C86" s="4" t="s">
        <v>133</v>
      </c>
      <c r="D86" s="25" t="s">
        <v>130</v>
      </c>
      <c r="E86" s="25">
        <v>1</v>
      </c>
      <c r="F86" s="8"/>
      <c r="G86" s="8"/>
    </row>
    <row r="87" spans="2:7" ht="62" x14ac:dyDescent="0.4">
      <c r="B87" s="25">
        <v>6.4</v>
      </c>
      <c r="C87" s="4" t="s">
        <v>75</v>
      </c>
      <c r="D87" s="25" t="s">
        <v>130</v>
      </c>
      <c r="E87" s="25">
        <v>1</v>
      </c>
      <c r="F87" s="8"/>
      <c r="G87" s="8"/>
    </row>
    <row r="88" spans="2:7" ht="62" x14ac:dyDescent="0.4">
      <c r="B88" s="25">
        <v>6.5</v>
      </c>
      <c r="C88" s="4" t="s">
        <v>76</v>
      </c>
      <c r="D88" s="25" t="s">
        <v>130</v>
      </c>
      <c r="E88" s="25">
        <v>1</v>
      </c>
      <c r="F88" s="8"/>
      <c r="G88" s="8"/>
    </row>
    <row r="89" spans="2:7" ht="31" x14ac:dyDescent="0.4">
      <c r="B89" s="25">
        <v>6.6</v>
      </c>
      <c r="C89" s="7" t="s">
        <v>78</v>
      </c>
      <c r="D89" s="25" t="s">
        <v>21</v>
      </c>
      <c r="E89" s="27">
        <v>5</v>
      </c>
      <c r="F89" s="8"/>
      <c r="G89" s="8"/>
    </row>
    <row r="90" spans="2:7" ht="18.75" customHeight="1" x14ac:dyDescent="0.4">
      <c r="B90" s="25">
        <v>6.7</v>
      </c>
      <c r="C90" s="4" t="s">
        <v>79</v>
      </c>
      <c r="D90" s="25" t="s">
        <v>130</v>
      </c>
      <c r="E90" s="25">
        <v>1</v>
      </c>
      <c r="F90" s="8"/>
      <c r="G90" s="8"/>
    </row>
    <row r="91" spans="2:7" ht="17.25" customHeight="1" x14ac:dyDescent="0.4">
      <c r="B91" s="25">
        <v>6.8</v>
      </c>
      <c r="C91" s="7" t="s">
        <v>81</v>
      </c>
      <c r="D91" s="25" t="s">
        <v>130</v>
      </c>
      <c r="E91" s="25">
        <v>1</v>
      </c>
      <c r="F91" s="8"/>
      <c r="G91" s="8"/>
    </row>
    <row r="92" spans="2:7" x14ac:dyDescent="0.4">
      <c r="B92" s="25">
        <v>6.9</v>
      </c>
      <c r="C92" s="4" t="s">
        <v>82</v>
      </c>
      <c r="D92" s="25" t="s">
        <v>130</v>
      </c>
      <c r="E92" s="25">
        <v>1</v>
      </c>
      <c r="F92" s="8"/>
      <c r="G92" s="8"/>
    </row>
    <row r="93" spans="2:7" x14ac:dyDescent="0.4">
      <c r="B93" s="26">
        <v>6.1</v>
      </c>
      <c r="C93" s="7" t="s">
        <v>204</v>
      </c>
      <c r="D93" s="25" t="s">
        <v>21</v>
      </c>
      <c r="E93" s="27">
        <v>15</v>
      </c>
      <c r="F93" s="8"/>
      <c r="G93" s="8"/>
    </row>
    <row r="94" spans="2:7" ht="46.5" x14ac:dyDescent="0.4">
      <c r="B94" s="25">
        <v>7.1</v>
      </c>
      <c r="C94" s="4" t="s">
        <v>84</v>
      </c>
      <c r="D94" s="25" t="s">
        <v>21</v>
      </c>
      <c r="E94" s="25">
        <v>2</v>
      </c>
      <c r="F94" s="8"/>
      <c r="G94" s="8"/>
    </row>
    <row r="95" spans="2:7" x14ac:dyDescent="0.4">
      <c r="B95" s="25">
        <v>9.1</v>
      </c>
      <c r="C95" s="4" t="s">
        <v>136</v>
      </c>
      <c r="D95" s="25" t="s">
        <v>25</v>
      </c>
      <c r="E95" s="25">
        <v>1</v>
      </c>
      <c r="F95" s="8"/>
      <c r="G95" s="8"/>
    </row>
    <row r="96" spans="2:7" ht="77.5" x14ac:dyDescent="0.4">
      <c r="B96" s="25">
        <v>9.1999999999999993</v>
      </c>
      <c r="C96" s="4" t="s">
        <v>101</v>
      </c>
      <c r="D96" s="25" t="s">
        <v>15</v>
      </c>
      <c r="E96" s="25">
        <v>85</v>
      </c>
      <c r="F96" s="8"/>
      <c r="G96" s="8"/>
    </row>
    <row r="97" spans="1:7" ht="46.5" x14ac:dyDescent="0.4">
      <c r="B97" s="25">
        <v>9.3000000000000007</v>
      </c>
      <c r="C97" s="4" t="s">
        <v>102</v>
      </c>
      <c r="D97" s="25" t="s">
        <v>25</v>
      </c>
      <c r="E97" s="25">
        <v>1</v>
      </c>
      <c r="F97" s="8"/>
      <c r="G97" s="8"/>
    </row>
    <row r="98" spans="1:7" ht="31" x14ac:dyDescent="0.4">
      <c r="B98" s="25">
        <v>9.4</v>
      </c>
      <c r="C98" s="4" t="s">
        <v>103</v>
      </c>
      <c r="D98" s="25" t="s">
        <v>25</v>
      </c>
      <c r="E98" s="25">
        <v>1</v>
      </c>
      <c r="F98" s="8"/>
      <c r="G98" s="8"/>
    </row>
    <row r="99" spans="1:7" ht="46.5" x14ac:dyDescent="0.4">
      <c r="B99" s="25">
        <v>9.5</v>
      </c>
      <c r="C99" s="4" t="s">
        <v>104</v>
      </c>
      <c r="D99" s="25" t="s">
        <v>25</v>
      </c>
      <c r="E99" s="25">
        <v>1</v>
      </c>
      <c r="F99" s="8"/>
      <c r="G99" s="8"/>
    </row>
    <row r="100" spans="1:7" ht="31" x14ac:dyDescent="0.4">
      <c r="B100" s="25">
        <v>9.6</v>
      </c>
      <c r="C100" s="4" t="s">
        <v>105</v>
      </c>
      <c r="D100" s="25" t="s">
        <v>25</v>
      </c>
      <c r="E100" s="25">
        <v>1</v>
      </c>
      <c r="F100" s="8"/>
      <c r="G100" s="8"/>
    </row>
    <row r="101" spans="1:7" x14ac:dyDescent="0.4">
      <c r="B101" s="25">
        <v>9.6999999999999993</v>
      </c>
      <c r="C101" s="4" t="s">
        <v>106</v>
      </c>
      <c r="D101" s="25" t="s">
        <v>25</v>
      </c>
      <c r="E101" s="25">
        <v>1</v>
      </c>
      <c r="F101" s="8"/>
      <c r="G101" s="8"/>
    </row>
    <row r="102" spans="1:7" x14ac:dyDescent="0.4">
      <c r="B102" s="25">
        <v>9.8000000000000007</v>
      </c>
      <c r="C102" s="4" t="s">
        <v>248</v>
      </c>
      <c r="D102" s="25" t="s">
        <v>25</v>
      </c>
      <c r="E102" s="25">
        <v>1</v>
      </c>
      <c r="F102" s="8"/>
      <c r="G102" s="8"/>
    </row>
    <row r="103" spans="1:7" x14ac:dyDescent="0.4">
      <c r="B103" s="25">
        <v>9.9</v>
      </c>
      <c r="C103" s="4" t="s">
        <v>246</v>
      </c>
      <c r="D103" s="25" t="s">
        <v>25</v>
      </c>
      <c r="E103" s="25">
        <v>1</v>
      </c>
      <c r="F103" s="8"/>
      <c r="G103" s="8"/>
    </row>
    <row r="104" spans="1:7" x14ac:dyDescent="0.4">
      <c r="B104" s="35"/>
      <c r="C104" s="9"/>
      <c r="D104" s="9"/>
    </row>
    <row r="105" spans="1:7" ht="16" x14ac:dyDescent="0.4">
      <c r="A105" s="24" t="s">
        <v>173</v>
      </c>
      <c r="B105" s="23" t="s">
        <v>180</v>
      </c>
    </row>
    <row r="106" spans="1:7" ht="6.75" customHeight="1" thickBot="1" x14ac:dyDescent="0.45"/>
    <row r="107" spans="1:7" ht="16" thickBot="1" x14ac:dyDescent="0.45">
      <c r="B107" s="21" t="s">
        <v>160</v>
      </c>
      <c r="C107" s="21" t="s">
        <v>3</v>
      </c>
      <c r="D107" s="21"/>
      <c r="E107" s="21" t="s">
        <v>198</v>
      </c>
      <c r="F107" s="21" t="s">
        <v>277</v>
      </c>
      <c r="G107" s="21" t="s">
        <v>278</v>
      </c>
    </row>
    <row r="108" spans="1:7" ht="31" x14ac:dyDescent="0.4">
      <c r="B108" s="25">
        <v>1.1000000000000001</v>
      </c>
      <c r="C108" s="4" t="s">
        <v>8</v>
      </c>
      <c r="D108" s="4"/>
      <c r="E108" s="4"/>
      <c r="F108" s="8"/>
      <c r="G108" s="8"/>
    </row>
    <row r="109" spans="1:7" ht="31" x14ac:dyDescent="0.4">
      <c r="B109" s="25">
        <v>1.2</v>
      </c>
      <c r="C109" s="4" t="s">
        <v>9</v>
      </c>
      <c r="D109" s="4"/>
      <c r="E109" s="4"/>
      <c r="F109" s="8"/>
      <c r="G109" s="8"/>
    </row>
    <row r="110" spans="1:7" ht="31" x14ac:dyDescent="0.4">
      <c r="B110" s="25">
        <v>1.4</v>
      </c>
      <c r="C110" s="4" t="s">
        <v>236</v>
      </c>
      <c r="D110" s="4"/>
      <c r="E110" s="4"/>
      <c r="F110" s="8"/>
      <c r="G110" s="8"/>
    </row>
    <row r="111" spans="1:7" ht="62" x14ac:dyDescent="0.4">
      <c r="B111" s="25">
        <v>1.5</v>
      </c>
      <c r="C111" s="4" t="s">
        <v>11</v>
      </c>
      <c r="D111" s="4"/>
      <c r="E111" s="4"/>
      <c r="F111" s="8"/>
      <c r="G111" s="8"/>
    </row>
    <row r="112" spans="1:7" ht="31" x14ac:dyDescent="0.4">
      <c r="B112" s="25">
        <v>1.6</v>
      </c>
      <c r="C112" s="4" t="s">
        <v>264</v>
      </c>
      <c r="D112" s="4"/>
      <c r="E112" s="4"/>
      <c r="F112" s="8"/>
      <c r="G112" s="8"/>
    </row>
    <row r="113" spans="1:7" x14ac:dyDescent="0.4">
      <c r="B113" s="25">
        <v>1.7</v>
      </c>
      <c r="C113" s="4" t="s">
        <v>267</v>
      </c>
      <c r="D113" s="4"/>
      <c r="E113" s="4"/>
      <c r="F113" s="8"/>
      <c r="G113" s="8"/>
    </row>
    <row r="114" spans="1:7" x14ac:dyDescent="0.4">
      <c r="B114" s="25">
        <v>1.8</v>
      </c>
      <c r="C114" s="4" t="s">
        <v>269</v>
      </c>
      <c r="D114" s="4"/>
      <c r="E114" s="4"/>
      <c r="F114" s="8"/>
      <c r="G114" s="8"/>
    </row>
    <row r="115" spans="1:7" x14ac:dyDescent="0.4">
      <c r="B115" s="25">
        <v>1.9</v>
      </c>
      <c r="C115" s="4" t="s">
        <v>271</v>
      </c>
      <c r="D115" s="4"/>
      <c r="E115" s="4"/>
      <c r="F115" s="8"/>
      <c r="G115" s="8"/>
    </row>
    <row r="116" spans="1:7" x14ac:dyDescent="0.4">
      <c r="B116" s="26">
        <v>1.1000000000000001</v>
      </c>
      <c r="C116" s="4" t="s">
        <v>273</v>
      </c>
      <c r="D116" s="4"/>
      <c r="E116" s="4"/>
      <c r="F116" s="8"/>
      <c r="G116" s="8"/>
    </row>
    <row r="117" spans="1:7" x14ac:dyDescent="0.4">
      <c r="B117" s="25">
        <v>4.5</v>
      </c>
      <c r="C117" s="4" t="s">
        <v>54</v>
      </c>
      <c r="D117" s="4"/>
      <c r="E117" s="4"/>
      <c r="F117" s="8"/>
      <c r="G117" s="8"/>
    </row>
    <row r="119" spans="1:7" ht="16" x14ac:dyDescent="0.4">
      <c r="A119" s="24" t="s">
        <v>175</v>
      </c>
      <c r="B119" s="23" t="s">
        <v>176</v>
      </c>
    </row>
    <row r="120" spans="1:7" ht="7.5" customHeight="1" thickBot="1" x14ac:dyDescent="0.45"/>
    <row r="121" spans="1:7" ht="16" thickBot="1" x14ac:dyDescent="0.45">
      <c r="B121" s="21" t="s">
        <v>160</v>
      </c>
      <c r="C121" s="21" t="s">
        <v>3</v>
      </c>
      <c r="D121" s="21"/>
      <c r="E121" s="21" t="s">
        <v>198</v>
      </c>
      <c r="F121" s="21" t="s">
        <v>277</v>
      </c>
      <c r="G121" s="21" t="s">
        <v>278</v>
      </c>
    </row>
    <row r="122" spans="1:7" x14ac:dyDescent="0.4">
      <c r="B122" s="25">
        <v>10.1</v>
      </c>
      <c r="C122" s="4" t="s">
        <v>216</v>
      </c>
      <c r="D122" s="4"/>
      <c r="E122" s="4"/>
      <c r="F122" s="8"/>
      <c r="G122" s="8"/>
    </row>
    <row r="123" spans="1:7" x14ac:dyDescent="0.4">
      <c r="B123" s="25">
        <v>10.199999999999999</v>
      </c>
      <c r="C123" s="4" t="s">
        <v>217</v>
      </c>
      <c r="D123" s="4"/>
      <c r="E123" s="4"/>
      <c r="F123" s="8"/>
      <c r="G123" s="8"/>
    </row>
    <row r="124" spans="1:7" ht="31" x14ac:dyDescent="0.4">
      <c r="B124" s="25">
        <v>10.3</v>
      </c>
      <c r="C124" s="4" t="s">
        <v>218</v>
      </c>
      <c r="D124" s="4"/>
      <c r="E124" s="4"/>
      <c r="F124" s="8"/>
      <c r="G124" s="8"/>
    </row>
    <row r="125" spans="1:7" x14ac:dyDescent="0.4">
      <c r="B125" s="25">
        <v>10.4</v>
      </c>
      <c r="C125" s="4" t="s">
        <v>219</v>
      </c>
      <c r="D125" s="4"/>
      <c r="E125" s="4"/>
      <c r="F125" s="8"/>
      <c r="G125" s="8"/>
    </row>
    <row r="126" spans="1:7" ht="31" x14ac:dyDescent="0.4">
      <c r="B126" s="25">
        <v>10.5</v>
      </c>
      <c r="C126" s="4" t="s">
        <v>220</v>
      </c>
      <c r="D126" s="4"/>
      <c r="E126" s="4"/>
      <c r="F126" s="8"/>
      <c r="G126" s="8"/>
    </row>
    <row r="127" spans="1:7" ht="31" x14ac:dyDescent="0.4">
      <c r="B127" s="25">
        <v>11.1</v>
      </c>
      <c r="C127" s="4" t="s">
        <v>226</v>
      </c>
      <c r="D127" s="4"/>
      <c r="E127" s="4"/>
      <c r="F127" s="8"/>
      <c r="G127" s="8"/>
    </row>
    <row r="128" spans="1:7" ht="62" x14ac:dyDescent="0.4">
      <c r="B128" s="25">
        <v>11.2</v>
      </c>
      <c r="C128" s="4" t="s">
        <v>107</v>
      </c>
      <c r="D128" s="4"/>
      <c r="E128" s="4"/>
      <c r="F128" s="8"/>
      <c r="G128" s="8"/>
    </row>
    <row r="129" spans="2:7" ht="62" x14ac:dyDescent="0.4">
      <c r="B129" s="25">
        <v>11.3</v>
      </c>
      <c r="C129" s="4" t="s">
        <v>108</v>
      </c>
      <c r="D129" s="4"/>
      <c r="E129" s="4"/>
      <c r="F129" s="8"/>
      <c r="G129" s="8"/>
    </row>
    <row r="130" spans="2:7" x14ac:dyDescent="0.4">
      <c r="B130" s="25">
        <v>11.4</v>
      </c>
      <c r="C130" s="4" t="s">
        <v>242</v>
      </c>
      <c r="D130" s="4"/>
      <c r="E130" s="4"/>
      <c r="F130" s="8"/>
      <c r="G130" s="8"/>
    </row>
    <row r="131" spans="2:7" x14ac:dyDescent="0.4">
      <c r="B131" s="25">
        <v>11.5</v>
      </c>
      <c r="C131" s="4" t="s">
        <v>109</v>
      </c>
      <c r="D131" s="4"/>
      <c r="E131" s="4"/>
      <c r="F131" s="8"/>
      <c r="G131" s="8"/>
    </row>
    <row r="132" spans="2:7" ht="31" x14ac:dyDescent="0.4">
      <c r="B132" s="25">
        <v>11.6</v>
      </c>
      <c r="C132" s="4" t="s">
        <v>110</v>
      </c>
      <c r="D132" s="4"/>
      <c r="E132" s="4"/>
      <c r="F132" s="8"/>
      <c r="G132" s="8"/>
    </row>
    <row r="133" spans="2:7" x14ac:dyDescent="0.4">
      <c r="B133" s="25">
        <v>11.7</v>
      </c>
      <c r="C133" s="4" t="s">
        <v>138</v>
      </c>
      <c r="D133" s="4"/>
      <c r="E133" s="4"/>
      <c r="F133" s="8"/>
      <c r="G133" s="8"/>
    </row>
    <row r="134" spans="2:7" ht="31" x14ac:dyDescent="0.4">
      <c r="B134" s="25">
        <v>11.8</v>
      </c>
      <c r="C134" s="4" t="s">
        <v>206</v>
      </c>
      <c r="D134" s="4"/>
      <c r="E134" s="4"/>
      <c r="F134" s="8"/>
      <c r="G134" s="8"/>
    </row>
    <row r="135" spans="2:7" ht="7.5" customHeight="1" x14ac:dyDescent="0.4">
      <c r="B135" s="36"/>
      <c r="C135" s="5"/>
      <c r="D135" s="5"/>
    </row>
    <row r="136" spans="2:7" ht="21" customHeight="1" x14ac:dyDescent="0.4">
      <c r="B136" s="22" t="s">
        <v>190</v>
      </c>
    </row>
    <row r="137" spans="2:7" x14ac:dyDescent="0.4">
      <c r="B137" s="33" t="s">
        <v>157</v>
      </c>
      <c r="C137" s="33" t="s">
        <v>158</v>
      </c>
      <c r="D137" s="33"/>
      <c r="E137" s="33" t="s">
        <v>181</v>
      </c>
      <c r="F137" s="33" t="s">
        <v>182</v>
      </c>
    </row>
    <row r="138" spans="2:7" x14ac:dyDescent="0.4">
      <c r="B138" s="34" t="s">
        <v>159</v>
      </c>
      <c r="C138" s="30" t="s">
        <v>183</v>
      </c>
      <c r="D138" s="30"/>
      <c r="E138" s="31" t="s">
        <v>185</v>
      </c>
      <c r="F138" s="32">
        <v>7.0000000000000007E-2</v>
      </c>
    </row>
    <row r="139" spans="2:7" x14ac:dyDescent="0.4">
      <c r="B139" s="34" t="s">
        <v>161</v>
      </c>
      <c r="C139" s="30" t="s">
        <v>162</v>
      </c>
      <c r="D139" s="30"/>
      <c r="E139" s="30" t="s">
        <v>186</v>
      </c>
      <c r="F139" s="32">
        <v>0.42</v>
      </c>
    </row>
    <row r="140" spans="2:7" x14ac:dyDescent="0.4">
      <c r="B140" s="34" t="s">
        <v>163</v>
      </c>
      <c r="C140" s="30" t="s">
        <v>164</v>
      </c>
      <c r="D140" s="30"/>
      <c r="E140" s="30" t="s">
        <v>187</v>
      </c>
      <c r="F140" s="32">
        <v>0.34</v>
      </c>
    </row>
    <row r="141" spans="2:7" x14ac:dyDescent="0.4">
      <c r="B141" s="34" t="s">
        <v>173</v>
      </c>
      <c r="C141" s="30" t="s">
        <v>174</v>
      </c>
      <c r="D141" s="30"/>
      <c r="E141" s="30" t="s">
        <v>188</v>
      </c>
      <c r="F141" s="32">
        <v>0.1</v>
      </c>
    </row>
    <row r="142" spans="2:7" x14ac:dyDescent="0.4">
      <c r="B142" s="34" t="s">
        <v>175</v>
      </c>
      <c r="C142" s="30" t="s">
        <v>184</v>
      </c>
      <c r="D142" s="30"/>
      <c r="E142" s="30" t="s">
        <v>189</v>
      </c>
      <c r="F142" s="32">
        <v>7.0000000000000007E-2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BOQ Summary</vt:lpstr>
      <vt:lpstr>Detailed Itemized BOQ</vt:lpstr>
      <vt:lpstr>Cost Reporting 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Chijioke Anozie</dc:creator>
  <cp:lastModifiedBy>Aloy Duru</cp:lastModifiedBy>
  <dcterms:created xsi:type="dcterms:W3CDTF">2026-06-22T11:55:01Z</dcterms:created>
  <dcterms:modified xsi:type="dcterms:W3CDTF">2026-06-25T17:32:26Z</dcterms:modified>
</cp:coreProperties>
</file>